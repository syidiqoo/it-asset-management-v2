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OMMAND CODE\project-2\app-helpdesk\sample-import\"/>
    </mc:Choice>
  </mc:AlternateContent>
  <xr:revisionPtr revIDLastSave="0" documentId="8_{07AD9387-7B17-4BBF-90ED-61C96282A72E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C. Printer" sheetId="5" state="hidden" r:id="rId1"/>
    <sheet name="H. TVMonitor" sheetId="9" state="hidden" r:id="rId2"/>
    <sheet name="7. SIM Card" sheetId="10" state="hidden" r:id="rId3"/>
    <sheet name="8. SIM Card (new)" sheetId="11" state="hidden" r:id="rId4"/>
    <sheet name="I. SIM CARD HALO" sheetId="12" r:id="rId5"/>
    <sheet name="Sheet19" sheetId="16" state="hidden" r:id="rId6"/>
    <sheet name="IP CCTV" sheetId="18" state="hidden" r:id="rId7"/>
    <sheet name="Unknown" sheetId="19" state="hidden" r:id="rId8"/>
    <sheet name="OCC" sheetId="20" state="hidden" r:id="rId9"/>
    <sheet name="PR list" sheetId="21" state="hidden" r:id="rId10"/>
    <sheet name="Repairing List" sheetId="22" state="hidden" r:id="rId11"/>
    <sheet name="TRAINING" sheetId="23" state="hidden" r:id="rId12"/>
    <sheet name="HO - (LT3)" sheetId="24" state="hidden" r:id="rId13"/>
    <sheet name="HO - (LT2)" sheetId="25" state="hidden" r:id="rId14"/>
    <sheet name="HRD" sheetId="26" state="hidden" r:id="rId15"/>
    <sheet name="BASE" sheetId="27" state="hidden" r:id="rId16"/>
    <sheet name="MEDIA" sheetId="28" state="hidden" r:id="rId17"/>
    <sheet name="IT" sheetId="29" state="hidden" r:id="rId18"/>
    <sheet name="CALL CENTER" sheetId="30" state="hidden" r:id="rId19"/>
    <sheet name="GA" sheetId="31" state="hidden" r:id="rId20"/>
    <sheet name="DATA ANALYST" sheetId="32" state="hidden" r:id="rId21"/>
    <sheet name="SAFETY" sheetId="33" state="hidden" r:id="rId22"/>
    <sheet name="Asset Entry" sheetId="34" state="hidden" r:id="rId23"/>
    <sheet name="Entry Logs" sheetId="35" state="hidden" r:id="rId24"/>
  </sheets>
  <definedNames>
    <definedName name="_xlnm._FilterDatabase" localSheetId="3" hidden="1">'8. SIM Card (new)'!$B$4:$F$200</definedName>
    <definedName name="_xlnm._FilterDatabase" localSheetId="5" hidden="1">Sheet19!$A$1:$C$235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00" i="34" l="1"/>
  <c r="B999" i="34"/>
  <c r="B998" i="34"/>
  <c r="B997" i="34"/>
  <c r="B996" i="34"/>
  <c r="B995" i="34"/>
  <c r="B994" i="34"/>
  <c r="B993" i="34"/>
  <c r="B992" i="34"/>
  <c r="B991" i="34"/>
  <c r="B990" i="34"/>
  <c r="B989" i="34"/>
  <c r="B988" i="34"/>
  <c r="B987" i="34"/>
  <c r="B986" i="34"/>
  <c r="B985" i="34"/>
  <c r="B984" i="34"/>
  <c r="B983" i="34"/>
  <c r="B982" i="34"/>
  <c r="B981" i="34"/>
  <c r="B980" i="34"/>
  <c r="B979" i="34"/>
  <c r="B978" i="34"/>
  <c r="B977" i="34"/>
  <c r="B976" i="34"/>
  <c r="B975" i="34"/>
  <c r="B974" i="34"/>
  <c r="B973" i="34"/>
  <c r="B972" i="34"/>
  <c r="B971" i="34"/>
  <c r="B970" i="34"/>
  <c r="B969" i="34"/>
  <c r="B968" i="34"/>
  <c r="B967" i="34"/>
  <c r="B966" i="34"/>
  <c r="B965" i="34"/>
  <c r="B964" i="34"/>
  <c r="B963" i="34"/>
  <c r="B962" i="34"/>
  <c r="B961" i="34"/>
  <c r="B960" i="34"/>
  <c r="B959" i="34"/>
  <c r="B958" i="34"/>
  <c r="B957" i="34"/>
  <c r="B956" i="34"/>
  <c r="B955" i="34"/>
  <c r="B954" i="34"/>
  <c r="B953" i="34"/>
  <c r="B952" i="34"/>
  <c r="B951" i="34"/>
  <c r="B950" i="34"/>
  <c r="B949" i="34"/>
  <c r="B948" i="34"/>
  <c r="B947" i="34"/>
  <c r="B946" i="34"/>
  <c r="B945" i="34"/>
  <c r="B944" i="34"/>
  <c r="B943" i="34"/>
  <c r="B942" i="34"/>
  <c r="B941" i="34"/>
  <c r="B940" i="34"/>
  <c r="B939" i="34"/>
  <c r="B938" i="34"/>
  <c r="B937" i="34"/>
  <c r="B936" i="34"/>
  <c r="B935" i="34"/>
  <c r="B934" i="34"/>
  <c r="B933" i="34"/>
  <c r="B932" i="34"/>
  <c r="B931" i="34"/>
  <c r="B930" i="34"/>
  <c r="B929" i="34"/>
  <c r="B928" i="34"/>
  <c r="B927" i="34"/>
  <c r="B926" i="34"/>
  <c r="B925" i="34"/>
  <c r="B924" i="34"/>
  <c r="B923" i="34"/>
  <c r="B922" i="34"/>
  <c r="B921" i="34"/>
  <c r="B920" i="34"/>
  <c r="B919" i="34"/>
  <c r="B918" i="34"/>
  <c r="B917" i="34"/>
  <c r="B916" i="34"/>
  <c r="B915" i="34"/>
  <c r="B914" i="34"/>
  <c r="B913" i="34"/>
  <c r="B912" i="34"/>
  <c r="B911" i="34"/>
  <c r="B910" i="34"/>
  <c r="B909" i="34"/>
  <c r="B908" i="34"/>
  <c r="B907" i="34"/>
  <c r="B906" i="34"/>
  <c r="B905" i="34"/>
  <c r="B904" i="34"/>
  <c r="B903" i="34"/>
  <c r="B902" i="34"/>
  <c r="B901" i="34"/>
  <c r="B900" i="34"/>
  <c r="B899" i="34"/>
  <c r="B898" i="34"/>
  <c r="B897" i="34"/>
  <c r="B896" i="34"/>
  <c r="B895" i="34"/>
  <c r="B894" i="34"/>
  <c r="B893" i="34"/>
  <c r="B892" i="34"/>
  <c r="B891" i="34"/>
  <c r="B890" i="34"/>
  <c r="B889" i="34"/>
  <c r="B888" i="34"/>
  <c r="B887" i="34"/>
  <c r="B886" i="34"/>
  <c r="B885" i="34"/>
  <c r="B884" i="34"/>
  <c r="B883" i="34"/>
  <c r="B882" i="34"/>
  <c r="B881" i="34"/>
  <c r="B880" i="34"/>
  <c r="B879" i="34"/>
  <c r="B878" i="34"/>
  <c r="B877" i="34"/>
  <c r="B876" i="34"/>
  <c r="B875" i="34"/>
  <c r="B874" i="34"/>
  <c r="B873" i="34"/>
  <c r="B872" i="34"/>
  <c r="B871" i="34"/>
  <c r="B870" i="34"/>
  <c r="B869" i="34"/>
  <c r="B868" i="34"/>
  <c r="B867" i="34"/>
  <c r="B866" i="34"/>
  <c r="B865" i="34"/>
  <c r="B864" i="34"/>
  <c r="B863" i="34"/>
  <c r="B862" i="34"/>
  <c r="B861" i="34"/>
  <c r="B860" i="34"/>
  <c r="B859" i="34"/>
  <c r="B858" i="34"/>
  <c r="B857" i="34"/>
  <c r="B856" i="34"/>
  <c r="B855" i="34"/>
  <c r="B854" i="34"/>
  <c r="B853" i="34"/>
  <c r="B852" i="34"/>
  <c r="B851" i="34"/>
  <c r="B850" i="34"/>
  <c r="B849" i="34"/>
  <c r="B848" i="34"/>
  <c r="B847" i="34"/>
  <c r="B846" i="34"/>
  <c r="B845" i="34"/>
  <c r="B844" i="34"/>
  <c r="B843" i="34"/>
  <c r="B842" i="34"/>
  <c r="B841" i="34"/>
  <c r="B840" i="34"/>
  <c r="B839" i="34"/>
  <c r="B838" i="34"/>
  <c r="B837" i="34"/>
  <c r="B836" i="34"/>
  <c r="B835" i="34"/>
  <c r="B834" i="34"/>
  <c r="B833" i="34"/>
  <c r="B832" i="34"/>
  <c r="B831" i="34"/>
  <c r="B830" i="34"/>
  <c r="B829" i="34"/>
  <c r="B828" i="34"/>
  <c r="B827" i="34"/>
  <c r="B826" i="34"/>
  <c r="B825" i="34"/>
  <c r="B824" i="34"/>
  <c r="B823" i="34"/>
  <c r="B822" i="34"/>
  <c r="B821" i="34"/>
  <c r="B820" i="34"/>
  <c r="B819" i="34"/>
  <c r="B818" i="34"/>
  <c r="B817" i="34"/>
  <c r="B816" i="34"/>
  <c r="B815" i="34"/>
  <c r="B814" i="34"/>
  <c r="B813" i="34"/>
  <c r="B812" i="34"/>
  <c r="B811" i="34"/>
  <c r="B810" i="34"/>
  <c r="B809" i="34"/>
  <c r="B808" i="34"/>
  <c r="B807" i="34"/>
  <c r="B806" i="34"/>
  <c r="B805" i="34"/>
  <c r="B804" i="34"/>
  <c r="B803" i="34"/>
  <c r="B802" i="34"/>
  <c r="B801" i="34"/>
  <c r="B800" i="34"/>
  <c r="B799" i="34"/>
  <c r="B798" i="34"/>
  <c r="B797" i="34"/>
  <c r="B796" i="34"/>
  <c r="B795" i="34"/>
  <c r="B794" i="34"/>
  <c r="B793" i="34"/>
  <c r="B792" i="34"/>
  <c r="B791" i="34"/>
  <c r="B790" i="34"/>
  <c r="B789" i="34"/>
  <c r="B788" i="34"/>
  <c r="B787" i="34"/>
  <c r="B786" i="34"/>
  <c r="B785" i="34"/>
  <c r="B784" i="34"/>
  <c r="B783" i="34"/>
  <c r="B782" i="34"/>
  <c r="B781" i="34"/>
  <c r="B780" i="34"/>
  <c r="B779" i="34"/>
  <c r="B778" i="34"/>
  <c r="B777" i="34"/>
  <c r="B776" i="34"/>
  <c r="B775" i="34"/>
  <c r="B774" i="34"/>
  <c r="B773" i="34"/>
  <c r="B772" i="34"/>
  <c r="B771" i="34"/>
  <c r="B770" i="34"/>
  <c r="B769" i="34"/>
  <c r="B768" i="34"/>
  <c r="B767" i="34"/>
  <c r="B766" i="34"/>
  <c r="B765" i="34"/>
  <c r="B764" i="34"/>
  <c r="B763" i="34"/>
  <c r="B762" i="34"/>
  <c r="B761" i="34"/>
  <c r="B760" i="34"/>
  <c r="B759" i="34"/>
  <c r="B758" i="34"/>
  <c r="B757" i="34"/>
  <c r="B756" i="34"/>
  <c r="B755" i="34"/>
  <c r="B754" i="34"/>
  <c r="B753" i="34"/>
  <c r="B752" i="34"/>
  <c r="B751" i="34"/>
  <c r="B750" i="34"/>
  <c r="B749" i="34"/>
  <c r="B748" i="34"/>
  <c r="B747" i="34"/>
  <c r="B746" i="34"/>
  <c r="B745" i="34"/>
  <c r="B744" i="34"/>
  <c r="B743" i="34"/>
  <c r="B742" i="34"/>
  <c r="B741" i="34"/>
  <c r="B740" i="34"/>
  <c r="B739" i="34"/>
  <c r="B738" i="34"/>
  <c r="B737" i="34"/>
  <c r="B736" i="34"/>
  <c r="B735" i="34"/>
  <c r="B734" i="34"/>
  <c r="B733" i="34"/>
  <c r="B732" i="34"/>
  <c r="B731" i="34"/>
  <c r="B730" i="34"/>
  <c r="B729" i="34"/>
  <c r="B728" i="34"/>
  <c r="B727" i="34"/>
  <c r="B726" i="34"/>
  <c r="B725" i="34"/>
  <c r="B724" i="34"/>
  <c r="B723" i="34"/>
  <c r="B722" i="34"/>
  <c r="B721" i="34"/>
  <c r="B720" i="34"/>
  <c r="B719" i="34"/>
  <c r="B718" i="34"/>
  <c r="B717" i="34"/>
  <c r="B716" i="34"/>
  <c r="B715" i="34"/>
  <c r="B714" i="34"/>
  <c r="B713" i="34"/>
  <c r="B712" i="34"/>
  <c r="B711" i="34"/>
  <c r="B710" i="34"/>
  <c r="B709" i="34"/>
  <c r="B708" i="34"/>
  <c r="B707" i="34"/>
  <c r="B706" i="34"/>
  <c r="B705" i="34"/>
  <c r="B704" i="34"/>
  <c r="B703" i="34"/>
  <c r="B702" i="34"/>
  <c r="B701" i="34"/>
  <c r="B700" i="34"/>
  <c r="B699" i="34"/>
  <c r="B698" i="34"/>
  <c r="B697" i="34"/>
  <c r="B696" i="34"/>
  <c r="B695" i="34"/>
  <c r="B694" i="34"/>
  <c r="B693" i="34"/>
  <c r="B692" i="34"/>
  <c r="B691" i="34"/>
  <c r="B690" i="34"/>
  <c r="B689" i="34"/>
  <c r="B688" i="34"/>
  <c r="B687" i="34"/>
  <c r="B686" i="34"/>
  <c r="B685" i="34"/>
  <c r="B684" i="34"/>
  <c r="B683" i="34"/>
  <c r="B682" i="34"/>
  <c r="B681" i="34"/>
  <c r="B680" i="34"/>
  <c r="B679" i="34"/>
  <c r="B678" i="34"/>
  <c r="B677" i="34"/>
  <c r="B676" i="34"/>
  <c r="B675" i="34"/>
  <c r="B674" i="34"/>
  <c r="B673" i="34"/>
  <c r="B672" i="34"/>
  <c r="B671" i="34"/>
  <c r="B670" i="34"/>
  <c r="B669" i="34"/>
  <c r="B668" i="34"/>
  <c r="B667" i="34"/>
  <c r="B666" i="34"/>
  <c r="B665" i="34"/>
  <c r="B664" i="34"/>
  <c r="B663" i="34"/>
  <c r="B662" i="34"/>
  <c r="B661" i="34"/>
  <c r="B660" i="34"/>
  <c r="B659" i="34"/>
  <c r="B658" i="34"/>
  <c r="B657" i="34"/>
  <c r="B656" i="34"/>
  <c r="B655" i="34"/>
  <c r="B654" i="34"/>
  <c r="B653" i="34"/>
  <c r="B652" i="34"/>
  <c r="B651" i="34"/>
  <c r="B650" i="34"/>
  <c r="B649" i="34"/>
  <c r="B648" i="34"/>
  <c r="B647" i="34"/>
  <c r="B646" i="34"/>
  <c r="B645" i="34"/>
  <c r="B644" i="34"/>
  <c r="B643" i="34"/>
  <c r="B642" i="34"/>
  <c r="B641" i="34"/>
  <c r="B640" i="34"/>
  <c r="B639" i="34"/>
  <c r="B638" i="34"/>
  <c r="B637" i="34"/>
  <c r="B636" i="34"/>
  <c r="B635" i="34"/>
  <c r="B634" i="34"/>
  <c r="B633" i="34"/>
  <c r="B632" i="34"/>
  <c r="B631" i="34"/>
  <c r="B630" i="34"/>
  <c r="B629" i="34"/>
  <c r="B628" i="34"/>
  <c r="B627" i="34"/>
  <c r="B626" i="34"/>
  <c r="B625" i="34"/>
  <c r="B624" i="34"/>
  <c r="B623" i="34"/>
  <c r="B622" i="34"/>
  <c r="B621" i="34"/>
  <c r="B620" i="34"/>
  <c r="B619" i="34"/>
  <c r="B618" i="34"/>
  <c r="B617" i="34"/>
  <c r="B616" i="34"/>
  <c r="B615" i="34"/>
  <c r="B614" i="34"/>
  <c r="B613" i="34"/>
  <c r="B612" i="34"/>
  <c r="B611" i="34"/>
  <c r="B610" i="34"/>
  <c r="B609" i="34"/>
  <c r="B608" i="34"/>
  <c r="B607" i="34"/>
  <c r="B606" i="34"/>
  <c r="B605" i="34"/>
  <c r="B604" i="34"/>
  <c r="B603" i="34"/>
  <c r="B602" i="34"/>
  <c r="B601" i="34"/>
  <c r="B600" i="34"/>
  <c r="B599" i="34"/>
  <c r="B598" i="34"/>
  <c r="B597" i="34"/>
  <c r="B596" i="34"/>
  <c r="B595" i="34"/>
  <c r="B594" i="34"/>
  <c r="B593" i="34"/>
  <c r="B592" i="34"/>
  <c r="B591" i="34"/>
  <c r="B590" i="34"/>
  <c r="B589" i="34"/>
  <c r="B588" i="34"/>
  <c r="B587" i="34"/>
  <c r="B586" i="34"/>
  <c r="B585" i="34"/>
  <c r="B584" i="34"/>
  <c r="B583" i="34"/>
  <c r="B582" i="34"/>
  <c r="B581" i="34"/>
  <c r="B580" i="34"/>
  <c r="B579" i="34"/>
  <c r="B578" i="34"/>
  <c r="B577" i="34"/>
  <c r="B576" i="34"/>
  <c r="B575" i="34"/>
  <c r="B574" i="34"/>
  <c r="B573" i="34"/>
  <c r="B572" i="34"/>
  <c r="B571" i="34"/>
  <c r="B570" i="34"/>
  <c r="B569" i="34"/>
  <c r="B568" i="34"/>
  <c r="B567" i="34"/>
  <c r="B566" i="34"/>
  <c r="B565" i="34"/>
  <c r="B564" i="34"/>
  <c r="B563" i="34"/>
  <c r="B562" i="34"/>
  <c r="B561" i="34"/>
  <c r="B560" i="34"/>
  <c r="B559" i="34"/>
  <c r="B558" i="34"/>
  <c r="B557" i="34"/>
  <c r="B556" i="34"/>
  <c r="B555" i="34"/>
  <c r="B554" i="34"/>
  <c r="B553" i="34"/>
  <c r="B552" i="34"/>
  <c r="B551" i="34"/>
  <c r="B550" i="34"/>
  <c r="B549" i="34"/>
  <c r="B548" i="34"/>
  <c r="B547" i="34"/>
  <c r="B546" i="34"/>
  <c r="B545" i="34"/>
  <c r="B544" i="34"/>
  <c r="B543" i="34"/>
  <c r="B542" i="34"/>
  <c r="B541" i="34"/>
  <c r="B540" i="34"/>
  <c r="B539" i="34"/>
  <c r="B538" i="34"/>
  <c r="B537" i="34"/>
  <c r="B536" i="34"/>
  <c r="B535" i="34"/>
  <c r="B534" i="34"/>
  <c r="B533" i="34"/>
  <c r="B532" i="34"/>
  <c r="B531" i="34"/>
  <c r="B530" i="34"/>
  <c r="B529" i="34"/>
  <c r="B528" i="34"/>
  <c r="B527" i="34"/>
  <c r="B526" i="34"/>
  <c r="B525" i="34"/>
  <c r="B524" i="34"/>
  <c r="B523" i="34"/>
  <c r="B522" i="34"/>
  <c r="B521" i="34"/>
  <c r="B520" i="34"/>
  <c r="B519" i="34"/>
  <c r="B518" i="34"/>
  <c r="B517" i="34"/>
  <c r="B516" i="34"/>
  <c r="B515" i="34"/>
  <c r="B514" i="34"/>
  <c r="B513" i="34"/>
  <c r="B512" i="34"/>
  <c r="B511" i="34"/>
  <c r="B510" i="34"/>
  <c r="B509" i="34"/>
  <c r="B508" i="34"/>
  <c r="B507" i="34"/>
  <c r="B506" i="34"/>
  <c r="B505" i="34"/>
  <c r="B504" i="34"/>
  <c r="B503" i="34"/>
  <c r="B502" i="34"/>
  <c r="B501" i="34"/>
  <c r="B500" i="34"/>
  <c r="B499" i="34"/>
  <c r="B498" i="34"/>
  <c r="B497" i="34"/>
  <c r="B496" i="34"/>
  <c r="B495" i="34"/>
  <c r="B494" i="34"/>
  <c r="B493" i="34"/>
  <c r="B492" i="34"/>
  <c r="B491" i="34"/>
  <c r="B490" i="34"/>
  <c r="B489" i="34"/>
  <c r="B488" i="34"/>
  <c r="B487" i="34"/>
  <c r="B486" i="34"/>
  <c r="B485" i="34"/>
  <c r="B484" i="34"/>
  <c r="B483" i="34"/>
  <c r="B482" i="34"/>
  <c r="B481" i="34"/>
  <c r="B480" i="34"/>
  <c r="B479" i="34"/>
  <c r="B478" i="34"/>
  <c r="B477" i="34"/>
  <c r="B476" i="34"/>
  <c r="B475" i="34"/>
  <c r="B474" i="34"/>
  <c r="B473" i="34"/>
  <c r="B472" i="34"/>
  <c r="B471" i="34"/>
  <c r="B470" i="34"/>
  <c r="B469" i="34"/>
  <c r="B468" i="34"/>
  <c r="B467" i="34"/>
  <c r="B466" i="34"/>
  <c r="B465" i="34"/>
  <c r="B464" i="34"/>
  <c r="B463" i="34"/>
  <c r="B462" i="34"/>
  <c r="B461" i="34"/>
  <c r="B460" i="34"/>
  <c r="B459" i="34"/>
  <c r="B458" i="34"/>
  <c r="B457" i="34"/>
  <c r="B456" i="34"/>
  <c r="B455" i="34"/>
  <c r="B454" i="34"/>
  <c r="B453" i="34"/>
  <c r="B452" i="34"/>
  <c r="B451" i="34"/>
  <c r="B450" i="34"/>
  <c r="B449" i="34"/>
  <c r="B448" i="34"/>
  <c r="B447" i="34"/>
  <c r="B446" i="34"/>
  <c r="B445" i="34"/>
  <c r="B444" i="34"/>
  <c r="B443" i="34"/>
  <c r="B442" i="34"/>
  <c r="B441" i="34"/>
  <c r="B440" i="34"/>
  <c r="B439" i="34"/>
  <c r="B438" i="34"/>
  <c r="B437" i="34"/>
  <c r="B436" i="34"/>
  <c r="B435" i="34"/>
  <c r="B434" i="34"/>
  <c r="B433" i="34"/>
  <c r="B432" i="34"/>
  <c r="B431" i="34"/>
  <c r="B430" i="34"/>
  <c r="B429" i="34"/>
  <c r="B428" i="34"/>
  <c r="B427" i="34"/>
  <c r="B426" i="34"/>
  <c r="B425" i="34"/>
  <c r="B424" i="34"/>
  <c r="B423" i="34"/>
  <c r="B422" i="34"/>
  <c r="B421" i="34"/>
  <c r="B420" i="34"/>
  <c r="B419" i="34"/>
  <c r="B418" i="34"/>
  <c r="B417" i="34"/>
  <c r="B416" i="34"/>
  <c r="B415" i="34"/>
  <c r="B414" i="34"/>
  <c r="B413" i="34"/>
  <c r="B412" i="34"/>
  <c r="B411" i="34"/>
  <c r="B410" i="34"/>
  <c r="B409" i="34"/>
  <c r="B408" i="34"/>
  <c r="B407" i="34"/>
  <c r="B406" i="34"/>
  <c r="B405" i="34"/>
  <c r="B404" i="34"/>
  <c r="B403" i="34"/>
  <c r="B402" i="34"/>
  <c r="B401" i="34"/>
  <c r="B400" i="34"/>
  <c r="B399" i="34"/>
  <c r="B398" i="34"/>
  <c r="B397" i="34"/>
  <c r="B396" i="34"/>
  <c r="B395" i="34"/>
  <c r="B394" i="34"/>
  <c r="B393" i="34"/>
  <c r="B392" i="34"/>
  <c r="B391" i="34"/>
  <c r="B390" i="34"/>
  <c r="B389" i="34"/>
  <c r="B388" i="34"/>
  <c r="B387" i="34"/>
  <c r="B386" i="34"/>
  <c r="B385" i="34"/>
  <c r="B384" i="34"/>
  <c r="B383" i="34"/>
  <c r="B382" i="34"/>
  <c r="B381" i="34"/>
  <c r="B380" i="34"/>
  <c r="B379" i="34"/>
  <c r="B378" i="34"/>
  <c r="B377" i="34"/>
  <c r="B376" i="34"/>
  <c r="B375" i="34"/>
  <c r="B374" i="34"/>
  <c r="B373" i="34"/>
  <c r="B372" i="34"/>
  <c r="B371" i="34"/>
  <c r="B370" i="34"/>
  <c r="B369" i="34"/>
  <c r="B368" i="34"/>
  <c r="B367" i="34"/>
  <c r="B366" i="34"/>
  <c r="B365" i="34"/>
  <c r="B364" i="34"/>
  <c r="B363" i="34"/>
  <c r="B362" i="34"/>
  <c r="B361" i="34"/>
  <c r="B360" i="34"/>
  <c r="B359" i="34"/>
  <c r="B358" i="34"/>
  <c r="B357" i="34"/>
  <c r="B356" i="34"/>
  <c r="B355" i="34"/>
  <c r="B354" i="34"/>
  <c r="B353" i="34"/>
  <c r="B352" i="34"/>
  <c r="B351" i="34"/>
  <c r="B350" i="34"/>
  <c r="B349" i="34"/>
  <c r="B348" i="34"/>
  <c r="B347" i="34"/>
  <c r="B346" i="34"/>
  <c r="B345" i="34"/>
  <c r="B344" i="34"/>
  <c r="B343" i="34"/>
  <c r="B342" i="34"/>
  <c r="B341" i="34"/>
  <c r="B340" i="34"/>
  <c r="B339" i="34"/>
  <c r="B338" i="34"/>
  <c r="B337" i="34"/>
  <c r="B336" i="34"/>
  <c r="B335" i="34"/>
  <c r="B334" i="34"/>
  <c r="B333" i="34"/>
  <c r="B332" i="34"/>
  <c r="B331" i="34"/>
  <c r="B330" i="34"/>
  <c r="B329" i="34"/>
  <c r="B328" i="34"/>
  <c r="B327" i="34"/>
  <c r="B326" i="34"/>
  <c r="B325" i="34"/>
  <c r="B324" i="34"/>
  <c r="B323" i="34"/>
  <c r="B322" i="34"/>
  <c r="B321" i="34"/>
  <c r="B320" i="34"/>
  <c r="B319" i="34"/>
  <c r="B318" i="34"/>
  <c r="B317" i="34"/>
  <c r="B316" i="34"/>
  <c r="B315" i="34"/>
  <c r="B314" i="34"/>
  <c r="B313" i="34"/>
  <c r="B312" i="34"/>
  <c r="B311" i="34"/>
  <c r="B310" i="34"/>
  <c r="B309" i="34"/>
  <c r="B308" i="34"/>
  <c r="B307" i="34"/>
  <c r="B306" i="34"/>
  <c r="B305" i="34"/>
  <c r="B304" i="34"/>
  <c r="B303" i="34"/>
  <c r="B302" i="34"/>
  <c r="B301" i="34"/>
  <c r="B300" i="34"/>
  <c r="B299" i="34"/>
  <c r="B298" i="34"/>
  <c r="B297" i="34"/>
  <c r="B296" i="34"/>
  <c r="B295" i="34"/>
  <c r="B294" i="34"/>
  <c r="B293" i="34"/>
  <c r="B292" i="34"/>
  <c r="B291" i="34"/>
  <c r="B290" i="34"/>
  <c r="B289" i="34"/>
  <c r="B288" i="34"/>
  <c r="B287" i="34"/>
  <c r="B286" i="34"/>
  <c r="B285" i="34"/>
  <c r="B284" i="34"/>
  <c r="B283" i="34"/>
  <c r="B282" i="34"/>
  <c r="B281" i="34"/>
  <c r="B280" i="34"/>
  <c r="B279" i="34"/>
  <c r="B278" i="34"/>
  <c r="B277" i="34"/>
  <c r="B276" i="34"/>
  <c r="B275" i="34"/>
  <c r="B274" i="34"/>
  <c r="B273" i="34"/>
  <c r="B272" i="34"/>
  <c r="B271" i="34"/>
  <c r="B270" i="34"/>
  <c r="B269" i="34"/>
  <c r="B268" i="34"/>
  <c r="B267" i="34"/>
  <c r="B266" i="34"/>
  <c r="B265" i="34"/>
  <c r="B264" i="34"/>
  <c r="B263" i="34"/>
  <c r="B262" i="34"/>
  <c r="B261" i="34"/>
  <c r="B260" i="34"/>
  <c r="B259" i="34"/>
  <c r="B258" i="34"/>
  <c r="B257" i="34"/>
  <c r="B256" i="34"/>
  <c r="B255" i="34"/>
  <c r="B254" i="34"/>
  <c r="B253" i="34"/>
  <c r="B252" i="34"/>
  <c r="B251" i="34"/>
  <c r="B250" i="34"/>
  <c r="B249" i="34"/>
  <c r="B248" i="34"/>
  <c r="B247" i="34"/>
  <c r="B246" i="34"/>
  <c r="B245" i="34"/>
  <c r="B244" i="34"/>
  <c r="B243" i="34"/>
  <c r="B242" i="34"/>
  <c r="B241" i="34"/>
  <c r="B240" i="34"/>
  <c r="B239" i="34"/>
  <c r="B238" i="34"/>
  <c r="B237" i="34"/>
  <c r="B236" i="34"/>
  <c r="B235" i="34"/>
  <c r="B234" i="34"/>
  <c r="B233" i="34"/>
  <c r="B232" i="34"/>
  <c r="B231" i="34"/>
  <c r="B230" i="34"/>
  <c r="B229" i="34"/>
  <c r="B228" i="34"/>
  <c r="B227" i="34"/>
  <c r="B226" i="34"/>
  <c r="B225" i="34"/>
  <c r="B224" i="34"/>
  <c r="B223" i="34"/>
  <c r="B222" i="34"/>
  <c r="B221" i="34"/>
  <c r="B220" i="34"/>
  <c r="B219" i="34"/>
  <c r="B218" i="34"/>
  <c r="B217" i="34"/>
  <c r="B216" i="34"/>
  <c r="B215" i="34"/>
  <c r="B214" i="34"/>
  <c r="B213" i="34"/>
  <c r="B212" i="34"/>
  <c r="B211" i="34"/>
  <c r="B210" i="34"/>
  <c r="B209" i="34"/>
  <c r="B208" i="34"/>
  <c r="B207" i="34"/>
  <c r="B206" i="34"/>
  <c r="B205" i="34"/>
  <c r="B204" i="34"/>
  <c r="B203" i="34"/>
  <c r="B202" i="34"/>
  <c r="B201" i="34"/>
  <c r="B200" i="34"/>
  <c r="B199" i="34"/>
  <c r="B198" i="34"/>
  <c r="B197" i="34"/>
  <c r="B196" i="34"/>
  <c r="B195" i="34"/>
  <c r="B194" i="34"/>
  <c r="B193" i="34"/>
  <c r="B192" i="34"/>
  <c r="B191" i="34"/>
  <c r="B190" i="34"/>
  <c r="B189" i="34"/>
  <c r="B188" i="34"/>
  <c r="B187" i="34"/>
  <c r="B186" i="34"/>
  <c r="B185" i="34"/>
  <c r="B184" i="34"/>
  <c r="B183" i="34"/>
  <c r="B182" i="34"/>
  <c r="B181" i="34"/>
  <c r="B180" i="34"/>
  <c r="B179" i="34"/>
  <c r="B178" i="34"/>
  <c r="B177" i="34"/>
  <c r="B176" i="34"/>
  <c r="B175" i="34"/>
  <c r="B174" i="34"/>
  <c r="B173" i="34"/>
  <c r="B172" i="34"/>
  <c r="B171" i="34"/>
  <c r="B170" i="34"/>
  <c r="B169" i="34"/>
  <c r="B168" i="34"/>
  <c r="B167" i="34"/>
  <c r="B166" i="34"/>
  <c r="B165" i="34"/>
  <c r="B164" i="34"/>
  <c r="B163" i="34"/>
  <c r="B162" i="34"/>
  <c r="B161" i="34"/>
  <c r="B160" i="34"/>
  <c r="B159" i="34"/>
  <c r="B158" i="34"/>
  <c r="B157" i="34"/>
  <c r="B156" i="34"/>
  <c r="B155" i="34"/>
  <c r="B154" i="34"/>
  <c r="B153" i="34"/>
  <c r="B152" i="34"/>
  <c r="B151" i="34"/>
  <c r="B150" i="34"/>
  <c r="B149" i="34"/>
  <c r="B148" i="34"/>
  <c r="B147" i="34"/>
  <c r="B146" i="34"/>
  <c r="B145" i="34"/>
  <c r="B144" i="34"/>
  <c r="B143" i="34"/>
  <c r="B142" i="34"/>
  <c r="B141" i="34"/>
  <c r="B140" i="34"/>
  <c r="B139" i="34"/>
  <c r="B138" i="34"/>
  <c r="B137" i="34"/>
  <c r="B136" i="34"/>
  <c r="B135" i="34"/>
  <c r="B134" i="34"/>
  <c r="B133" i="34"/>
  <c r="B132" i="34"/>
  <c r="B131" i="34"/>
  <c r="B130" i="34"/>
  <c r="B129" i="34"/>
  <c r="B128" i="34"/>
  <c r="B127" i="34"/>
  <c r="B126" i="34"/>
  <c r="B125" i="34"/>
  <c r="B124" i="34"/>
  <c r="B123" i="34"/>
  <c r="B122" i="34"/>
  <c r="B121" i="34"/>
  <c r="B120" i="34"/>
  <c r="B119" i="34"/>
  <c r="B118" i="34"/>
  <c r="B117" i="34"/>
  <c r="B116" i="34"/>
  <c r="B115" i="34"/>
  <c r="B114" i="34"/>
  <c r="B113" i="34"/>
  <c r="B112" i="34"/>
  <c r="B111" i="34"/>
  <c r="B110" i="34"/>
  <c r="B109" i="34"/>
  <c r="B108" i="34"/>
  <c r="B107" i="34"/>
  <c r="B106" i="34"/>
  <c r="B105" i="34"/>
  <c r="B104" i="34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J3" i="34"/>
  <c r="A986" i="33"/>
  <c r="A985" i="33"/>
  <c r="A984" i="33"/>
  <c r="A983" i="33"/>
  <c r="A982" i="33"/>
  <c r="A981" i="33"/>
  <c r="A980" i="33"/>
  <c r="A979" i="33"/>
  <c r="A978" i="33"/>
  <c r="A977" i="33"/>
  <c r="A976" i="33"/>
  <c r="A975" i="33"/>
  <c r="A974" i="33"/>
  <c r="A973" i="33"/>
  <c r="A972" i="33"/>
  <c r="A971" i="33"/>
  <c r="A970" i="33"/>
  <c r="A969" i="33"/>
  <c r="A968" i="33"/>
  <c r="A967" i="33"/>
  <c r="A966" i="33"/>
  <c r="A965" i="33"/>
  <c r="A964" i="33"/>
  <c r="A963" i="33"/>
  <c r="A962" i="33"/>
  <c r="A961" i="33"/>
  <c r="A960" i="33"/>
  <c r="A959" i="33"/>
  <c r="A958" i="33"/>
  <c r="A957" i="33"/>
  <c r="A956" i="33"/>
  <c r="A955" i="33"/>
  <c r="A954" i="33"/>
  <c r="A953" i="33"/>
  <c r="A952" i="33"/>
  <c r="A951" i="33"/>
  <c r="A950" i="33"/>
  <c r="A949" i="33"/>
  <c r="A948" i="33"/>
  <c r="A947" i="33"/>
  <c r="A946" i="33"/>
  <c r="A945" i="33"/>
  <c r="A944" i="33"/>
  <c r="A943" i="33"/>
  <c r="A942" i="33"/>
  <c r="A941" i="33"/>
  <c r="A940" i="33"/>
  <c r="A939" i="33"/>
  <c r="A938" i="33"/>
  <c r="A937" i="33"/>
  <c r="A936" i="33"/>
  <c r="A935" i="33"/>
  <c r="A934" i="33"/>
  <c r="A933" i="33"/>
  <c r="A932" i="33"/>
  <c r="A931" i="33"/>
  <c r="A930" i="33"/>
  <c r="A929" i="33"/>
  <c r="A928" i="33"/>
  <c r="A927" i="33"/>
  <c r="A926" i="33"/>
  <c r="A925" i="33"/>
  <c r="A924" i="33"/>
  <c r="A923" i="33"/>
  <c r="A922" i="33"/>
  <c r="A921" i="33"/>
  <c r="A920" i="33"/>
  <c r="A919" i="33"/>
  <c r="A918" i="33"/>
  <c r="A917" i="33"/>
  <c r="A916" i="33"/>
  <c r="A915" i="33"/>
  <c r="A914" i="33"/>
  <c r="A913" i="33"/>
  <c r="A912" i="33"/>
  <c r="A911" i="33"/>
  <c r="A910" i="33"/>
  <c r="A909" i="33"/>
  <c r="A908" i="33"/>
  <c r="A907" i="33"/>
  <c r="A906" i="33"/>
  <c r="A905" i="33"/>
  <c r="A904" i="33"/>
  <c r="A903" i="33"/>
  <c r="A902" i="33"/>
  <c r="A901" i="33"/>
  <c r="A900" i="33"/>
  <c r="A899" i="33"/>
  <c r="A898" i="33"/>
  <c r="A897" i="33"/>
  <c r="A896" i="33"/>
  <c r="A895" i="33"/>
  <c r="A894" i="33"/>
  <c r="A893" i="33"/>
  <c r="A892" i="33"/>
  <c r="A891" i="33"/>
  <c r="A890" i="33"/>
  <c r="A889" i="33"/>
  <c r="A888" i="33"/>
  <c r="A887" i="33"/>
  <c r="A886" i="33"/>
  <c r="A885" i="33"/>
  <c r="A884" i="33"/>
  <c r="A883" i="33"/>
  <c r="A882" i="33"/>
  <c r="A881" i="33"/>
  <c r="A880" i="33"/>
  <c r="A879" i="33"/>
  <c r="A878" i="33"/>
  <c r="A877" i="33"/>
  <c r="A876" i="33"/>
  <c r="A875" i="33"/>
  <c r="A874" i="33"/>
  <c r="A873" i="33"/>
  <c r="A872" i="33"/>
  <c r="A871" i="33"/>
  <c r="A870" i="33"/>
  <c r="A869" i="33"/>
  <c r="A868" i="33"/>
  <c r="A867" i="33"/>
  <c r="A866" i="33"/>
  <c r="A865" i="33"/>
  <c r="A864" i="33"/>
  <c r="A863" i="33"/>
  <c r="A862" i="33"/>
  <c r="A861" i="33"/>
  <c r="A860" i="33"/>
  <c r="A859" i="33"/>
  <c r="A858" i="33"/>
  <c r="A857" i="33"/>
  <c r="A856" i="33"/>
  <c r="A855" i="33"/>
  <c r="A854" i="33"/>
  <c r="A853" i="33"/>
  <c r="A852" i="33"/>
  <c r="A851" i="33"/>
  <c r="A850" i="33"/>
  <c r="A849" i="33"/>
  <c r="A848" i="33"/>
  <c r="A847" i="33"/>
  <c r="A846" i="33"/>
  <c r="A845" i="33"/>
  <c r="A844" i="33"/>
  <c r="A843" i="33"/>
  <c r="A842" i="33"/>
  <c r="A841" i="33"/>
  <c r="A840" i="33"/>
  <c r="A839" i="33"/>
  <c r="A838" i="33"/>
  <c r="A837" i="33"/>
  <c r="A836" i="33"/>
  <c r="A835" i="33"/>
  <c r="A834" i="33"/>
  <c r="A833" i="33"/>
  <c r="A832" i="33"/>
  <c r="A831" i="33"/>
  <c r="A830" i="33"/>
  <c r="A829" i="33"/>
  <c r="A828" i="33"/>
  <c r="A827" i="33"/>
  <c r="A826" i="33"/>
  <c r="A825" i="33"/>
  <c r="A824" i="33"/>
  <c r="A823" i="33"/>
  <c r="A822" i="33"/>
  <c r="A821" i="33"/>
  <c r="A820" i="33"/>
  <c r="A819" i="33"/>
  <c r="A818" i="33"/>
  <c r="A817" i="33"/>
  <c r="A816" i="33"/>
  <c r="A815" i="33"/>
  <c r="A814" i="33"/>
  <c r="A813" i="33"/>
  <c r="A812" i="33"/>
  <c r="A811" i="33"/>
  <c r="A810" i="33"/>
  <c r="A809" i="33"/>
  <c r="A808" i="33"/>
  <c r="A807" i="33"/>
  <c r="A806" i="33"/>
  <c r="A805" i="33"/>
  <c r="A804" i="33"/>
  <c r="A803" i="33"/>
  <c r="A802" i="33"/>
  <c r="A801" i="33"/>
  <c r="A800" i="33"/>
  <c r="A799" i="33"/>
  <c r="A798" i="33"/>
  <c r="A797" i="33"/>
  <c r="A796" i="33"/>
  <c r="A795" i="33"/>
  <c r="A794" i="33"/>
  <c r="A793" i="33"/>
  <c r="A792" i="33"/>
  <c r="A791" i="33"/>
  <c r="A790" i="33"/>
  <c r="A789" i="33"/>
  <c r="A788" i="33"/>
  <c r="A787" i="33"/>
  <c r="A786" i="33"/>
  <c r="A785" i="33"/>
  <c r="A784" i="33"/>
  <c r="A783" i="33"/>
  <c r="A782" i="33"/>
  <c r="A781" i="33"/>
  <c r="A780" i="33"/>
  <c r="A779" i="33"/>
  <c r="A778" i="33"/>
  <c r="A777" i="33"/>
  <c r="A776" i="33"/>
  <c r="A775" i="33"/>
  <c r="A774" i="33"/>
  <c r="A773" i="33"/>
  <c r="A772" i="33"/>
  <c r="A771" i="33"/>
  <c r="A770" i="33"/>
  <c r="A769" i="33"/>
  <c r="A768" i="33"/>
  <c r="A767" i="33"/>
  <c r="A766" i="33"/>
  <c r="A765" i="33"/>
  <c r="A764" i="33"/>
  <c r="A763" i="33"/>
  <c r="A762" i="33"/>
  <c r="A761" i="33"/>
  <c r="A760" i="33"/>
  <c r="A759" i="33"/>
  <c r="A758" i="33"/>
  <c r="A757" i="33"/>
  <c r="A756" i="33"/>
  <c r="A755" i="33"/>
  <c r="A754" i="33"/>
  <c r="A753" i="33"/>
  <c r="A752" i="33"/>
  <c r="A751" i="33"/>
  <c r="A750" i="33"/>
  <c r="A749" i="33"/>
  <c r="A748" i="33"/>
  <c r="A747" i="33"/>
  <c r="A746" i="33"/>
  <c r="A745" i="33"/>
  <c r="A744" i="33"/>
  <c r="A743" i="33"/>
  <c r="A742" i="33"/>
  <c r="A741" i="33"/>
  <c r="A740" i="33"/>
  <c r="A739" i="33"/>
  <c r="A738" i="33"/>
  <c r="A737" i="33"/>
  <c r="A736" i="33"/>
  <c r="A735" i="33"/>
  <c r="A734" i="33"/>
  <c r="A733" i="33"/>
  <c r="A732" i="33"/>
  <c r="A731" i="33"/>
  <c r="A730" i="33"/>
  <c r="A729" i="33"/>
  <c r="A728" i="33"/>
  <c r="A727" i="33"/>
  <c r="A726" i="33"/>
  <c r="A725" i="33"/>
  <c r="A724" i="33"/>
  <c r="A723" i="33"/>
  <c r="A722" i="33"/>
  <c r="A721" i="33"/>
  <c r="A720" i="33"/>
  <c r="A719" i="33"/>
  <c r="A718" i="33"/>
  <c r="A717" i="33"/>
  <c r="A716" i="33"/>
  <c r="A715" i="33"/>
  <c r="A714" i="33"/>
  <c r="A713" i="33"/>
  <c r="A712" i="33"/>
  <c r="A711" i="33"/>
  <c r="A710" i="33"/>
  <c r="A709" i="33"/>
  <c r="A708" i="33"/>
  <c r="A707" i="33"/>
  <c r="A706" i="33"/>
  <c r="A705" i="33"/>
  <c r="A704" i="33"/>
  <c r="A703" i="33"/>
  <c r="A702" i="33"/>
  <c r="A701" i="33"/>
  <c r="A700" i="33"/>
  <c r="A699" i="33"/>
  <c r="A698" i="33"/>
  <c r="A697" i="33"/>
  <c r="A696" i="33"/>
  <c r="A695" i="33"/>
  <c r="A694" i="33"/>
  <c r="A693" i="33"/>
  <c r="A692" i="33"/>
  <c r="A691" i="33"/>
  <c r="A690" i="33"/>
  <c r="A689" i="33"/>
  <c r="A688" i="33"/>
  <c r="A687" i="33"/>
  <c r="A686" i="33"/>
  <c r="A685" i="33"/>
  <c r="A684" i="33"/>
  <c r="A683" i="33"/>
  <c r="A682" i="33"/>
  <c r="A681" i="33"/>
  <c r="A680" i="33"/>
  <c r="A679" i="33"/>
  <c r="A678" i="33"/>
  <c r="A677" i="33"/>
  <c r="A676" i="33"/>
  <c r="A675" i="33"/>
  <c r="A674" i="33"/>
  <c r="A673" i="33"/>
  <c r="A672" i="33"/>
  <c r="A671" i="33"/>
  <c r="A670" i="33"/>
  <c r="A669" i="33"/>
  <c r="A668" i="33"/>
  <c r="A667" i="33"/>
  <c r="A666" i="33"/>
  <c r="A665" i="33"/>
  <c r="A664" i="33"/>
  <c r="A663" i="33"/>
  <c r="A662" i="33"/>
  <c r="A661" i="33"/>
  <c r="A660" i="33"/>
  <c r="A659" i="33"/>
  <c r="A658" i="33"/>
  <c r="A657" i="33"/>
  <c r="A656" i="33"/>
  <c r="A655" i="33"/>
  <c r="A654" i="33"/>
  <c r="A653" i="33"/>
  <c r="A652" i="33"/>
  <c r="A651" i="33"/>
  <c r="A650" i="33"/>
  <c r="A649" i="33"/>
  <c r="A648" i="33"/>
  <c r="A647" i="33"/>
  <c r="A646" i="33"/>
  <c r="A645" i="33"/>
  <c r="A644" i="33"/>
  <c r="A643" i="33"/>
  <c r="A642" i="33"/>
  <c r="A641" i="33"/>
  <c r="A640" i="33"/>
  <c r="A639" i="33"/>
  <c r="A638" i="33"/>
  <c r="A637" i="33"/>
  <c r="A636" i="33"/>
  <c r="A635" i="33"/>
  <c r="A634" i="33"/>
  <c r="A633" i="33"/>
  <c r="A632" i="33"/>
  <c r="A631" i="33"/>
  <c r="A630" i="33"/>
  <c r="A629" i="33"/>
  <c r="A628" i="33"/>
  <c r="A627" i="33"/>
  <c r="A626" i="33"/>
  <c r="A625" i="33"/>
  <c r="A624" i="33"/>
  <c r="A623" i="33"/>
  <c r="A622" i="33"/>
  <c r="A621" i="33"/>
  <c r="A620" i="33"/>
  <c r="A619" i="33"/>
  <c r="A618" i="33"/>
  <c r="A617" i="33"/>
  <c r="A616" i="33"/>
  <c r="A615" i="33"/>
  <c r="A614" i="33"/>
  <c r="A613" i="33"/>
  <c r="A612" i="33"/>
  <c r="A611" i="33"/>
  <c r="A610" i="33"/>
  <c r="A609" i="33"/>
  <c r="A608" i="33"/>
  <c r="A607" i="33"/>
  <c r="A606" i="33"/>
  <c r="A605" i="33"/>
  <c r="A604" i="33"/>
  <c r="A603" i="33"/>
  <c r="A602" i="33"/>
  <c r="A601" i="33"/>
  <c r="A600" i="33"/>
  <c r="A599" i="33"/>
  <c r="A598" i="33"/>
  <c r="A597" i="33"/>
  <c r="A596" i="33"/>
  <c r="A595" i="33"/>
  <c r="A594" i="33"/>
  <c r="A593" i="33"/>
  <c r="A592" i="33"/>
  <c r="A591" i="33"/>
  <c r="A590" i="33"/>
  <c r="A589" i="33"/>
  <c r="A588" i="33"/>
  <c r="A587" i="33"/>
  <c r="A586" i="33"/>
  <c r="A585" i="33"/>
  <c r="A584" i="33"/>
  <c r="A583" i="33"/>
  <c r="A582" i="33"/>
  <c r="A581" i="33"/>
  <c r="A580" i="33"/>
  <c r="A579" i="33"/>
  <c r="A578" i="33"/>
  <c r="A577" i="33"/>
  <c r="A576" i="33"/>
  <c r="A575" i="33"/>
  <c r="A574" i="33"/>
  <c r="A573" i="33"/>
  <c r="A572" i="33"/>
  <c r="A571" i="33"/>
  <c r="A570" i="33"/>
  <c r="A569" i="33"/>
  <c r="A568" i="33"/>
  <c r="A567" i="33"/>
  <c r="A566" i="33"/>
  <c r="A565" i="33"/>
  <c r="A564" i="33"/>
  <c r="A563" i="33"/>
  <c r="A562" i="33"/>
  <c r="A561" i="33"/>
  <c r="A560" i="33"/>
  <c r="A559" i="33"/>
  <c r="A558" i="33"/>
  <c r="A557" i="33"/>
  <c r="A556" i="33"/>
  <c r="A555" i="33"/>
  <c r="A554" i="33"/>
  <c r="A553" i="33"/>
  <c r="A552" i="33"/>
  <c r="A551" i="33"/>
  <c r="A550" i="33"/>
  <c r="A549" i="33"/>
  <c r="A548" i="33"/>
  <c r="A547" i="33"/>
  <c r="A546" i="33"/>
  <c r="A545" i="33"/>
  <c r="A544" i="33"/>
  <c r="A543" i="33"/>
  <c r="A542" i="33"/>
  <c r="A541" i="33"/>
  <c r="A540" i="33"/>
  <c r="A539" i="33"/>
  <c r="A538" i="33"/>
  <c r="A537" i="33"/>
  <c r="A536" i="33"/>
  <c r="A535" i="33"/>
  <c r="A534" i="33"/>
  <c r="A533" i="33"/>
  <c r="A532" i="33"/>
  <c r="A531" i="33"/>
  <c r="A530" i="33"/>
  <c r="A529" i="33"/>
  <c r="A528" i="33"/>
  <c r="A527" i="33"/>
  <c r="A526" i="33"/>
  <c r="A525" i="33"/>
  <c r="A524" i="33"/>
  <c r="A523" i="33"/>
  <c r="A522" i="33"/>
  <c r="A521" i="33"/>
  <c r="A520" i="33"/>
  <c r="A519" i="33"/>
  <c r="A518" i="33"/>
  <c r="A517" i="33"/>
  <c r="A516" i="33"/>
  <c r="A515" i="33"/>
  <c r="A514" i="33"/>
  <c r="A513" i="33"/>
  <c r="A512" i="33"/>
  <c r="A511" i="33"/>
  <c r="A510" i="33"/>
  <c r="A509" i="33"/>
  <c r="A508" i="33"/>
  <c r="A507" i="33"/>
  <c r="A506" i="33"/>
  <c r="A505" i="33"/>
  <c r="A504" i="33"/>
  <c r="A503" i="33"/>
  <c r="A502" i="33"/>
  <c r="A501" i="33"/>
  <c r="A500" i="33"/>
  <c r="A499" i="33"/>
  <c r="A498" i="33"/>
  <c r="A497" i="33"/>
  <c r="A496" i="33"/>
  <c r="A495" i="33"/>
  <c r="A494" i="33"/>
  <c r="A493" i="33"/>
  <c r="A492" i="33"/>
  <c r="A491" i="33"/>
  <c r="A490" i="33"/>
  <c r="A489" i="33"/>
  <c r="A488" i="33"/>
  <c r="A487" i="33"/>
  <c r="A486" i="33"/>
  <c r="A485" i="33"/>
  <c r="A484" i="33"/>
  <c r="A483" i="33"/>
  <c r="A482" i="33"/>
  <c r="A481" i="33"/>
  <c r="A480" i="33"/>
  <c r="A479" i="33"/>
  <c r="A478" i="33"/>
  <c r="A477" i="33"/>
  <c r="A476" i="33"/>
  <c r="A475" i="33"/>
  <c r="A474" i="33"/>
  <c r="A473" i="33"/>
  <c r="A472" i="33"/>
  <c r="A471" i="33"/>
  <c r="A470" i="33"/>
  <c r="A469" i="33"/>
  <c r="A468" i="33"/>
  <c r="A467" i="33"/>
  <c r="A466" i="33"/>
  <c r="A465" i="33"/>
  <c r="A464" i="33"/>
  <c r="A463" i="33"/>
  <c r="A462" i="33"/>
  <c r="A461" i="33"/>
  <c r="A460" i="33"/>
  <c r="A459" i="33"/>
  <c r="A458" i="33"/>
  <c r="A457" i="33"/>
  <c r="A456" i="33"/>
  <c r="A455" i="33"/>
  <c r="A454" i="33"/>
  <c r="A453" i="33"/>
  <c r="A452" i="33"/>
  <c r="A451" i="33"/>
  <c r="A450" i="33"/>
  <c r="A449" i="33"/>
  <c r="A448" i="33"/>
  <c r="A447" i="33"/>
  <c r="A446" i="33"/>
  <c r="A445" i="33"/>
  <c r="A444" i="33"/>
  <c r="A443" i="33"/>
  <c r="A442" i="33"/>
  <c r="A441" i="33"/>
  <c r="A440" i="33"/>
  <c r="A439" i="33"/>
  <c r="A438" i="33"/>
  <c r="A437" i="33"/>
  <c r="A436" i="33"/>
  <c r="A435" i="33"/>
  <c r="A434" i="33"/>
  <c r="A433" i="33"/>
  <c r="A432" i="33"/>
  <c r="A431" i="33"/>
  <c r="A430" i="33"/>
  <c r="A429" i="33"/>
  <c r="A428" i="33"/>
  <c r="A427" i="33"/>
  <c r="A426" i="33"/>
  <c r="A425" i="33"/>
  <c r="A424" i="33"/>
  <c r="A423" i="33"/>
  <c r="A422" i="33"/>
  <c r="A421" i="33"/>
  <c r="A420" i="33"/>
  <c r="A419" i="33"/>
  <c r="A418" i="33"/>
  <c r="A417" i="33"/>
  <c r="A416" i="33"/>
  <c r="A415" i="33"/>
  <c r="A414" i="33"/>
  <c r="A413" i="33"/>
  <c r="A412" i="33"/>
  <c r="A411" i="33"/>
  <c r="A410" i="33"/>
  <c r="A409" i="33"/>
  <c r="A408" i="33"/>
  <c r="A407" i="33"/>
  <c r="A406" i="33"/>
  <c r="A405" i="33"/>
  <c r="A404" i="33"/>
  <c r="A403" i="33"/>
  <c r="A402" i="33"/>
  <c r="A401" i="33"/>
  <c r="A400" i="33"/>
  <c r="A399" i="33"/>
  <c r="A398" i="33"/>
  <c r="A397" i="33"/>
  <c r="A396" i="33"/>
  <c r="A395" i="33"/>
  <c r="A394" i="33"/>
  <c r="A393" i="33"/>
  <c r="A392" i="33"/>
  <c r="A391" i="33"/>
  <c r="A390" i="33"/>
  <c r="A389" i="33"/>
  <c r="A388" i="33"/>
  <c r="A387" i="33"/>
  <c r="A386" i="33"/>
  <c r="A385" i="33"/>
  <c r="A384" i="33"/>
  <c r="A383" i="33"/>
  <c r="A382" i="33"/>
  <c r="A381" i="33"/>
  <c r="A380" i="33"/>
  <c r="A379" i="33"/>
  <c r="A378" i="33"/>
  <c r="A377" i="33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986" i="32"/>
  <c r="A985" i="32"/>
  <c r="A984" i="32"/>
  <c r="A983" i="32"/>
  <c r="A982" i="32"/>
  <c r="A981" i="32"/>
  <c r="A980" i="32"/>
  <c r="A979" i="32"/>
  <c r="A978" i="32"/>
  <c r="A977" i="32"/>
  <c r="A976" i="32"/>
  <c r="A975" i="32"/>
  <c r="A974" i="32"/>
  <c r="A973" i="32"/>
  <c r="A972" i="32"/>
  <c r="A971" i="32"/>
  <c r="A970" i="32"/>
  <c r="A969" i="32"/>
  <c r="A968" i="32"/>
  <c r="A967" i="32"/>
  <c r="A966" i="32"/>
  <c r="A965" i="32"/>
  <c r="A964" i="32"/>
  <c r="A963" i="32"/>
  <c r="A962" i="32"/>
  <c r="A961" i="32"/>
  <c r="A960" i="32"/>
  <c r="A959" i="32"/>
  <c r="A958" i="32"/>
  <c r="A957" i="32"/>
  <c r="A956" i="32"/>
  <c r="A955" i="32"/>
  <c r="A954" i="32"/>
  <c r="A953" i="32"/>
  <c r="A952" i="32"/>
  <c r="A951" i="32"/>
  <c r="A950" i="32"/>
  <c r="A949" i="32"/>
  <c r="A948" i="32"/>
  <c r="A947" i="32"/>
  <c r="A946" i="32"/>
  <c r="A945" i="32"/>
  <c r="A944" i="32"/>
  <c r="A943" i="32"/>
  <c r="A942" i="32"/>
  <c r="A941" i="32"/>
  <c r="A940" i="32"/>
  <c r="A939" i="32"/>
  <c r="A938" i="32"/>
  <c r="A937" i="32"/>
  <c r="A936" i="32"/>
  <c r="A935" i="32"/>
  <c r="A934" i="32"/>
  <c r="A933" i="32"/>
  <c r="A932" i="32"/>
  <c r="A931" i="32"/>
  <c r="A930" i="32"/>
  <c r="A929" i="32"/>
  <c r="A928" i="32"/>
  <c r="A927" i="32"/>
  <c r="A926" i="32"/>
  <c r="A925" i="32"/>
  <c r="A924" i="32"/>
  <c r="A923" i="32"/>
  <c r="A922" i="32"/>
  <c r="A921" i="32"/>
  <c r="A920" i="32"/>
  <c r="A919" i="32"/>
  <c r="A918" i="32"/>
  <c r="A917" i="32"/>
  <c r="A916" i="32"/>
  <c r="A915" i="32"/>
  <c r="A914" i="32"/>
  <c r="A913" i="32"/>
  <c r="A912" i="32"/>
  <c r="A911" i="32"/>
  <c r="A910" i="32"/>
  <c r="A909" i="32"/>
  <c r="A908" i="32"/>
  <c r="A907" i="32"/>
  <c r="A906" i="32"/>
  <c r="A905" i="32"/>
  <c r="A904" i="32"/>
  <c r="A903" i="32"/>
  <c r="A902" i="32"/>
  <c r="A901" i="32"/>
  <c r="A900" i="32"/>
  <c r="A899" i="32"/>
  <c r="A898" i="32"/>
  <c r="A897" i="32"/>
  <c r="A896" i="32"/>
  <c r="A895" i="32"/>
  <c r="A894" i="32"/>
  <c r="A893" i="32"/>
  <c r="A892" i="32"/>
  <c r="A891" i="32"/>
  <c r="A890" i="32"/>
  <c r="A889" i="32"/>
  <c r="A888" i="32"/>
  <c r="A887" i="32"/>
  <c r="A886" i="32"/>
  <c r="A885" i="32"/>
  <c r="A884" i="32"/>
  <c r="A883" i="32"/>
  <c r="A882" i="32"/>
  <c r="A881" i="32"/>
  <c r="A880" i="32"/>
  <c r="A879" i="32"/>
  <c r="A878" i="32"/>
  <c r="A877" i="32"/>
  <c r="A876" i="32"/>
  <c r="A875" i="32"/>
  <c r="A874" i="32"/>
  <c r="A873" i="32"/>
  <c r="A872" i="32"/>
  <c r="A871" i="32"/>
  <c r="A870" i="32"/>
  <c r="A869" i="32"/>
  <c r="A868" i="32"/>
  <c r="A867" i="32"/>
  <c r="A866" i="32"/>
  <c r="A865" i="32"/>
  <c r="A864" i="32"/>
  <c r="A863" i="32"/>
  <c r="A862" i="32"/>
  <c r="A861" i="32"/>
  <c r="A860" i="32"/>
  <c r="A859" i="32"/>
  <c r="A858" i="32"/>
  <c r="A857" i="32"/>
  <c r="A856" i="32"/>
  <c r="A855" i="32"/>
  <c r="A854" i="32"/>
  <c r="A853" i="32"/>
  <c r="A852" i="32"/>
  <c r="A851" i="32"/>
  <c r="A850" i="32"/>
  <c r="A849" i="32"/>
  <c r="A848" i="32"/>
  <c r="A847" i="32"/>
  <c r="A846" i="32"/>
  <c r="A845" i="32"/>
  <c r="A844" i="32"/>
  <c r="A843" i="32"/>
  <c r="A842" i="32"/>
  <c r="A841" i="32"/>
  <c r="A840" i="32"/>
  <c r="A839" i="32"/>
  <c r="A838" i="32"/>
  <c r="A837" i="32"/>
  <c r="A836" i="32"/>
  <c r="A835" i="32"/>
  <c r="A834" i="32"/>
  <c r="A833" i="32"/>
  <c r="A832" i="32"/>
  <c r="A831" i="32"/>
  <c r="A830" i="32"/>
  <c r="A829" i="32"/>
  <c r="A828" i="32"/>
  <c r="A827" i="32"/>
  <c r="A826" i="32"/>
  <c r="A825" i="32"/>
  <c r="A824" i="32"/>
  <c r="A823" i="32"/>
  <c r="A822" i="32"/>
  <c r="A821" i="32"/>
  <c r="A820" i="32"/>
  <c r="A819" i="32"/>
  <c r="A818" i="32"/>
  <c r="A817" i="32"/>
  <c r="A816" i="32"/>
  <c r="A815" i="32"/>
  <c r="A814" i="32"/>
  <c r="A813" i="32"/>
  <c r="A812" i="32"/>
  <c r="A811" i="32"/>
  <c r="A810" i="32"/>
  <c r="A809" i="32"/>
  <c r="A808" i="32"/>
  <c r="A807" i="32"/>
  <c r="A806" i="32"/>
  <c r="A805" i="32"/>
  <c r="A804" i="32"/>
  <c r="A803" i="32"/>
  <c r="A802" i="32"/>
  <c r="A801" i="32"/>
  <c r="A800" i="32"/>
  <c r="A799" i="32"/>
  <c r="A798" i="32"/>
  <c r="A797" i="32"/>
  <c r="A796" i="32"/>
  <c r="A795" i="32"/>
  <c r="A794" i="32"/>
  <c r="A793" i="32"/>
  <c r="A792" i="32"/>
  <c r="A791" i="32"/>
  <c r="A790" i="32"/>
  <c r="A789" i="32"/>
  <c r="A788" i="32"/>
  <c r="A787" i="32"/>
  <c r="A786" i="32"/>
  <c r="A785" i="32"/>
  <c r="A784" i="32"/>
  <c r="A783" i="32"/>
  <c r="A782" i="32"/>
  <c r="A781" i="32"/>
  <c r="A780" i="32"/>
  <c r="A779" i="32"/>
  <c r="A778" i="32"/>
  <c r="A777" i="32"/>
  <c r="A776" i="32"/>
  <c r="A775" i="32"/>
  <c r="A774" i="32"/>
  <c r="A773" i="32"/>
  <c r="A772" i="32"/>
  <c r="A771" i="32"/>
  <c r="A770" i="32"/>
  <c r="A769" i="32"/>
  <c r="A768" i="32"/>
  <c r="A767" i="32"/>
  <c r="A766" i="32"/>
  <c r="A765" i="32"/>
  <c r="A764" i="32"/>
  <c r="A763" i="32"/>
  <c r="A762" i="32"/>
  <c r="A761" i="32"/>
  <c r="A760" i="32"/>
  <c r="A759" i="32"/>
  <c r="A758" i="32"/>
  <c r="A757" i="32"/>
  <c r="A756" i="32"/>
  <c r="A755" i="32"/>
  <c r="A754" i="32"/>
  <c r="A753" i="32"/>
  <c r="A752" i="32"/>
  <c r="A751" i="32"/>
  <c r="A750" i="32"/>
  <c r="A749" i="32"/>
  <c r="A748" i="32"/>
  <c r="A747" i="32"/>
  <c r="A746" i="32"/>
  <c r="A745" i="32"/>
  <c r="A744" i="32"/>
  <c r="A743" i="32"/>
  <c r="A742" i="32"/>
  <c r="A741" i="32"/>
  <c r="A740" i="32"/>
  <c r="A739" i="32"/>
  <c r="A738" i="32"/>
  <c r="A737" i="32"/>
  <c r="A736" i="32"/>
  <c r="A735" i="32"/>
  <c r="A734" i="32"/>
  <c r="A733" i="32"/>
  <c r="A732" i="32"/>
  <c r="A731" i="32"/>
  <c r="A730" i="32"/>
  <c r="A729" i="32"/>
  <c r="A728" i="32"/>
  <c r="A727" i="32"/>
  <c r="A726" i="32"/>
  <c r="A725" i="32"/>
  <c r="A724" i="32"/>
  <c r="A723" i="32"/>
  <c r="A722" i="32"/>
  <c r="A721" i="32"/>
  <c r="A720" i="32"/>
  <c r="A719" i="32"/>
  <c r="A718" i="32"/>
  <c r="A717" i="32"/>
  <c r="A716" i="32"/>
  <c r="A715" i="32"/>
  <c r="A714" i="32"/>
  <c r="A713" i="32"/>
  <c r="A712" i="32"/>
  <c r="A711" i="32"/>
  <c r="A710" i="32"/>
  <c r="A709" i="32"/>
  <c r="A708" i="32"/>
  <c r="A707" i="32"/>
  <c r="A706" i="32"/>
  <c r="A705" i="32"/>
  <c r="A704" i="32"/>
  <c r="A703" i="32"/>
  <c r="A702" i="32"/>
  <c r="A701" i="32"/>
  <c r="A700" i="32"/>
  <c r="A699" i="32"/>
  <c r="A698" i="32"/>
  <c r="A697" i="32"/>
  <c r="A696" i="32"/>
  <c r="A695" i="32"/>
  <c r="A694" i="32"/>
  <c r="A693" i="32"/>
  <c r="A692" i="32"/>
  <c r="A691" i="32"/>
  <c r="A690" i="32"/>
  <c r="A689" i="32"/>
  <c r="A688" i="32"/>
  <c r="A687" i="32"/>
  <c r="A686" i="32"/>
  <c r="A685" i="32"/>
  <c r="A684" i="32"/>
  <c r="A683" i="32"/>
  <c r="A682" i="32"/>
  <c r="A681" i="32"/>
  <c r="A680" i="32"/>
  <c r="A679" i="32"/>
  <c r="A678" i="32"/>
  <c r="A677" i="32"/>
  <c r="A676" i="32"/>
  <c r="A675" i="32"/>
  <c r="A674" i="32"/>
  <c r="A673" i="32"/>
  <c r="A672" i="32"/>
  <c r="A671" i="32"/>
  <c r="A670" i="32"/>
  <c r="A669" i="32"/>
  <c r="A668" i="32"/>
  <c r="A667" i="32"/>
  <c r="A666" i="32"/>
  <c r="A665" i="32"/>
  <c r="A664" i="32"/>
  <c r="A663" i="32"/>
  <c r="A662" i="32"/>
  <c r="A661" i="32"/>
  <c r="A660" i="32"/>
  <c r="A659" i="32"/>
  <c r="A658" i="32"/>
  <c r="A657" i="32"/>
  <c r="A656" i="32"/>
  <c r="A655" i="32"/>
  <c r="A654" i="32"/>
  <c r="A653" i="32"/>
  <c r="A652" i="32"/>
  <c r="A651" i="32"/>
  <c r="A650" i="32"/>
  <c r="A649" i="32"/>
  <c r="A648" i="32"/>
  <c r="A647" i="32"/>
  <c r="A646" i="32"/>
  <c r="A645" i="32"/>
  <c r="A644" i="32"/>
  <c r="A643" i="32"/>
  <c r="A642" i="32"/>
  <c r="A641" i="32"/>
  <c r="A640" i="32"/>
  <c r="A639" i="32"/>
  <c r="A638" i="32"/>
  <c r="A637" i="32"/>
  <c r="A636" i="32"/>
  <c r="A635" i="32"/>
  <c r="A634" i="32"/>
  <c r="A633" i="32"/>
  <c r="A632" i="32"/>
  <c r="A631" i="32"/>
  <c r="A630" i="32"/>
  <c r="A629" i="32"/>
  <c r="A628" i="32"/>
  <c r="A627" i="32"/>
  <c r="A626" i="32"/>
  <c r="A625" i="32"/>
  <c r="A624" i="32"/>
  <c r="A623" i="32"/>
  <c r="A622" i="32"/>
  <c r="A621" i="32"/>
  <c r="A620" i="32"/>
  <c r="A619" i="32"/>
  <c r="A618" i="32"/>
  <c r="A617" i="32"/>
  <c r="A616" i="32"/>
  <c r="A615" i="32"/>
  <c r="A614" i="32"/>
  <c r="A613" i="32"/>
  <c r="A612" i="32"/>
  <c r="A611" i="32"/>
  <c r="A610" i="32"/>
  <c r="A609" i="32"/>
  <c r="A608" i="32"/>
  <c r="A607" i="32"/>
  <c r="A606" i="32"/>
  <c r="A605" i="32"/>
  <c r="A604" i="32"/>
  <c r="A603" i="32"/>
  <c r="A602" i="32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986" i="31"/>
  <c r="A985" i="31"/>
  <c r="A984" i="31"/>
  <c r="A983" i="31"/>
  <c r="A982" i="31"/>
  <c r="A981" i="31"/>
  <c r="A980" i="31"/>
  <c r="A979" i="31"/>
  <c r="A978" i="31"/>
  <c r="A977" i="31"/>
  <c r="A976" i="31"/>
  <c r="A975" i="31"/>
  <c r="A974" i="31"/>
  <c r="A973" i="31"/>
  <c r="A972" i="31"/>
  <c r="A971" i="31"/>
  <c r="A970" i="31"/>
  <c r="A969" i="31"/>
  <c r="A968" i="31"/>
  <c r="A967" i="31"/>
  <c r="A966" i="31"/>
  <c r="A965" i="31"/>
  <c r="A964" i="31"/>
  <c r="A963" i="31"/>
  <c r="A962" i="31"/>
  <c r="A961" i="31"/>
  <c r="A960" i="31"/>
  <c r="A959" i="31"/>
  <c r="A958" i="31"/>
  <c r="A957" i="31"/>
  <c r="A956" i="31"/>
  <c r="A955" i="31"/>
  <c r="A954" i="31"/>
  <c r="A953" i="31"/>
  <c r="A952" i="31"/>
  <c r="A951" i="31"/>
  <c r="A950" i="31"/>
  <c r="A949" i="31"/>
  <c r="A948" i="31"/>
  <c r="A947" i="31"/>
  <c r="A946" i="31"/>
  <c r="A945" i="31"/>
  <c r="A944" i="31"/>
  <c r="A943" i="31"/>
  <c r="A942" i="31"/>
  <c r="A941" i="31"/>
  <c r="A940" i="31"/>
  <c r="A939" i="31"/>
  <c r="A938" i="31"/>
  <c r="A937" i="31"/>
  <c r="A936" i="31"/>
  <c r="A935" i="31"/>
  <c r="A934" i="31"/>
  <c r="A933" i="31"/>
  <c r="A932" i="31"/>
  <c r="A931" i="31"/>
  <c r="A930" i="31"/>
  <c r="A929" i="31"/>
  <c r="A928" i="31"/>
  <c r="A927" i="31"/>
  <c r="A926" i="31"/>
  <c r="A925" i="31"/>
  <c r="A924" i="31"/>
  <c r="A923" i="31"/>
  <c r="A922" i="31"/>
  <c r="A921" i="31"/>
  <c r="A920" i="31"/>
  <c r="A919" i="31"/>
  <c r="A918" i="31"/>
  <c r="A917" i="31"/>
  <c r="A916" i="31"/>
  <c r="A915" i="31"/>
  <c r="A914" i="31"/>
  <c r="A913" i="31"/>
  <c r="A912" i="31"/>
  <c r="A911" i="31"/>
  <c r="A910" i="31"/>
  <c r="A909" i="31"/>
  <c r="A908" i="31"/>
  <c r="A907" i="31"/>
  <c r="A906" i="31"/>
  <c r="A905" i="31"/>
  <c r="A904" i="31"/>
  <c r="A903" i="31"/>
  <c r="A902" i="31"/>
  <c r="A901" i="31"/>
  <c r="A900" i="31"/>
  <c r="A899" i="31"/>
  <c r="A898" i="31"/>
  <c r="A897" i="31"/>
  <c r="A896" i="31"/>
  <c r="A895" i="31"/>
  <c r="A894" i="31"/>
  <c r="A893" i="31"/>
  <c r="A892" i="31"/>
  <c r="A891" i="31"/>
  <c r="A890" i="31"/>
  <c r="A889" i="31"/>
  <c r="A888" i="31"/>
  <c r="A887" i="31"/>
  <c r="A886" i="31"/>
  <c r="A885" i="31"/>
  <c r="A884" i="31"/>
  <c r="A883" i="31"/>
  <c r="A882" i="31"/>
  <c r="A881" i="31"/>
  <c r="A880" i="31"/>
  <c r="A879" i="31"/>
  <c r="A878" i="31"/>
  <c r="A877" i="31"/>
  <c r="A876" i="31"/>
  <c r="A875" i="31"/>
  <c r="A874" i="31"/>
  <c r="A873" i="31"/>
  <c r="A872" i="31"/>
  <c r="A871" i="31"/>
  <c r="A870" i="31"/>
  <c r="A869" i="31"/>
  <c r="A868" i="31"/>
  <c r="A867" i="31"/>
  <c r="A866" i="31"/>
  <c r="A865" i="31"/>
  <c r="A864" i="31"/>
  <c r="A863" i="31"/>
  <c r="A862" i="31"/>
  <c r="A861" i="31"/>
  <c r="A860" i="31"/>
  <c r="A859" i="31"/>
  <c r="A858" i="31"/>
  <c r="A857" i="31"/>
  <c r="A856" i="31"/>
  <c r="A855" i="31"/>
  <c r="A854" i="31"/>
  <c r="A853" i="31"/>
  <c r="A852" i="31"/>
  <c r="A851" i="31"/>
  <c r="A850" i="31"/>
  <c r="A849" i="31"/>
  <c r="A848" i="31"/>
  <c r="A847" i="31"/>
  <c r="A846" i="31"/>
  <c r="A845" i="31"/>
  <c r="A844" i="31"/>
  <c r="A843" i="31"/>
  <c r="A842" i="31"/>
  <c r="A841" i="31"/>
  <c r="A840" i="31"/>
  <c r="A839" i="31"/>
  <c r="A838" i="31"/>
  <c r="A837" i="31"/>
  <c r="A836" i="31"/>
  <c r="A835" i="31"/>
  <c r="A834" i="31"/>
  <c r="A833" i="31"/>
  <c r="A832" i="31"/>
  <c r="A831" i="31"/>
  <c r="A830" i="31"/>
  <c r="A829" i="31"/>
  <c r="A828" i="31"/>
  <c r="A827" i="31"/>
  <c r="A826" i="31"/>
  <c r="A825" i="31"/>
  <c r="A824" i="31"/>
  <c r="A823" i="31"/>
  <c r="A822" i="31"/>
  <c r="A821" i="31"/>
  <c r="A820" i="31"/>
  <c r="A819" i="31"/>
  <c r="A818" i="31"/>
  <c r="A817" i="31"/>
  <c r="A816" i="31"/>
  <c r="A815" i="31"/>
  <c r="A814" i="31"/>
  <c r="A813" i="31"/>
  <c r="A812" i="31"/>
  <c r="A811" i="31"/>
  <c r="A810" i="31"/>
  <c r="A809" i="31"/>
  <c r="A808" i="31"/>
  <c r="A807" i="31"/>
  <c r="A806" i="31"/>
  <c r="A805" i="31"/>
  <c r="A804" i="31"/>
  <c r="A803" i="31"/>
  <c r="A802" i="31"/>
  <c r="A801" i="31"/>
  <c r="A800" i="31"/>
  <c r="A799" i="31"/>
  <c r="A798" i="31"/>
  <c r="A797" i="31"/>
  <c r="A796" i="31"/>
  <c r="A795" i="31"/>
  <c r="A794" i="31"/>
  <c r="A793" i="31"/>
  <c r="A792" i="31"/>
  <c r="A791" i="31"/>
  <c r="A790" i="31"/>
  <c r="A789" i="31"/>
  <c r="A788" i="31"/>
  <c r="A787" i="31"/>
  <c r="A786" i="31"/>
  <c r="A785" i="31"/>
  <c r="A784" i="31"/>
  <c r="A783" i="31"/>
  <c r="A782" i="31"/>
  <c r="A781" i="31"/>
  <c r="A780" i="31"/>
  <c r="A779" i="31"/>
  <c r="A778" i="31"/>
  <c r="A777" i="31"/>
  <c r="A776" i="31"/>
  <c r="A775" i="31"/>
  <c r="A774" i="31"/>
  <c r="A773" i="31"/>
  <c r="A772" i="31"/>
  <c r="A771" i="31"/>
  <c r="A770" i="31"/>
  <c r="A769" i="31"/>
  <c r="A768" i="31"/>
  <c r="A767" i="31"/>
  <c r="A766" i="31"/>
  <c r="A765" i="31"/>
  <c r="A764" i="31"/>
  <c r="A763" i="31"/>
  <c r="A762" i="31"/>
  <c r="A761" i="31"/>
  <c r="A760" i="31"/>
  <c r="A759" i="31"/>
  <c r="A758" i="31"/>
  <c r="A757" i="31"/>
  <c r="A756" i="31"/>
  <c r="A755" i="31"/>
  <c r="A754" i="31"/>
  <c r="A753" i="31"/>
  <c r="A752" i="31"/>
  <c r="A751" i="31"/>
  <c r="A750" i="31"/>
  <c r="A749" i="31"/>
  <c r="A748" i="31"/>
  <c r="A747" i="31"/>
  <c r="A746" i="31"/>
  <c r="A745" i="31"/>
  <c r="A744" i="31"/>
  <c r="A743" i="31"/>
  <c r="A742" i="31"/>
  <c r="A741" i="31"/>
  <c r="A740" i="31"/>
  <c r="A739" i="31"/>
  <c r="A738" i="31"/>
  <c r="A737" i="31"/>
  <c r="A736" i="31"/>
  <c r="A735" i="31"/>
  <c r="A734" i="31"/>
  <c r="A733" i="31"/>
  <c r="A732" i="31"/>
  <c r="A731" i="31"/>
  <c r="A730" i="31"/>
  <c r="A729" i="31"/>
  <c r="A728" i="31"/>
  <c r="A727" i="31"/>
  <c r="A726" i="31"/>
  <c r="A725" i="31"/>
  <c r="A724" i="31"/>
  <c r="A723" i="31"/>
  <c r="A722" i="31"/>
  <c r="A721" i="31"/>
  <c r="A720" i="31"/>
  <c r="A719" i="31"/>
  <c r="A718" i="31"/>
  <c r="A717" i="31"/>
  <c r="A716" i="31"/>
  <c r="A715" i="31"/>
  <c r="A714" i="31"/>
  <c r="A713" i="31"/>
  <c r="A712" i="31"/>
  <c r="A711" i="31"/>
  <c r="A710" i="31"/>
  <c r="A709" i="31"/>
  <c r="A708" i="31"/>
  <c r="A707" i="31"/>
  <c r="A706" i="31"/>
  <c r="A705" i="31"/>
  <c r="A704" i="31"/>
  <c r="A703" i="31"/>
  <c r="A702" i="31"/>
  <c r="A701" i="31"/>
  <c r="A700" i="31"/>
  <c r="A699" i="31"/>
  <c r="A698" i="31"/>
  <c r="A697" i="31"/>
  <c r="A696" i="31"/>
  <c r="A695" i="31"/>
  <c r="A694" i="31"/>
  <c r="A693" i="31"/>
  <c r="A692" i="31"/>
  <c r="A691" i="31"/>
  <c r="A690" i="31"/>
  <c r="A689" i="31"/>
  <c r="A688" i="31"/>
  <c r="A687" i="31"/>
  <c r="A686" i="31"/>
  <c r="A685" i="31"/>
  <c r="A684" i="31"/>
  <c r="A683" i="31"/>
  <c r="A682" i="31"/>
  <c r="A681" i="31"/>
  <c r="A680" i="31"/>
  <c r="A679" i="31"/>
  <c r="A678" i="31"/>
  <c r="A677" i="31"/>
  <c r="A676" i="31"/>
  <c r="A675" i="31"/>
  <c r="A674" i="31"/>
  <c r="A673" i="31"/>
  <c r="A672" i="31"/>
  <c r="A671" i="31"/>
  <c r="A670" i="31"/>
  <c r="A669" i="31"/>
  <c r="A668" i="31"/>
  <c r="A667" i="31"/>
  <c r="A666" i="31"/>
  <c r="A665" i="31"/>
  <c r="A664" i="31"/>
  <c r="A663" i="31"/>
  <c r="A662" i="31"/>
  <c r="A661" i="31"/>
  <c r="A660" i="31"/>
  <c r="A659" i="31"/>
  <c r="A658" i="31"/>
  <c r="A657" i="31"/>
  <c r="A656" i="31"/>
  <c r="A655" i="31"/>
  <c r="A654" i="31"/>
  <c r="A653" i="31"/>
  <c r="A652" i="31"/>
  <c r="A651" i="31"/>
  <c r="A650" i="31"/>
  <c r="A649" i="31"/>
  <c r="A648" i="31"/>
  <c r="A647" i="31"/>
  <c r="A646" i="31"/>
  <c r="A645" i="31"/>
  <c r="A644" i="31"/>
  <c r="A643" i="31"/>
  <c r="A642" i="31"/>
  <c r="A641" i="31"/>
  <c r="A640" i="31"/>
  <c r="A639" i="31"/>
  <c r="A638" i="31"/>
  <c r="A637" i="31"/>
  <c r="A636" i="31"/>
  <c r="A635" i="31"/>
  <c r="A634" i="31"/>
  <c r="A633" i="31"/>
  <c r="A632" i="31"/>
  <c r="A631" i="31"/>
  <c r="A630" i="31"/>
  <c r="A629" i="31"/>
  <c r="A628" i="31"/>
  <c r="A627" i="31"/>
  <c r="A626" i="31"/>
  <c r="A625" i="31"/>
  <c r="A624" i="31"/>
  <c r="A623" i="31"/>
  <c r="A622" i="31"/>
  <c r="A621" i="31"/>
  <c r="A620" i="31"/>
  <c r="A619" i="31"/>
  <c r="A618" i="31"/>
  <c r="A617" i="31"/>
  <c r="A616" i="31"/>
  <c r="A615" i="31"/>
  <c r="A614" i="31"/>
  <c r="A613" i="31"/>
  <c r="A612" i="31"/>
  <c r="A611" i="31"/>
  <c r="A610" i="31"/>
  <c r="A609" i="31"/>
  <c r="A608" i="31"/>
  <c r="A607" i="31"/>
  <c r="A606" i="31"/>
  <c r="A605" i="31"/>
  <c r="A604" i="31"/>
  <c r="A603" i="31"/>
  <c r="A602" i="31"/>
  <c r="A601" i="31"/>
  <c r="A600" i="31"/>
  <c r="A599" i="31"/>
  <c r="A598" i="31"/>
  <c r="A597" i="31"/>
  <c r="A596" i="31"/>
  <c r="A595" i="31"/>
  <c r="A594" i="31"/>
  <c r="A593" i="31"/>
  <c r="A592" i="31"/>
  <c r="A591" i="31"/>
  <c r="A590" i="31"/>
  <c r="A589" i="31"/>
  <c r="A588" i="31"/>
  <c r="A587" i="31"/>
  <c r="A586" i="31"/>
  <c r="A585" i="31"/>
  <c r="A584" i="31"/>
  <c r="A583" i="31"/>
  <c r="A582" i="31"/>
  <c r="A581" i="31"/>
  <c r="A580" i="31"/>
  <c r="A579" i="31"/>
  <c r="A578" i="31"/>
  <c r="A577" i="31"/>
  <c r="A576" i="31"/>
  <c r="A575" i="31"/>
  <c r="A574" i="31"/>
  <c r="A573" i="31"/>
  <c r="A572" i="31"/>
  <c r="A571" i="31"/>
  <c r="A570" i="31"/>
  <c r="A569" i="31"/>
  <c r="A568" i="31"/>
  <c r="A567" i="31"/>
  <c r="A566" i="31"/>
  <c r="A565" i="31"/>
  <c r="A564" i="31"/>
  <c r="A563" i="31"/>
  <c r="A562" i="31"/>
  <c r="A561" i="31"/>
  <c r="A560" i="31"/>
  <c r="A559" i="31"/>
  <c r="A558" i="31"/>
  <c r="A557" i="31"/>
  <c r="A556" i="31"/>
  <c r="A555" i="31"/>
  <c r="A554" i="31"/>
  <c r="A553" i="31"/>
  <c r="A552" i="31"/>
  <c r="A551" i="31"/>
  <c r="A550" i="31"/>
  <c r="A549" i="31"/>
  <c r="A548" i="31"/>
  <c r="A547" i="31"/>
  <c r="A546" i="31"/>
  <c r="A545" i="31"/>
  <c r="A544" i="31"/>
  <c r="A543" i="31"/>
  <c r="A542" i="31"/>
  <c r="A541" i="31"/>
  <c r="A540" i="31"/>
  <c r="A539" i="31"/>
  <c r="A538" i="31"/>
  <c r="A537" i="31"/>
  <c r="A536" i="31"/>
  <c r="A535" i="31"/>
  <c r="A534" i="31"/>
  <c r="A533" i="31"/>
  <c r="A532" i="31"/>
  <c r="A531" i="31"/>
  <c r="A530" i="31"/>
  <c r="A529" i="31"/>
  <c r="A528" i="31"/>
  <c r="A527" i="31"/>
  <c r="A526" i="31"/>
  <c r="A525" i="31"/>
  <c r="A524" i="31"/>
  <c r="A523" i="31"/>
  <c r="A522" i="31"/>
  <c r="A521" i="31"/>
  <c r="A520" i="31"/>
  <c r="A519" i="31"/>
  <c r="A518" i="31"/>
  <c r="A517" i="31"/>
  <c r="A516" i="31"/>
  <c r="A515" i="31"/>
  <c r="A514" i="31"/>
  <c r="A513" i="31"/>
  <c r="A512" i="31"/>
  <c r="A511" i="31"/>
  <c r="A510" i="31"/>
  <c r="A509" i="31"/>
  <c r="A508" i="31"/>
  <c r="A507" i="31"/>
  <c r="A506" i="31"/>
  <c r="A505" i="31"/>
  <c r="A504" i="31"/>
  <c r="A503" i="31"/>
  <c r="A502" i="31"/>
  <c r="A501" i="31"/>
  <c r="A500" i="31"/>
  <c r="A499" i="31"/>
  <c r="A498" i="31"/>
  <c r="A497" i="31"/>
  <c r="A496" i="31"/>
  <c r="A495" i="31"/>
  <c r="A494" i="31"/>
  <c r="A493" i="31"/>
  <c r="A492" i="31"/>
  <c r="A491" i="31"/>
  <c r="A490" i="31"/>
  <c r="A489" i="31"/>
  <c r="A488" i="31"/>
  <c r="A487" i="31"/>
  <c r="A486" i="31"/>
  <c r="A485" i="31"/>
  <c r="A484" i="31"/>
  <c r="A483" i="31"/>
  <c r="A482" i="31"/>
  <c r="A481" i="31"/>
  <c r="A480" i="31"/>
  <c r="A479" i="31"/>
  <c r="A478" i="31"/>
  <c r="A477" i="31"/>
  <c r="A476" i="31"/>
  <c r="A475" i="31"/>
  <c r="A474" i="31"/>
  <c r="A473" i="31"/>
  <c r="A472" i="31"/>
  <c r="A471" i="31"/>
  <c r="A470" i="31"/>
  <c r="A469" i="31"/>
  <c r="A468" i="31"/>
  <c r="A467" i="31"/>
  <c r="A466" i="31"/>
  <c r="A465" i="31"/>
  <c r="A464" i="31"/>
  <c r="A463" i="31"/>
  <c r="A462" i="31"/>
  <c r="A461" i="31"/>
  <c r="A460" i="31"/>
  <c r="A459" i="31"/>
  <c r="A458" i="31"/>
  <c r="A457" i="31"/>
  <c r="A456" i="31"/>
  <c r="A455" i="31"/>
  <c r="A454" i="31"/>
  <c r="A453" i="31"/>
  <c r="A452" i="31"/>
  <c r="A451" i="31"/>
  <c r="A450" i="31"/>
  <c r="A449" i="31"/>
  <c r="A448" i="31"/>
  <c r="A447" i="31"/>
  <c r="A446" i="31"/>
  <c r="A445" i="31"/>
  <c r="A444" i="31"/>
  <c r="A443" i="31"/>
  <c r="A442" i="31"/>
  <c r="A441" i="31"/>
  <c r="A440" i="31"/>
  <c r="A439" i="31"/>
  <c r="A438" i="31"/>
  <c r="A437" i="31"/>
  <c r="A436" i="31"/>
  <c r="A435" i="31"/>
  <c r="A434" i="31"/>
  <c r="A433" i="31"/>
  <c r="A432" i="31"/>
  <c r="A431" i="31"/>
  <c r="A430" i="31"/>
  <c r="A429" i="31"/>
  <c r="A428" i="31"/>
  <c r="A427" i="31"/>
  <c r="A426" i="31"/>
  <c r="A425" i="31"/>
  <c r="A424" i="31"/>
  <c r="A423" i="31"/>
  <c r="A422" i="31"/>
  <c r="A421" i="31"/>
  <c r="A420" i="31"/>
  <c r="A419" i="31"/>
  <c r="A418" i="31"/>
  <c r="A417" i="31"/>
  <c r="A416" i="31"/>
  <c r="A415" i="31"/>
  <c r="A414" i="31"/>
  <c r="A413" i="31"/>
  <c r="A412" i="31"/>
  <c r="A411" i="31"/>
  <c r="A410" i="31"/>
  <c r="A409" i="31"/>
  <c r="A408" i="31"/>
  <c r="A407" i="31"/>
  <c r="A406" i="31"/>
  <c r="A405" i="31"/>
  <c r="A404" i="31"/>
  <c r="A403" i="31"/>
  <c r="A402" i="31"/>
  <c r="A401" i="31"/>
  <c r="A400" i="31"/>
  <c r="A399" i="31"/>
  <c r="A398" i="31"/>
  <c r="A397" i="31"/>
  <c r="A396" i="31"/>
  <c r="A395" i="31"/>
  <c r="A394" i="31"/>
  <c r="A393" i="31"/>
  <c r="A392" i="31"/>
  <c r="A391" i="31"/>
  <c r="A390" i="31"/>
  <c r="A389" i="31"/>
  <c r="A388" i="31"/>
  <c r="A387" i="31"/>
  <c r="A386" i="31"/>
  <c r="A385" i="31"/>
  <c r="A384" i="31"/>
  <c r="A383" i="31"/>
  <c r="A382" i="31"/>
  <c r="A381" i="31"/>
  <c r="A380" i="31"/>
  <c r="A379" i="31"/>
  <c r="A378" i="31"/>
  <c r="A377" i="31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986" i="30"/>
  <c r="A985" i="30"/>
  <c r="A984" i="30"/>
  <c r="A983" i="30"/>
  <c r="A982" i="30"/>
  <c r="A981" i="30"/>
  <c r="A980" i="30"/>
  <c r="A979" i="30"/>
  <c r="A978" i="30"/>
  <c r="A977" i="30"/>
  <c r="A976" i="30"/>
  <c r="A975" i="30"/>
  <c r="A974" i="30"/>
  <c r="A973" i="30"/>
  <c r="A972" i="30"/>
  <c r="A971" i="30"/>
  <c r="A970" i="30"/>
  <c r="A969" i="30"/>
  <c r="A968" i="30"/>
  <c r="A967" i="30"/>
  <c r="A966" i="30"/>
  <c r="A965" i="30"/>
  <c r="A964" i="30"/>
  <c r="A963" i="30"/>
  <c r="A962" i="30"/>
  <c r="A961" i="30"/>
  <c r="A960" i="30"/>
  <c r="A959" i="30"/>
  <c r="A958" i="30"/>
  <c r="A957" i="30"/>
  <c r="A956" i="30"/>
  <c r="A955" i="30"/>
  <c r="A954" i="30"/>
  <c r="A953" i="30"/>
  <c r="A952" i="30"/>
  <c r="A951" i="30"/>
  <c r="A950" i="30"/>
  <c r="A949" i="30"/>
  <c r="A948" i="30"/>
  <c r="A947" i="30"/>
  <c r="A946" i="30"/>
  <c r="A945" i="30"/>
  <c r="A944" i="30"/>
  <c r="A943" i="30"/>
  <c r="A942" i="30"/>
  <c r="A941" i="30"/>
  <c r="A940" i="30"/>
  <c r="A939" i="30"/>
  <c r="A938" i="30"/>
  <c r="A937" i="30"/>
  <c r="A936" i="30"/>
  <c r="A935" i="30"/>
  <c r="A934" i="30"/>
  <c r="A933" i="30"/>
  <c r="A932" i="30"/>
  <c r="A931" i="30"/>
  <c r="A930" i="30"/>
  <c r="A929" i="30"/>
  <c r="A928" i="30"/>
  <c r="A927" i="30"/>
  <c r="A926" i="30"/>
  <c r="A925" i="30"/>
  <c r="A924" i="30"/>
  <c r="A923" i="30"/>
  <c r="A922" i="30"/>
  <c r="A921" i="30"/>
  <c r="A920" i="30"/>
  <c r="A919" i="30"/>
  <c r="A918" i="30"/>
  <c r="A917" i="30"/>
  <c r="A916" i="30"/>
  <c r="A915" i="30"/>
  <c r="A914" i="30"/>
  <c r="A913" i="30"/>
  <c r="A912" i="30"/>
  <c r="A911" i="30"/>
  <c r="A910" i="30"/>
  <c r="A909" i="30"/>
  <c r="A908" i="30"/>
  <c r="A907" i="30"/>
  <c r="A906" i="30"/>
  <c r="A905" i="30"/>
  <c r="A904" i="30"/>
  <c r="A903" i="30"/>
  <c r="A902" i="30"/>
  <c r="A901" i="30"/>
  <c r="A900" i="30"/>
  <c r="A899" i="30"/>
  <c r="A898" i="30"/>
  <c r="A897" i="30"/>
  <c r="A896" i="30"/>
  <c r="A895" i="30"/>
  <c r="A894" i="30"/>
  <c r="A893" i="30"/>
  <c r="A892" i="30"/>
  <c r="A891" i="30"/>
  <c r="A890" i="30"/>
  <c r="A889" i="30"/>
  <c r="A888" i="30"/>
  <c r="A887" i="30"/>
  <c r="A886" i="30"/>
  <c r="A885" i="30"/>
  <c r="A884" i="30"/>
  <c r="A883" i="30"/>
  <c r="A882" i="30"/>
  <c r="A881" i="30"/>
  <c r="A880" i="30"/>
  <c r="A879" i="30"/>
  <c r="A878" i="30"/>
  <c r="A877" i="30"/>
  <c r="A876" i="30"/>
  <c r="A875" i="30"/>
  <c r="A874" i="30"/>
  <c r="A873" i="30"/>
  <c r="A872" i="30"/>
  <c r="A871" i="30"/>
  <c r="A870" i="30"/>
  <c r="A869" i="30"/>
  <c r="A868" i="30"/>
  <c r="A867" i="30"/>
  <c r="A866" i="30"/>
  <c r="A865" i="30"/>
  <c r="A864" i="30"/>
  <c r="A863" i="30"/>
  <c r="A862" i="30"/>
  <c r="A861" i="30"/>
  <c r="A860" i="30"/>
  <c r="A859" i="30"/>
  <c r="A858" i="30"/>
  <c r="A857" i="30"/>
  <c r="A856" i="30"/>
  <c r="A855" i="30"/>
  <c r="A854" i="30"/>
  <c r="A853" i="30"/>
  <c r="A852" i="30"/>
  <c r="A851" i="30"/>
  <c r="A850" i="30"/>
  <c r="A849" i="30"/>
  <c r="A848" i="30"/>
  <c r="A847" i="30"/>
  <c r="A846" i="30"/>
  <c r="A845" i="30"/>
  <c r="A844" i="30"/>
  <c r="A843" i="30"/>
  <c r="A842" i="30"/>
  <c r="A841" i="30"/>
  <c r="A840" i="30"/>
  <c r="A839" i="30"/>
  <c r="A838" i="30"/>
  <c r="A837" i="30"/>
  <c r="A836" i="30"/>
  <c r="A835" i="30"/>
  <c r="A834" i="30"/>
  <c r="A833" i="30"/>
  <c r="A832" i="30"/>
  <c r="A831" i="30"/>
  <c r="A830" i="30"/>
  <c r="A829" i="30"/>
  <c r="A828" i="30"/>
  <c r="A827" i="30"/>
  <c r="A826" i="30"/>
  <c r="A825" i="30"/>
  <c r="A824" i="30"/>
  <c r="A823" i="30"/>
  <c r="A822" i="30"/>
  <c r="A821" i="30"/>
  <c r="A820" i="30"/>
  <c r="A819" i="30"/>
  <c r="A818" i="30"/>
  <c r="A817" i="30"/>
  <c r="A816" i="30"/>
  <c r="A815" i="30"/>
  <c r="A814" i="30"/>
  <c r="A813" i="30"/>
  <c r="A812" i="30"/>
  <c r="A811" i="30"/>
  <c r="A810" i="30"/>
  <c r="A809" i="30"/>
  <c r="A808" i="30"/>
  <c r="A807" i="30"/>
  <c r="A806" i="30"/>
  <c r="A805" i="30"/>
  <c r="A804" i="30"/>
  <c r="A803" i="30"/>
  <c r="A802" i="30"/>
  <c r="A801" i="30"/>
  <c r="A800" i="30"/>
  <c r="A799" i="30"/>
  <c r="A798" i="30"/>
  <c r="A797" i="30"/>
  <c r="A796" i="30"/>
  <c r="A795" i="30"/>
  <c r="A794" i="30"/>
  <c r="A793" i="30"/>
  <c r="A792" i="30"/>
  <c r="A791" i="30"/>
  <c r="A790" i="30"/>
  <c r="A789" i="30"/>
  <c r="A788" i="30"/>
  <c r="A787" i="30"/>
  <c r="A786" i="30"/>
  <c r="A785" i="30"/>
  <c r="A784" i="30"/>
  <c r="A783" i="30"/>
  <c r="A782" i="30"/>
  <c r="A781" i="30"/>
  <c r="A780" i="30"/>
  <c r="A779" i="30"/>
  <c r="A778" i="30"/>
  <c r="A777" i="30"/>
  <c r="A776" i="30"/>
  <c r="A775" i="30"/>
  <c r="A774" i="30"/>
  <c r="A773" i="30"/>
  <c r="A772" i="30"/>
  <c r="A771" i="30"/>
  <c r="A770" i="30"/>
  <c r="A769" i="30"/>
  <c r="A768" i="30"/>
  <c r="A767" i="30"/>
  <c r="A766" i="30"/>
  <c r="A765" i="30"/>
  <c r="A764" i="30"/>
  <c r="A763" i="30"/>
  <c r="A762" i="30"/>
  <c r="A761" i="30"/>
  <c r="A760" i="30"/>
  <c r="A759" i="30"/>
  <c r="A758" i="30"/>
  <c r="A757" i="30"/>
  <c r="A756" i="30"/>
  <c r="A755" i="30"/>
  <c r="A754" i="30"/>
  <c r="A753" i="30"/>
  <c r="A752" i="30"/>
  <c r="A751" i="30"/>
  <c r="A750" i="30"/>
  <c r="A749" i="30"/>
  <c r="A748" i="30"/>
  <c r="A747" i="30"/>
  <c r="A746" i="30"/>
  <c r="A745" i="30"/>
  <c r="A744" i="30"/>
  <c r="A743" i="30"/>
  <c r="A742" i="30"/>
  <c r="A741" i="30"/>
  <c r="A740" i="30"/>
  <c r="A739" i="30"/>
  <c r="A738" i="30"/>
  <c r="A737" i="30"/>
  <c r="A736" i="30"/>
  <c r="A735" i="30"/>
  <c r="A734" i="30"/>
  <c r="A733" i="30"/>
  <c r="A732" i="30"/>
  <c r="A731" i="30"/>
  <c r="A730" i="30"/>
  <c r="A729" i="30"/>
  <c r="A728" i="30"/>
  <c r="A727" i="30"/>
  <c r="A726" i="30"/>
  <c r="A725" i="30"/>
  <c r="A724" i="30"/>
  <c r="A723" i="30"/>
  <c r="A722" i="30"/>
  <c r="A721" i="30"/>
  <c r="A720" i="30"/>
  <c r="A719" i="30"/>
  <c r="A718" i="30"/>
  <c r="A717" i="30"/>
  <c r="A716" i="30"/>
  <c r="A715" i="30"/>
  <c r="A714" i="30"/>
  <c r="A713" i="30"/>
  <c r="A712" i="30"/>
  <c r="A711" i="30"/>
  <c r="A710" i="30"/>
  <c r="A709" i="30"/>
  <c r="A708" i="30"/>
  <c r="A707" i="30"/>
  <c r="A706" i="30"/>
  <c r="A705" i="30"/>
  <c r="A704" i="30"/>
  <c r="A703" i="30"/>
  <c r="A702" i="30"/>
  <c r="A701" i="30"/>
  <c r="A700" i="30"/>
  <c r="A699" i="30"/>
  <c r="A698" i="30"/>
  <c r="A697" i="30"/>
  <c r="A696" i="30"/>
  <c r="A695" i="30"/>
  <c r="A694" i="30"/>
  <c r="A693" i="30"/>
  <c r="A692" i="30"/>
  <c r="A691" i="30"/>
  <c r="A690" i="30"/>
  <c r="A689" i="30"/>
  <c r="A688" i="30"/>
  <c r="A687" i="30"/>
  <c r="A686" i="30"/>
  <c r="A685" i="30"/>
  <c r="A684" i="30"/>
  <c r="A683" i="30"/>
  <c r="A682" i="30"/>
  <c r="A681" i="30"/>
  <c r="A680" i="30"/>
  <c r="A679" i="30"/>
  <c r="A678" i="30"/>
  <c r="A677" i="30"/>
  <c r="A676" i="30"/>
  <c r="A675" i="30"/>
  <c r="A674" i="30"/>
  <c r="A673" i="30"/>
  <c r="A672" i="30"/>
  <c r="A671" i="30"/>
  <c r="A670" i="30"/>
  <c r="A669" i="30"/>
  <c r="A668" i="30"/>
  <c r="A667" i="30"/>
  <c r="A666" i="30"/>
  <c r="A665" i="30"/>
  <c r="A664" i="30"/>
  <c r="A663" i="30"/>
  <c r="A662" i="30"/>
  <c r="A661" i="30"/>
  <c r="A660" i="30"/>
  <c r="A659" i="30"/>
  <c r="A658" i="30"/>
  <c r="A657" i="30"/>
  <c r="A656" i="30"/>
  <c r="A655" i="30"/>
  <c r="A654" i="30"/>
  <c r="A653" i="30"/>
  <c r="A652" i="30"/>
  <c r="A651" i="30"/>
  <c r="A650" i="30"/>
  <c r="A649" i="30"/>
  <c r="A648" i="30"/>
  <c r="A647" i="30"/>
  <c r="A646" i="30"/>
  <c r="A645" i="30"/>
  <c r="A644" i="30"/>
  <c r="A643" i="30"/>
  <c r="A642" i="30"/>
  <c r="A641" i="30"/>
  <c r="A640" i="30"/>
  <c r="A639" i="30"/>
  <c r="A638" i="30"/>
  <c r="A637" i="30"/>
  <c r="A636" i="30"/>
  <c r="A635" i="30"/>
  <c r="A634" i="30"/>
  <c r="A633" i="30"/>
  <c r="A632" i="30"/>
  <c r="A631" i="30"/>
  <c r="A630" i="30"/>
  <c r="A629" i="30"/>
  <c r="A628" i="30"/>
  <c r="A627" i="30"/>
  <c r="A626" i="30"/>
  <c r="A625" i="30"/>
  <c r="A624" i="30"/>
  <c r="A623" i="30"/>
  <c r="A622" i="30"/>
  <c r="A621" i="30"/>
  <c r="A620" i="30"/>
  <c r="A619" i="30"/>
  <c r="A618" i="30"/>
  <c r="A617" i="30"/>
  <c r="A616" i="30"/>
  <c r="A615" i="30"/>
  <c r="A614" i="30"/>
  <c r="A613" i="30"/>
  <c r="A612" i="30"/>
  <c r="A611" i="30"/>
  <c r="A610" i="30"/>
  <c r="A609" i="30"/>
  <c r="A608" i="30"/>
  <c r="A607" i="30"/>
  <c r="A606" i="30"/>
  <c r="A605" i="30"/>
  <c r="A604" i="30"/>
  <c r="A603" i="30"/>
  <c r="A602" i="30"/>
  <c r="A601" i="30"/>
  <c r="A600" i="30"/>
  <c r="A599" i="30"/>
  <c r="A598" i="30"/>
  <c r="A597" i="30"/>
  <c r="A596" i="30"/>
  <c r="A595" i="30"/>
  <c r="A594" i="30"/>
  <c r="A593" i="30"/>
  <c r="A592" i="30"/>
  <c r="A591" i="30"/>
  <c r="A590" i="30"/>
  <c r="A589" i="30"/>
  <c r="A588" i="30"/>
  <c r="A587" i="30"/>
  <c r="A586" i="30"/>
  <c r="A585" i="30"/>
  <c r="A584" i="30"/>
  <c r="A583" i="30"/>
  <c r="A582" i="30"/>
  <c r="A581" i="30"/>
  <c r="A580" i="30"/>
  <c r="A579" i="30"/>
  <c r="A578" i="30"/>
  <c r="A577" i="30"/>
  <c r="A576" i="30"/>
  <c r="A575" i="30"/>
  <c r="A574" i="30"/>
  <c r="A573" i="30"/>
  <c r="A572" i="30"/>
  <c r="A571" i="30"/>
  <c r="A570" i="30"/>
  <c r="A569" i="30"/>
  <c r="A568" i="30"/>
  <c r="A567" i="30"/>
  <c r="A566" i="30"/>
  <c r="A565" i="30"/>
  <c r="A564" i="30"/>
  <c r="A563" i="30"/>
  <c r="A562" i="30"/>
  <c r="A561" i="30"/>
  <c r="A560" i="30"/>
  <c r="A559" i="30"/>
  <c r="A558" i="30"/>
  <c r="A557" i="30"/>
  <c r="A556" i="30"/>
  <c r="A555" i="30"/>
  <c r="A554" i="30"/>
  <c r="A553" i="30"/>
  <c r="A552" i="30"/>
  <c r="A551" i="30"/>
  <c r="A550" i="30"/>
  <c r="A549" i="30"/>
  <c r="A548" i="30"/>
  <c r="A547" i="30"/>
  <c r="A546" i="30"/>
  <c r="A545" i="30"/>
  <c r="A544" i="30"/>
  <c r="A543" i="30"/>
  <c r="A542" i="30"/>
  <c r="A541" i="30"/>
  <c r="A540" i="30"/>
  <c r="A539" i="30"/>
  <c r="A538" i="30"/>
  <c r="A537" i="30"/>
  <c r="A536" i="30"/>
  <c r="A535" i="30"/>
  <c r="A534" i="30"/>
  <c r="A533" i="30"/>
  <c r="A532" i="30"/>
  <c r="A531" i="30"/>
  <c r="A530" i="30"/>
  <c r="A529" i="30"/>
  <c r="A528" i="30"/>
  <c r="A527" i="30"/>
  <c r="A526" i="30"/>
  <c r="A525" i="30"/>
  <c r="A524" i="30"/>
  <c r="A523" i="30"/>
  <c r="A522" i="30"/>
  <c r="A521" i="30"/>
  <c r="A520" i="30"/>
  <c r="A519" i="30"/>
  <c r="A518" i="30"/>
  <c r="A517" i="30"/>
  <c r="A516" i="30"/>
  <c r="A515" i="30"/>
  <c r="A514" i="30"/>
  <c r="A513" i="30"/>
  <c r="A512" i="30"/>
  <c r="A511" i="30"/>
  <c r="A510" i="30"/>
  <c r="A509" i="30"/>
  <c r="A508" i="30"/>
  <c r="A507" i="30"/>
  <c r="A506" i="30"/>
  <c r="A505" i="30"/>
  <c r="A504" i="30"/>
  <c r="A503" i="30"/>
  <c r="A502" i="30"/>
  <c r="A501" i="30"/>
  <c r="A500" i="30"/>
  <c r="A499" i="30"/>
  <c r="A498" i="30"/>
  <c r="A497" i="30"/>
  <c r="A496" i="30"/>
  <c r="A495" i="30"/>
  <c r="A494" i="30"/>
  <c r="A493" i="30"/>
  <c r="A492" i="30"/>
  <c r="A491" i="30"/>
  <c r="A490" i="30"/>
  <c r="A489" i="30"/>
  <c r="A488" i="30"/>
  <c r="A487" i="30"/>
  <c r="A486" i="30"/>
  <c r="A485" i="30"/>
  <c r="A484" i="30"/>
  <c r="A483" i="30"/>
  <c r="A482" i="30"/>
  <c r="A481" i="30"/>
  <c r="A480" i="30"/>
  <c r="A479" i="30"/>
  <c r="A478" i="30"/>
  <c r="A477" i="30"/>
  <c r="A476" i="30"/>
  <c r="A475" i="30"/>
  <c r="A474" i="30"/>
  <c r="A473" i="30"/>
  <c r="A472" i="30"/>
  <c r="A471" i="30"/>
  <c r="A470" i="30"/>
  <c r="A469" i="30"/>
  <c r="A468" i="30"/>
  <c r="A467" i="30"/>
  <c r="A466" i="30"/>
  <c r="A465" i="30"/>
  <c r="A464" i="30"/>
  <c r="A463" i="30"/>
  <c r="A462" i="30"/>
  <c r="A461" i="30"/>
  <c r="A460" i="30"/>
  <c r="A459" i="30"/>
  <c r="A458" i="30"/>
  <c r="A457" i="30"/>
  <c r="A456" i="30"/>
  <c r="A455" i="30"/>
  <c r="A454" i="30"/>
  <c r="A453" i="30"/>
  <c r="A452" i="30"/>
  <c r="A451" i="30"/>
  <c r="A450" i="30"/>
  <c r="A449" i="30"/>
  <c r="A448" i="30"/>
  <c r="A447" i="30"/>
  <c r="A446" i="30"/>
  <c r="A445" i="30"/>
  <c r="A444" i="30"/>
  <c r="A443" i="30"/>
  <c r="A442" i="30"/>
  <c r="A441" i="30"/>
  <c r="A440" i="30"/>
  <c r="A439" i="30"/>
  <c r="A438" i="30"/>
  <c r="A437" i="30"/>
  <c r="A436" i="30"/>
  <c r="A435" i="30"/>
  <c r="A434" i="30"/>
  <c r="A433" i="30"/>
  <c r="A432" i="30"/>
  <c r="A431" i="30"/>
  <c r="A430" i="30"/>
  <c r="A429" i="30"/>
  <c r="A428" i="30"/>
  <c r="A427" i="30"/>
  <c r="A426" i="30"/>
  <c r="A425" i="30"/>
  <c r="A424" i="30"/>
  <c r="A423" i="30"/>
  <c r="A422" i="30"/>
  <c r="A421" i="30"/>
  <c r="A420" i="30"/>
  <c r="A419" i="30"/>
  <c r="A418" i="30"/>
  <c r="A417" i="30"/>
  <c r="A416" i="30"/>
  <c r="A415" i="30"/>
  <c r="A414" i="30"/>
  <c r="A413" i="30"/>
  <c r="A412" i="30"/>
  <c r="A411" i="30"/>
  <c r="A410" i="30"/>
  <c r="A409" i="30"/>
  <c r="A408" i="30"/>
  <c r="A407" i="30"/>
  <c r="A406" i="30"/>
  <c r="A405" i="30"/>
  <c r="A404" i="30"/>
  <c r="A403" i="30"/>
  <c r="A402" i="30"/>
  <c r="A401" i="30"/>
  <c r="A400" i="30"/>
  <c r="A399" i="30"/>
  <c r="A398" i="30"/>
  <c r="A397" i="30"/>
  <c r="A396" i="30"/>
  <c r="A395" i="30"/>
  <c r="A394" i="30"/>
  <c r="A393" i="30"/>
  <c r="A392" i="30"/>
  <c r="A391" i="30"/>
  <c r="A390" i="30"/>
  <c r="A389" i="30"/>
  <c r="A388" i="30"/>
  <c r="A387" i="30"/>
  <c r="A386" i="30"/>
  <c r="A385" i="30"/>
  <c r="A384" i="30"/>
  <c r="A383" i="30"/>
  <c r="A382" i="30"/>
  <c r="A381" i="30"/>
  <c r="A380" i="30"/>
  <c r="A379" i="30"/>
  <c r="A378" i="30"/>
  <c r="A377" i="30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986" i="29"/>
  <c r="A985" i="29"/>
  <c r="A984" i="29"/>
  <c r="A983" i="29"/>
  <c r="A982" i="29"/>
  <c r="A981" i="29"/>
  <c r="A980" i="29"/>
  <c r="A979" i="29"/>
  <c r="A978" i="29"/>
  <c r="A977" i="29"/>
  <c r="A976" i="29"/>
  <c r="A975" i="29"/>
  <c r="A974" i="29"/>
  <c r="A973" i="29"/>
  <c r="A972" i="29"/>
  <c r="A971" i="29"/>
  <c r="A970" i="29"/>
  <c r="A969" i="29"/>
  <c r="A968" i="29"/>
  <c r="A967" i="29"/>
  <c r="A966" i="29"/>
  <c r="A965" i="29"/>
  <c r="A964" i="29"/>
  <c r="A963" i="29"/>
  <c r="A962" i="29"/>
  <c r="A961" i="29"/>
  <c r="A960" i="29"/>
  <c r="A959" i="29"/>
  <c r="A958" i="29"/>
  <c r="A957" i="29"/>
  <c r="A956" i="29"/>
  <c r="A955" i="29"/>
  <c r="A954" i="29"/>
  <c r="A953" i="29"/>
  <c r="A952" i="29"/>
  <c r="A951" i="29"/>
  <c r="A950" i="29"/>
  <c r="A949" i="29"/>
  <c r="A948" i="29"/>
  <c r="A947" i="29"/>
  <c r="A946" i="29"/>
  <c r="A945" i="29"/>
  <c r="A944" i="29"/>
  <c r="A943" i="29"/>
  <c r="A942" i="29"/>
  <c r="A941" i="29"/>
  <c r="A940" i="29"/>
  <c r="A939" i="29"/>
  <c r="A938" i="29"/>
  <c r="A937" i="29"/>
  <c r="A936" i="29"/>
  <c r="A935" i="29"/>
  <c r="A934" i="29"/>
  <c r="A933" i="29"/>
  <c r="A932" i="29"/>
  <c r="A931" i="29"/>
  <c r="A930" i="29"/>
  <c r="A929" i="29"/>
  <c r="A928" i="29"/>
  <c r="A927" i="29"/>
  <c r="A926" i="29"/>
  <c r="A925" i="29"/>
  <c r="A924" i="29"/>
  <c r="A923" i="29"/>
  <c r="A922" i="29"/>
  <c r="A921" i="29"/>
  <c r="A920" i="29"/>
  <c r="A919" i="29"/>
  <c r="A918" i="29"/>
  <c r="A917" i="29"/>
  <c r="A916" i="29"/>
  <c r="A915" i="29"/>
  <c r="A914" i="29"/>
  <c r="A913" i="29"/>
  <c r="A912" i="29"/>
  <c r="A911" i="29"/>
  <c r="A910" i="29"/>
  <c r="A909" i="29"/>
  <c r="A908" i="29"/>
  <c r="A907" i="29"/>
  <c r="A906" i="29"/>
  <c r="A905" i="29"/>
  <c r="A904" i="29"/>
  <c r="A903" i="29"/>
  <c r="A902" i="29"/>
  <c r="A901" i="29"/>
  <c r="A900" i="29"/>
  <c r="A899" i="29"/>
  <c r="A898" i="29"/>
  <c r="A897" i="29"/>
  <c r="A896" i="29"/>
  <c r="A895" i="29"/>
  <c r="A894" i="29"/>
  <c r="A893" i="29"/>
  <c r="A892" i="29"/>
  <c r="A891" i="29"/>
  <c r="A890" i="29"/>
  <c r="A889" i="29"/>
  <c r="A888" i="29"/>
  <c r="A887" i="29"/>
  <c r="A886" i="29"/>
  <c r="A885" i="29"/>
  <c r="A884" i="29"/>
  <c r="A883" i="29"/>
  <c r="A882" i="29"/>
  <c r="A881" i="29"/>
  <c r="A880" i="29"/>
  <c r="A879" i="29"/>
  <c r="A878" i="29"/>
  <c r="A877" i="29"/>
  <c r="A876" i="29"/>
  <c r="A875" i="29"/>
  <c r="A874" i="29"/>
  <c r="A873" i="29"/>
  <c r="A872" i="29"/>
  <c r="A871" i="29"/>
  <c r="A870" i="29"/>
  <c r="A869" i="29"/>
  <c r="A868" i="29"/>
  <c r="A867" i="29"/>
  <c r="A866" i="29"/>
  <c r="A865" i="29"/>
  <c r="A864" i="29"/>
  <c r="A863" i="29"/>
  <c r="A862" i="29"/>
  <c r="A861" i="29"/>
  <c r="A860" i="29"/>
  <c r="A859" i="29"/>
  <c r="A858" i="29"/>
  <c r="A857" i="29"/>
  <c r="A856" i="29"/>
  <c r="A855" i="29"/>
  <c r="A854" i="29"/>
  <c r="A853" i="29"/>
  <c r="A852" i="29"/>
  <c r="A851" i="29"/>
  <c r="A850" i="29"/>
  <c r="A849" i="29"/>
  <c r="A848" i="29"/>
  <c r="A847" i="29"/>
  <c r="A846" i="29"/>
  <c r="A845" i="29"/>
  <c r="A844" i="29"/>
  <c r="A843" i="29"/>
  <c r="A842" i="29"/>
  <c r="A841" i="29"/>
  <c r="A840" i="29"/>
  <c r="A839" i="29"/>
  <c r="A838" i="29"/>
  <c r="A837" i="29"/>
  <c r="A836" i="29"/>
  <c r="A835" i="29"/>
  <c r="A834" i="29"/>
  <c r="A833" i="29"/>
  <c r="A832" i="29"/>
  <c r="A831" i="29"/>
  <c r="A830" i="29"/>
  <c r="A829" i="29"/>
  <c r="A828" i="29"/>
  <c r="A827" i="29"/>
  <c r="A826" i="29"/>
  <c r="A825" i="29"/>
  <c r="A824" i="29"/>
  <c r="A823" i="29"/>
  <c r="A822" i="29"/>
  <c r="A821" i="29"/>
  <c r="A820" i="29"/>
  <c r="A819" i="29"/>
  <c r="A818" i="29"/>
  <c r="A817" i="29"/>
  <c r="A816" i="29"/>
  <c r="A815" i="29"/>
  <c r="A814" i="29"/>
  <c r="A813" i="29"/>
  <c r="A812" i="29"/>
  <c r="A811" i="29"/>
  <c r="A810" i="29"/>
  <c r="A809" i="29"/>
  <c r="A808" i="29"/>
  <c r="A807" i="29"/>
  <c r="A806" i="29"/>
  <c r="A805" i="29"/>
  <c r="A804" i="29"/>
  <c r="A803" i="29"/>
  <c r="A802" i="29"/>
  <c r="A801" i="29"/>
  <c r="A800" i="29"/>
  <c r="A799" i="29"/>
  <c r="A798" i="29"/>
  <c r="A797" i="29"/>
  <c r="A796" i="29"/>
  <c r="A795" i="29"/>
  <c r="A794" i="29"/>
  <c r="A793" i="29"/>
  <c r="A792" i="29"/>
  <c r="A791" i="29"/>
  <c r="A790" i="29"/>
  <c r="A789" i="29"/>
  <c r="A788" i="29"/>
  <c r="A787" i="29"/>
  <c r="A786" i="29"/>
  <c r="A785" i="29"/>
  <c r="A784" i="29"/>
  <c r="A783" i="29"/>
  <c r="A782" i="29"/>
  <c r="A781" i="29"/>
  <c r="A780" i="29"/>
  <c r="A779" i="29"/>
  <c r="A778" i="29"/>
  <c r="A777" i="29"/>
  <c r="A776" i="29"/>
  <c r="A775" i="29"/>
  <c r="A774" i="29"/>
  <c r="A773" i="29"/>
  <c r="A772" i="29"/>
  <c r="A771" i="29"/>
  <c r="A770" i="29"/>
  <c r="A769" i="29"/>
  <c r="A768" i="29"/>
  <c r="A767" i="29"/>
  <c r="A766" i="29"/>
  <c r="A765" i="29"/>
  <c r="A764" i="29"/>
  <c r="A763" i="29"/>
  <c r="A762" i="29"/>
  <c r="A761" i="29"/>
  <c r="A760" i="29"/>
  <c r="A759" i="29"/>
  <c r="A758" i="29"/>
  <c r="A757" i="29"/>
  <c r="A756" i="29"/>
  <c r="A755" i="29"/>
  <c r="A754" i="29"/>
  <c r="A753" i="29"/>
  <c r="A752" i="29"/>
  <c r="A751" i="29"/>
  <c r="A750" i="29"/>
  <c r="A749" i="29"/>
  <c r="A748" i="29"/>
  <c r="A747" i="29"/>
  <c r="A746" i="29"/>
  <c r="A745" i="29"/>
  <c r="A744" i="29"/>
  <c r="A743" i="29"/>
  <c r="A742" i="29"/>
  <c r="A741" i="29"/>
  <c r="A740" i="29"/>
  <c r="A739" i="29"/>
  <c r="A738" i="29"/>
  <c r="A737" i="29"/>
  <c r="A736" i="29"/>
  <c r="A735" i="29"/>
  <c r="A734" i="29"/>
  <c r="A733" i="29"/>
  <c r="A732" i="29"/>
  <c r="A731" i="29"/>
  <c r="A730" i="29"/>
  <c r="A729" i="29"/>
  <c r="A728" i="29"/>
  <c r="A727" i="29"/>
  <c r="A726" i="29"/>
  <c r="A725" i="29"/>
  <c r="A724" i="29"/>
  <c r="A723" i="29"/>
  <c r="A722" i="29"/>
  <c r="A721" i="29"/>
  <c r="A720" i="29"/>
  <c r="A719" i="29"/>
  <c r="A718" i="29"/>
  <c r="A717" i="29"/>
  <c r="A716" i="29"/>
  <c r="A715" i="29"/>
  <c r="A714" i="29"/>
  <c r="A713" i="29"/>
  <c r="A712" i="29"/>
  <c r="A711" i="29"/>
  <c r="A710" i="29"/>
  <c r="A709" i="29"/>
  <c r="A708" i="29"/>
  <c r="A707" i="29"/>
  <c r="A706" i="29"/>
  <c r="A705" i="29"/>
  <c r="A704" i="29"/>
  <c r="A703" i="29"/>
  <c r="A702" i="29"/>
  <c r="A701" i="29"/>
  <c r="A700" i="29"/>
  <c r="A699" i="29"/>
  <c r="A698" i="29"/>
  <c r="A697" i="29"/>
  <c r="A696" i="29"/>
  <c r="A695" i="29"/>
  <c r="A694" i="29"/>
  <c r="A693" i="29"/>
  <c r="A692" i="29"/>
  <c r="A691" i="29"/>
  <c r="A690" i="29"/>
  <c r="A689" i="29"/>
  <c r="A688" i="29"/>
  <c r="A687" i="29"/>
  <c r="A686" i="29"/>
  <c r="A685" i="29"/>
  <c r="A684" i="29"/>
  <c r="A683" i="29"/>
  <c r="A682" i="29"/>
  <c r="A681" i="29"/>
  <c r="A680" i="29"/>
  <c r="A679" i="29"/>
  <c r="A678" i="29"/>
  <c r="A677" i="29"/>
  <c r="A676" i="29"/>
  <c r="A675" i="29"/>
  <c r="A674" i="29"/>
  <c r="A673" i="29"/>
  <c r="A672" i="29"/>
  <c r="A671" i="29"/>
  <c r="A670" i="29"/>
  <c r="A669" i="29"/>
  <c r="A668" i="29"/>
  <c r="A667" i="29"/>
  <c r="A666" i="29"/>
  <c r="A665" i="29"/>
  <c r="A664" i="29"/>
  <c r="A663" i="29"/>
  <c r="A662" i="29"/>
  <c r="A661" i="29"/>
  <c r="A660" i="29"/>
  <c r="A659" i="29"/>
  <c r="A658" i="29"/>
  <c r="A657" i="29"/>
  <c r="A656" i="29"/>
  <c r="A655" i="29"/>
  <c r="A654" i="29"/>
  <c r="A653" i="29"/>
  <c r="A652" i="29"/>
  <c r="A651" i="29"/>
  <c r="A650" i="29"/>
  <c r="A649" i="29"/>
  <c r="A648" i="29"/>
  <c r="A647" i="29"/>
  <c r="A646" i="29"/>
  <c r="A645" i="29"/>
  <c r="A644" i="29"/>
  <c r="A643" i="29"/>
  <c r="A642" i="29"/>
  <c r="A641" i="29"/>
  <c r="A640" i="29"/>
  <c r="A639" i="29"/>
  <c r="A638" i="29"/>
  <c r="A637" i="29"/>
  <c r="A636" i="29"/>
  <c r="A635" i="29"/>
  <c r="A634" i="29"/>
  <c r="A633" i="29"/>
  <c r="A632" i="29"/>
  <c r="A631" i="29"/>
  <c r="A630" i="29"/>
  <c r="A629" i="29"/>
  <c r="A628" i="29"/>
  <c r="A627" i="29"/>
  <c r="A626" i="29"/>
  <c r="A625" i="29"/>
  <c r="A624" i="29"/>
  <c r="A623" i="29"/>
  <c r="A622" i="29"/>
  <c r="A621" i="29"/>
  <c r="A620" i="29"/>
  <c r="A619" i="29"/>
  <c r="A618" i="29"/>
  <c r="A617" i="29"/>
  <c r="A616" i="29"/>
  <c r="A615" i="29"/>
  <c r="A614" i="29"/>
  <c r="A613" i="29"/>
  <c r="A612" i="29"/>
  <c r="A611" i="29"/>
  <c r="A610" i="29"/>
  <c r="A609" i="29"/>
  <c r="A608" i="29"/>
  <c r="A607" i="29"/>
  <c r="A606" i="29"/>
  <c r="A605" i="29"/>
  <c r="A604" i="29"/>
  <c r="A603" i="29"/>
  <c r="A602" i="29"/>
  <c r="A601" i="29"/>
  <c r="A600" i="29"/>
  <c r="A599" i="29"/>
  <c r="A598" i="29"/>
  <c r="A597" i="29"/>
  <c r="A596" i="29"/>
  <c r="A595" i="29"/>
  <c r="A594" i="29"/>
  <c r="A593" i="29"/>
  <c r="A592" i="29"/>
  <c r="A591" i="29"/>
  <c r="A590" i="29"/>
  <c r="A589" i="29"/>
  <c r="A588" i="29"/>
  <c r="A587" i="29"/>
  <c r="A586" i="29"/>
  <c r="A585" i="29"/>
  <c r="A584" i="29"/>
  <c r="A583" i="29"/>
  <c r="A582" i="29"/>
  <c r="A581" i="29"/>
  <c r="A580" i="29"/>
  <c r="A579" i="29"/>
  <c r="A578" i="29"/>
  <c r="A577" i="29"/>
  <c r="A576" i="29"/>
  <c r="A575" i="29"/>
  <c r="A574" i="29"/>
  <c r="A573" i="29"/>
  <c r="A572" i="29"/>
  <c r="A571" i="29"/>
  <c r="A570" i="29"/>
  <c r="A569" i="29"/>
  <c r="A568" i="29"/>
  <c r="A567" i="29"/>
  <c r="A566" i="29"/>
  <c r="A565" i="29"/>
  <c r="A564" i="29"/>
  <c r="A563" i="29"/>
  <c r="A562" i="29"/>
  <c r="A561" i="29"/>
  <c r="A560" i="29"/>
  <c r="A559" i="29"/>
  <c r="A558" i="29"/>
  <c r="A557" i="29"/>
  <c r="A556" i="29"/>
  <c r="A555" i="29"/>
  <c r="A554" i="29"/>
  <c r="A553" i="29"/>
  <c r="A552" i="29"/>
  <c r="A551" i="29"/>
  <c r="A550" i="29"/>
  <c r="A549" i="29"/>
  <c r="A548" i="29"/>
  <c r="A547" i="29"/>
  <c r="A546" i="29"/>
  <c r="A545" i="29"/>
  <c r="A544" i="29"/>
  <c r="A543" i="29"/>
  <c r="A542" i="29"/>
  <c r="A541" i="29"/>
  <c r="A540" i="29"/>
  <c r="A539" i="29"/>
  <c r="A538" i="29"/>
  <c r="A537" i="29"/>
  <c r="A536" i="29"/>
  <c r="A535" i="29"/>
  <c r="A534" i="29"/>
  <c r="A533" i="29"/>
  <c r="A532" i="29"/>
  <c r="A531" i="29"/>
  <c r="A530" i="29"/>
  <c r="A529" i="29"/>
  <c r="A528" i="29"/>
  <c r="A527" i="29"/>
  <c r="A526" i="29"/>
  <c r="A525" i="29"/>
  <c r="A524" i="29"/>
  <c r="A523" i="29"/>
  <c r="A522" i="29"/>
  <c r="A521" i="29"/>
  <c r="A520" i="29"/>
  <c r="A519" i="29"/>
  <c r="A518" i="29"/>
  <c r="A517" i="29"/>
  <c r="A516" i="29"/>
  <c r="A515" i="29"/>
  <c r="A514" i="29"/>
  <c r="A513" i="29"/>
  <c r="A512" i="29"/>
  <c r="A511" i="29"/>
  <c r="A510" i="29"/>
  <c r="A509" i="29"/>
  <c r="A508" i="29"/>
  <c r="A507" i="29"/>
  <c r="A506" i="29"/>
  <c r="A505" i="29"/>
  <c r="A504" i="29"/>
  <c r="A503" i="29"/>
  <c r="A502" i="29"/>
  <c r="A501" i="29"/>
  <c r="A500" i="29"/>
  <c r="A499" i="29"/>
  <c r="A498" i="29"/>
  <c r="A497" i="29"/>
  <c r="A496" i="29"/>
  <c r="A495" i="29"/>
  <c r="A494" i="29"/>
  <c r="A493" i="29"/>
  <c r="A492" i="29"/>
  <c r="A491" i="29"/>
  <c r="A490" i="29"/>
  <c r="A489" i="29"/>
  <c r="A488" i="29"/>
  <c r="A487" i="29"/>
  <c r="A486" i="29"/>
  <c r="A485" i="29"/>
  <c r="A484" i="29"/>
  <c r="A483" i="29"/>
  <c r="A482" i="29"/>
  <c r="A481" i="29"/>
  <c r="A480" i="29"/>
  <c r="A479" i="29"/>
  <c r="A478" i="29"/>
  <c r="A477" i="29"/>
  <c r="A476" i="29"/>
  <c r="A475" i="29"/>
  <c r="A474" i="29"/>
  <c r="A473" i="29"/>
  <c r="A472" i="29"/>
  <c r="A471" i="29"/>
  <c r="A470" i="29"/>
  <c r="A469" i="29"/>
  <c r="A468" i="29"/>
  <c r="A467" i="29"/>
  <c r="A466" i="29"/>
  <c r="A465" i="29"/>
  <c r="A464" i="29"/>
  <c r="A463" i="29"/>
  <c r="A462" i="29"/>
  <c r="A461" i="29"/>
  <c r="A460" i="29"/>
  <c r="A459" i="29"/>
  <c r="A458" i="29"/>
  <c r="A457" i="29"/>
  <c r="A456" i="29"/>
  <c r="A455" i="29"/>
  <c r="A454" i="29"/>
  <c r="A453" i="29"/>
  <c r="A452" i="29"/>
  <c r="A451" i="29"/>
  <c r="A450" i="29"/>
  <c r="A449" i="29"/>
  <c r="A448" i="29"/>
  <c r="A447" i="29"/>
  <c r="A446" i="29"/>
  <c r="A445" i="29"/>
  <c r="A444" i="29"/>
  <c r="A443" i="29"/>
  <c r="A442" i="29"/>
  <c r="A441" i="29"/>
  <c r="A440" i="29"/>
  <c r="A439" i="29"/>
  <c r="A438" i="29"/>
  <c r="A437" i="29"/>
  <c r="A436" i="29"/>
  <c r="A435" i="29"/>
  <c r="A434" i="29"/>
  <c r="A433" i="29"/>
  <c r="A432" i="29"/>
  <c r="A431" i="29"/>
  <c r="A430" i="29"/>
  <c r="A429" i="29"/>
  <c r="A428" i="29"/>
  <c r="A427" i="29"/>
  <c r="A426" i="29"/>
  <c r="A425" i="29"/>
  <c r="A424" i="29"/>
  <c r="A423" i="29"/>
  <c r="A422" i="29"/>
  <c r="A421" i="29"/>
  <c r="A420" i="29"/>
  <c r="A419" i="29"/>
  <c r="A418" i="29"/>
  <c r="A417" i="29"/>
  <c r="A416" i="29"/>
  <c r="A415" i="29"/>
  <c r="A414" i="29"/>
  <c r="A413" i="29"/>
  <c r="A412" i="29"/>
  <c r="A411" i="29"/>
  <c r="A410" i="29"/>
  <c r="A409" i="29"/>
  <c r="A408" i="29"/>
  <c r="A407" i="29"/>
  <c r="A406" i="29"/>
  <c r="A405" i="29"/>
  <c r="A404" i="29"/>
  <c r="A403" i="29"/>
  <c r="A402" i="29"/>
  <c r="A401" i="29"/>
  <c r="A400" i="29"/>
  <c r="A399" i="29"/>
  <c r="A398" i="29"/>
  <c r="A397" i="29"/>
  <c r="A396" i="29"/>
  <c r="A395" i="29"/>
  <c r="A394" i="29"/>
  <c r="A393" i="29"/>
  <c r="A392" i="29"/>
  <c r="A391" i="29"/>
  <c r="A390" i="29"/>
  <c r="A389" i="29"/>
  <c r="A388" i="29"/>
  <c r="A387" i="29"/>
  <c r="A386" i="29"/>
  <c r="A385" i="29"/>
  <c r="A384" i="29"/>
  <c r="A383" i="29"/>
  <c r="A382" i="29"/>
  <c r="A381" i="29"/>
  <c r="A380" i="29"/>
  <c r="A379" i="29"/>
  <c r="A378" i="29"/>
  <c r="A377" i="29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985" i="28"/>
  <c r="A984" i="28"/>
  <c r="A983" i="28"/>
  <c r="A982" i="28"/>
  <c r="A981" i="28"/>
  <c r="A980" i="28"/>
  <c r="A979" i="28"/>
  <c r="A978" i="28"/>
  <c r="A977" i="28"/>
  <c r="A976" i="28"/>
  <c r="A975" i="28"/>
  <c r="A974" i="28"/>
  <c r="A973" i="28"/>
  <c r="A972" i="28"/>
  <c r="A971" i="28"/>
  <c r="A970" i="28"/>
  <c r="A969" i="28"/>
  <c r="A968" i="28"/>
  <c r="A967" i="28"/>
  <c r="A966" i="28"/>
  <c r="A965" i="28"/>
  <c r="A964" i="28"/>
  <c r="A963" i="28"/>
  <c r="A962" i="28"/>
  <c r="A961" i="28"/>
  <c r="A960" i="28"/>
  <c r="A959" i="28"/>
  <c r="A958" i="28"/>
  <c r="A957" i="28"/>
  <c r="A956" i="28"/>
  <c r="A955" i="28"/>
  <c r="A954" i="28"/>
  <c r="A953" i="28"/>
  <c r="A952" i="28"/>
  <c r="A951" i="28"/>
  <c r="A950" i="28"/>
  <c r="A949" i="28"/>
  <c r="A948" i="28"/>
  <c r="A947" i="28"/>
  <c r="A946" i="28"/>
  <c r="A945" i="28"/>
  <c r="A944" i="28"/>
  <c r="A943" i="28"/>
  <c r="A942" i="28"/>
  <c r="A941" i="28"/>
  <c r="A940" i="28"/>
  <c r="A939" i="28"/>
  <c r="A938" i="28"/>
  <c r="A937" i="28"/>
  <c r="A936" i="28"/>
  <c r="A935" i="28"/>
  <c r="A934" i="28"/>
  <c r="A933" i="28"/>
  <c r="A932" i="28"/>
  <c r="A931" i="28"/>
  <c r="A930" i="28"/>
  <c r="A929" i="28"/>
  <c r="A928" i="28"/>
  <c r="A927" i="28"/>
  <c r="A926" i="28"/>
  <c r="A925" i="28"/>
  <c r="A924" i="28"/>
  <c r="A923" i="28"/>
  <c r="A922" i="28"/>
  <c r="A921" i="28"/>
  <c r="A920" i="28"/>
  <c r="A919" i="28"/>
  <c r="A918" i="28"/>
  <c r="A917" i="28"/>
  <c r="A916" i="28"/>
  <c r="A915" i="28"/>
  <c r="A914" i="28"/>
  <c r="A913" i="28"/>
  <c r="A912" i="28"/>
  <c r="A911" i="28"/>
  <c r="A910" i="28"/>
  <c r="A909" i="28"/>
  <c r="A908" i="28"/>
  <c r="A907" i="28"/>
  <c r="A906" i="28"/>
  <c r="A905" i="28"/>
  <c r="A904" i="28"/>
  <c r="A903" i="28"/>
  <c r="A902" i="28"/>
  <c r="A901" i="28"/>
  <c r="A900" i="28"/>
  <c r="A899" i="28"/>
  <c r="A898" i="28"/>
  <c r="A897" i="28"/>
  <c r="A896" i="28"/>
  <c r="A895" i="28"/>
  <c r="A894" i="28"/>
  <c r="A893" i="28"/>
  <c r="A892" i="28"/>
  <c r="A891" i="28"/>
  <c r="A890" i="28"/>
  <c r="A889" i="28"/>
  <c r="A888" i="28"/>
  <c r="A887" i="28"/>
  <c r="A886" i="28"/>
  <c r="A885" i="28"/>
  <c r="A884" i="28"/>
  <c r="A883" i="28"/>
  <c r="A882" i="28"/>
  <c r="A881" i="28"/>
  <c r="A880" i="28"/>
  <c r="A879" i="28"/>
  <c r="A878" i="28"/>
  <c r="A877" i="28"/>
  <c r="A876" i="28"/>
  <c r="A875" i="28"/>
  <c r="A874" i="28"/>
  <c r="A873" i="28"/>
  <c r="A872" i="28"/>
  <c r="A871" i="28"/>
  <c r="A870" i="28"/>
  <c r="A869" i="28"/>
  <c r="A868" i="28"/>
  <c r="A867" i="28"/>
  <c r="A866" i="28"/>
  <c r="A865" i="28"/>
  <c r="A864" i="28"/>
  <c r="A863" i="28"/>
  <c r="A862" i="28"/>
  <c r="A861" i="28"/>
  <c r="A860" i="28"/>
  <c r="A859" i="28"/>
  <c r="A858" i="28"/>
  <c r="A857" i="28"/>
  <c r="A856" i="28"/>
  <c r="A855" i="28"/>
  <c r="A854" i="28"/>
  <c r="A853" i="28"/>
  <c r="A852" i="28"/>
  <c r="A851" i="28"/>
  <c r="A850" i="28"/>
  <c r="A849" i="28"/>
  <c r="A848" i="28"/>
  <c r="A847" i="28"/>
  <c r="A846" i="28"/>
  <c r="A845" i="28"/>
  <c r="A844" i="28"/>
  <c r="A843" i="28"/>
  <c r="A842" i="28"/>
  <c r="A841" i="28"/>
  <c r="A840" i="28"/>
  <c r="A839" i="28"/>
  <c r="A838" i="28"/>
  <c r="A837" i="28"/>
  <c r="A836" i="28"/>
  <c r="A835" i="28"/>
  <c r="A834" i="28"/>
  <c r="A833" i="28"/>
  <c r="A832" i="28"/>
  <c r="A831" i="28"/>
  <c r="A830" i="28"/>
  <c r="A829" i="28"/>
  <c r="A828" i="28"/>
  <c r="A827" i="28"/>
  <c r="A826" i="28"/>
  <c r="A825" i="28"/>
  <c r="A824" i="28"/>
  <c r="A823" i="28"/>
  <c r="A822" i="28"/>
  <c r="A821" i="28"/>
  <c r="A820" i="28"/>
  <c r="A819" i="28"/>
  <c r="A818" i="28"/>
  <c r="A817" i="28"/>
  <c r="A816" i="28"/>
  <c r="A815" i="28"/>
  <c r="A814" i="28"/>
  <c r="A813" i="28"/>
  <c r="A812" i="28"/>
  <c r="A811" i="28"/>
  <c r="A810" i="28"/>
  <c r="A809" i="28"/>
  <c r="A808" i="28"/>
  <c r="A807" i="28"/>
  <c r="A806" i="28"/>
  <c r="A805" i="28"/>
  <c r="A804" i="28"/>
  <c r="A803" i="28"/>
  <c r="A802" i="28"/>
  <c r="A801" i="28"/>
  <c r="A800" i="28"/>
  <c r="A799" i="28"/>
  <c r="A798" i="28"/>
  <c r="A797" i="28"/>
  <c r="A796" i="28"/>
  <c r="A795" i="28"/>
  <c r="A794" i="28"/>
  <c r="A793" i="28"/>
  <c r="A792" i="28"/>
  <c r="A791" i="28"/>
  <c r="A790" i="28"/>
  <c r="A789" i="28"/>
  <c r="A788" i="28"/>
  <c r="A787" i="28"/>
  <c r="A786" i="28"/>
  <c r="A785" i="28"/>
  <c r="A784" i="28"/>
  <c r="A783" i="28"/>
  <c r="A782" i="28"/>
  <c r="A781" i="28"/>
  <c r="A780" i="28"/>
  <c r="A779" i="28"/>
  <c r="A778" i="28"/>
  <c r="A777" i="28"/>
  <c r="A776" i="28"/>
  <c r="A775" i="28"/>
  <c r="A774" i="28"/>
  <c r="A773" i="28"/>
  <c r="A772" i="28"/>
  <c r="A771" i="28"/>
  <c r="A770" i="28"/>
  <c r="A769" i="28"/>
  <c r="A768" i="28"/>
  <c r="A767" i="28"/>
  <c r="A766" i="28"/>
  <c r="A765" i="28"/>
  <c r="A764" i="28"/>
  <c r="A763" i="28"/>
  <c r="A762" i="28"/>
  <c r="A761" i="28"/>
  <c r="A760" i="28"/>
  <c r="A759" i="28"/>
  <c r="A758" i="28"/>
  <c r="A757" i="28"/>
  <c r="A756" i="28"/>
  <c r="A755" i="28"/>
  <c r="A754" i="28"/>
  <c r="A753" i="28"/>
  <c r="A752" i="28"/>
  <c r="A751" i="28"/>
  <c r="A750" i="28"/>
  <c r="A749" i="28"/>
  <c r="A748" i="28"/>
  <c r="A747" i="28"/>
  <c r="A746" i="28"/>
  <c r="A745" i="28"/>
  <c r="A744" i="28"/>
  <c r="A743" i="28"/>
  <c r="A742" i="28"/>
  <c r="A741" i="28"/>
  <c r="A740" i="28"/>
  <c r="A739" i="28"/>
  <c r="A738" i="28"/>
  <c r="A737" i="28"/>
  <c r="A736" i="28"/>
  <c r="A735" i="28"/>
  <c r="A734" i="28"/>
  <c r="A733" i="28"/>
  <c r="A732" i="28"/>
  <c r="A731" i="28"/>
  <c r="A730" i="28"/>
  <c r="A729" i="28"/>
  <c r="A728" i="28"/>
  <c r="A727" i="28"/>
  <c r="A726" i="28"/>
  <c r="A725" i="28"/>
  <c r="A724" i="28"/>
  <c r="A723" i="28"/>
  <c r="A722" i="28"/>
  <c r="A721" i="28"/>
  <c r="A720" i="28"/>
  <c r="A719" i="28"/>
  <c r="A718" i="28"/>
  <c r="A717" i="28"/>
  <c r="A716" i="28"/>
  <c r="A715" i="28"/>
  <c r="A714" i="28"/>
  <c r="A713" i="28"/>
  <c r="A712" i="28"/>
  <c r="A711" i="28"/>
  <c r="A710" i="28"/>
  <c r="A709" i="28"/>
  <c r="A708" i="28"/>
  <c r="A707" i="28"/>
  <c r="A706" i="28"/>
  <c r="A705" i="28"/>
  <c r="A704" i="28"/>
  <c r="A703" i="28"/>
  <c r="A702" i="28"/>
  <c r="A701" i="28"/>
  <c r="A700" i="28"/>
  <c r="A699" i="28"/>
  <c r="A698" i="28"/>
  <c r="A697" i="28"/>
  <c r="A696" i="28"/>
  <c r="A695" i="28"/>
  <c r="A694" i="28"/>
  <c r="A693" i="28"/>
  <c r="A692" i="28"/>
  <c r="A691" i="28"/>
  <c r="A690" i="28"/>
  <c r="A689" i="28"/>
  <c r="A688" i="28"/>
  <c r="A687" i="28"/>
  <c r="A686" i="28"/>
  <c r="A685" i="28"/>
  <c r="A684" i="28"/>
  <c r="A683" i="28"/>
  <c r="A682" i="28"/>
  <c r="A681" i="28"/>
  <c r="A680" i="28"/>
  <c r="A679" i="28"/>
  <c r="A678" i="28"/>
  <c r="A677" i="28"/>
  <c r="A676" i="28"/>
  <c r="A675" i="28"/>
  <c r="A674" i="28"/>
  <c r="A673" i="28"/>
  <c r="A672" i="28"/>
  <c r="A671" i="28"/>
  <c r="A670" i="28"/>
  <c r="A669" i="28"/>
  <c r="A668" i="28"/>
  <c r="A667" i="28"/>
  <c r="A666" i="28"/>
  <c r="A665" i="28"/>
  <c r="A664" i="28"/>
  <c r="A663" i="28"/>
  <c r="A662" i="28"/>
  <c r="A661" i="28"/>
  <c r="A660" i="28"/>
  <c r="A659" i="28"/>
  <c r="A658" i="28"/>
  <c r="A657" i="28"/>
  <c r="A656" i="28"/>
  <c r="A655" i="28"/>
  <c r="A654" i="28"/>
  <c r="A653" i="28"/>
  <c r="A652" i="28"/>
  <c r="A651" i="28"/>
  <c r="A650" i="28"/>
  <c r="A649" i="28"/>
  <c r="A648" i="28"/>
  <c r="A647" i="28"/>
  <c r="A646" i="28"/>
  <c r="A645" i="28"/>
  <c r="A644" i="28"/>
  <c r="A643" i="28"/>
  <c r="A642" i="28"/>
  <c r="A641" i="28"/>
  <c r="A640" i="28"/>
  <c r="A639" i="28"/>
  <c r="A638" i="28"/>
  <c r="A637" i="28"/>
  <c r="A636" i="28"/>
  <c r="A635" i="28"/>
  <c r="A634" i="28"/>
  <c r="A633" i="28"/>
  <c r="A632" i="28"/>
  <c r="A631" i="28"/>
  <c r="A630" i="28"/>
  <c r="A629" i="28"/>
  <c r="A628" i="28"/>
  <c r="A627" i="28"/>
  <c r="A626" i="28"/>
  <c r="A625" i="28"/>
  <c r="A624" i="28"/>
  <c r="A623" i="28"/>
  <c r="A622" i="28"/>
  <c r="A621" i="28"/>
  <c r="A620" i="28"/>
  <c r="A619" i="28"/>
  <c r="A618" i="28"/>
  <c r="A617" i="28"/>
  <c r="A616" i="28"/>
  <c r="A615" i="28"/>
  <c r="A614" i="28"/>
  <c r="A613" i="28"/>
  <c r="A612" i="28"/>
  <c r="A611" i="28"/>
  <c r="A610" i="28"/>
  <c r="A609" i="28"/>
  <c r="A608" i="28"/>
  <c r="A607" i="28"/>
  <c r="A606" i="28"/>
  <c r="A605" i="28"/>
  <c r="A604" i="28"/>
  <c r="A603" i="28"/>
  <c r="A602" i="28"/>
  <c r="A601" i="28"/>
  <c r="A600" i="28"/>
  <c r="A599" i="28"/>
  <c r="A598" i="28"/>
  <c r="A597" i="28"/>
  <c r="A596" i="28"/>
  <c r="A595" i="28"/>
  <c r="A594" i="28"/>
  <c r="A593" i="28"/>
  <c r="A592" i="28"/>
  <c r="A591" i="28"/>
  <c r="A590" i="28"/>
  <c r="A589" i="28"/>
  <c r="A588" i="28"/>
  <c r="A587" i="28"/>
  <c r="A586" i="28"/>
  <c r="A585" i="28"/>
  <c r="A584" i="28"/>
  <c r="A583" i="28"/>
  <c r="A582" i="28"/>
  <c r="A581" i="28"/>
  <c r="A580" i="28"/>
  <c r="A579" i="28"/>
  <c r="A578" i="28"/>
  <c r="A577" i="28"/>
  <c r="A576" i="28"/>
  <c r="A575" i="28"/>
  <c r="A574" i="28"/>
  <c r="A573" i="28"/>
  <c r="A572" i="28"/>
  <c r="A571" i="28"/>
  <c r="A570" i="28"/>
  <c r="A569" i="28"/>
  <c r="A568" i="28"/>
  <c r="A567" i="28"/>
  <c r="A566" i="28"/>
  <c r="A565" i="28"/>
  <c r="A564" i="28"/>
  <c r="A563" i="28"/>
  <c r="A562" i="28"/>
  <c r="A561" i="28"/>
  <c r="A560" i="28"/>
  <c r="A559" i="28"/>
  <c r="A558" i="28"/>
  <c r="A557" i="28"/>
  <c r="A556" i="28"/>
  <c r="A555" i="28"/>
  <c r="A554" i="28"/>
  <c r="A553" i="28"/>
  <c r="A552" i="28"/>
  <c r="A551" i="28"/>
  <c r="A550" i="28"/>
  <c r="A549" i="28"/>
  <c r="A548" i="28"/>
  <c r="A547" i="28"/>
  <c r="A546" i="28"/>
  <c r="A545" i="28"/>
  <c r="A544" i="28"/>
  <c r="A543" i="28"/>
  <c r="A542" i="28"/>
  <c r="A541" i="28"/>
  <c r="A540" i="28"/>
  <c r="A539" i="28"/>
  <c r="A538" i="28"/>
  <c r="A537" i="28"/>
  <c r="A536" i="28"/>
  <c r="A535" i="28"/>
  <c r="A534" i="28"/>
  <c r="A533" i="28"/>
  <c r="A532" i="28"/>
  <c r="A531" i="28"/>
  <c r="A530" i="28"/>
  <c r="A529" i="28"/>
  <c r="A528" i="28"/>
  <c r="A527" i="28"/>
  <c r="A526" i="28"/>
  <c r="A525" i="28"/>
  <c r="A524" i="28"/>
  <c r="A523" i="28"/>
  <c r="A522" i="28"/>
  <c r="A521" i="28"/>
  <c r="A520" i="28"/>
  <c r="A519" i="28"/>
  <c r="A518" i="28"/>
  <c r="A517" i="28"/>
  <c r="A516" i="28"/>
  <c r="A515" i="28"/>
  <c r="A514" i="28"/>
  <c r="A513" i="28"/>
  <c r="A512" i="28"/>
  <c r="A511" i="28"/>
  <c r="A510" i="28"/>
  <c r="A509" i="28"/>
  <c r="A508" i="28"/>
  <c r="A507" i="28"/>
  <c r="A506" i="28"/>
  <c r="A505" i="28"/>
  <c r="A504" i="28"/>
  <c r="A503" i="28"/>
  <c r="A502" i="28"/>
  <c r="A501" i="28"/>
  <c r="A500" i="28"/>
  <c r="A499" i="28"/>
  <c r="A498" i="28"/>
  <c r="A497" i="28"/>
  <c r="A496" i="28"/>
  <c r="A495" i="28"/>
  <c r="A494" i="28"/>
  <c r="A493" i="28"/>
  <c r="A492" i="28"/>
  <c r="A491" i="28"/>
  <c r="A490" i="28"/>
  <c r="A489" i="28"/>
  <c r="A488" i="28"/>
  <c r="A487" i="28"/>
  <c r="A486" i="28"/>
  <c r="A485" i="28"/>
  <c r="A484" i="28"/>
  <c r="A483" i="28"/>
  <c r="A482" i="28"/>
  <c r="A481" i="28"/>
  <c r="A480" i="28"/>
  <c r="A479" i="28"/>
  <c r="A478" i="28"/>
  <c r="A477" i="28"/>
  <c r="A476" i="28"/>
  <c r="A475" i="28"/>
  <c r="A474" i="28"/>
  <c r="A473" i="28"/>
  <c r="A472" i="28"/>
  <c r="A471" i="28"/>
  <c r="A470" i="28"/>
  <c r="A469" i="28"/>
  <c r="A468" i="28"/>
  <c r="A467" i="28"/>
  <c r="A466" i="28"/>
  <c r="A465" i="28"/>
  <c r="A464" i="28"/>
  <c r="A463" i="28"/>
  <c r="A462" i="28"/>
  <c r="A461" i="28"/>
  <c r="A460" i="28"/>
  <c r="A459" i="28"/>
  <c r="A458" i="28"/>
  <c r="A457" i="28"/>
  <c r="A456" i="28"/>
  <c r="A455" i="28"/>
  <c r="A454" i="28"/>
  <c r="A453" i="28"/>
  <c r="A452" i="28"/>
  <c r="A451" i="28"/>
  <c r="A450" i="28"/>
  <c r="A449" i="28"/>
  <c r="A448" i="28"/>
  <c r="A447" i="28"/>
  <c r="A446" i="28"/>
  <c r="A445" i="28"/>
  <c r="A444" i="28"/>
  <c r="A443" i="28"/>
  <c r="A442" i="28"/>
  <c r="A441" i="28"/>
  <c r="A440" i="28"/>
  <c r="A439" i="28"/>
  <c r="A438" i="28"/>
  <c r="A437" i="28"/>
  <c r="A436" i="28"/>
  <c r="A435" i="28"/>
  <c r="A434" i="28"/>
  <c r="A433" i="28"/>
  <c r="A432" i="28"/>
  <c r="A431" i="28"/>
  <c r="A430" i="28"/>
  <c r="A429" i="28"/>
  <c r="A428" i="28"/>
  <c r="A427" i="28"/>
  <c r="A426" i="28"/>
  <c r="A425" i="28"/>
  <c r="A424" i="28"/>
  <c r="A423" i="28"/>
  <c r="A422" i="28"/>
  <c r="A421" i="28"/>
  <c r="A420" i="28"/>
  <c r="A419" i="28"/>
  <c r="A418" i="28"/>
  <c r="A417" i="28"/>
  <c r="A416" i="28"/>
  <c r="A415" i="28"/>
  <c r="A414" i="28"/>
  <c r="A413" i="28"/>
  <c r="A412" i="28"/>
  <c r="A411" i="28"/>
  <c r="A410" i="28"/>
  <c r="A409" i="28"/>
  <c r="A408" i="28"/>
  <c r="A407" i="28"/>
  <c r="A406" i="28"/>
  <c r="A405" i="28"/>
  <c r="A404" i="28"/>
  <c r="A403" i="28"/>
  <c r="A402" i="28"/>
  <c r="A401" i="28"/>
  <c r="A400" i="28"/>
  <c r="A399" i="28"/>
  <c r="A398" i="28"/>
  <c r="A397" i="28"/>
  <c r="A396" i="28"/>
  <c r="A395" i="28"/>
  <c r="A394" i="28"/>
  <c r="A393" i="28"/>
  <c r="A392" i="28"/>
  <c r="A391" i="28"/>
  <c r="A390" i="28"/>
  <c r="A389" i="28"/>
  <c r="A388" i="28"/>
  <c r="A387" i="28"/>
  <c r="A386" i="28"/>
  <c r="A385" i="28"/>
  <c r="A384" i="28"/>
  <c r="A383" i="28"/>
  <c r="A382" i="28"/>
  <c r="A381" i="28"/>
  <c r="A380" i="28"/>
  <c r="A379" i="28"/>
  <c r="A378" i="28"/>
  <c r="A377" i="28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983" i="27"/>
  <c r="A982" i="27"/>
  <c r="A981" i="27"/>
  <c r="A980" i="27"/>
  <c r="A979" i="27"/>
  <c r="A978" i="27"/>
  <c r="A977" i="27"/>
  <c r="A976" i="27"/>
  <c r="A975" i="27"/>
  <c r="A974" i="27"/>
  <c r="A973" i="27"/>
  <c r="A972" i="27"/>
  <c r="A971" i="27"/>
  <c r="A970" i="27"/>
  <c r="A969" i="27"/>
  <c r="A968" i="27"/>
  <c r="A967" i="27"/>
  <c r="A966" i="27"/>
  <c r="A965" i="27"/>
  <c r="A964" i="27"/>
  <c r="A963" i="27"/>
  <c r="A962" i="27"/>
  <c r="A961" i="27"/>
  <c r="A960" i="27"/>
  <c r="A959" i="27"/>
  <c r="A958" i="27"/>
  <c r="A957" i="27"/>
  <c r="A956" i="27"/>
  <c r="A955" i="27"/>
  <c r="A954" i="27"/>
  <c r="A953" i="27"/>
  <c r="A952" i="27"/>
  <c r="A951" i="27"/>
  <c r="A950" i="27"/>
  <c r="A949" i="27"/>
  <c r="A948" i="27"/>
  <c r="A947" i="27"/>
  <c r="A946" i="27"/>
  <c r="A945" i="27"/>
  <c r="A944" i="27"/>
  <c r="A943" i="27"/>
  <c r="A942" i="27"/>
  <c r="A941" i="27"/>
  <c r="A940" i="27"/>
  <c r="A939" i="27"/>
  <c r="A938" i="27"/>
  <c r="A937" i="27"/>
  <c r="A936" i="27"/>
  <c r="A935" i="27"/>
  <c r="A934" i="27"/>
  <c r="A933" i="27"/>
  <c r="A932" i="27"/>
  <c r="A931" i="27"/>
  <c r="A930" i="27"/>
  <c r="A929" i="27"/>
  <c r="A928" i="27"/>
  <c r="A927" i="27"/>
  <c r="A926" i="27"/>
  <c r="A925" i="27"/>
  <c r="A924" i="27"/>
  <c r="A923" i="27"/>
  <c r="A922" i="27"/>
  <c r="A921" i="27"/>
  <c r="A920" i="27"/>
  <c r="A919" i="27"/>
  <c r="A918" i="27"/>
  <c r="A917" i="27"/>
  <c r="A916" i="27"/>
  <c r="A915" i="27"/>
  <c r="A914" i="27"/>
  <c r="A913" i="27"/>
  <c r="A912" i="27"/>
  <c r="A911" i="27"/>
  <c r="A910" i="27"/>
  <c r="A909" i="27"/>
  <c r="A908" i="27"/>
  <c r="A907" i="27"/>
  <c r="A906" i="27"/>
  <c r="A905" i="27"/>
  <c r="A904" i="27"/>
  <c r="A903" i="27"/>
  <c r="A902" i="27"/>
  <c r="A901" i="27"/>
  <c r="A900" i="27"/>
  <c r="A899" i="27"/>
  <c r="A898" i="27"/>
  <c r="A897" i="27"/>
  <c r="A896" i="27"/>
  <c r="A895" i="27"/>
  <c r="A894" i="27"/>
  <c r="A893" i="27"/>
  <c r="A892" i="27"/>
  <c r="A891" i="27"/>
  <c r="A890" i="27"/>
  <c r="A889" i="27"/>
  <c r="A888" i="27"/>
  <c r="A887" i="27"/>
  <c r="A886" i="27"/>
  <c r="A885" i="27"/>
  <c r="A884" i="27"/>
  <c r="A883" i="27"/>
  <c r="A882" i="27"/>
  <c r="A881" i="27"/>
  <c r="A880" i="27"/>
  <c r="A879" i="27"/>
  <c r="A878" i="27"/>
  <c r="A877" i="27"/>
  <c r="A876" i="27"/>
  <c r="A875" i="27"/>
  <c r="A874" i="27"/>
  <c r="A873" i="27"/>
  <c r="A872" i="27"/>
  <c r="A871" i="27"/>
  <c r="A870" i="27"/>
  <c r="A869" i="27"/>
  <c r="A868" i="27"/>
  <c r="A867" i="27"/>
  <c r="A866" i="27"/>
  <c r="A865" i="27"/>
  <c r="A864" i="27"/>
  <c r="A863" i="27"/>
  <c r="A862" i="27"/>
  <c r="A861" i="27"/>
  <c r="A860" i="27"/>
  <c r="A859" i="27"/>
  <c r="A858" i="27"/>
  <c r="A857" i="27"/>
  <c r="A856" i="27"/>
  <c r="A855" i="27"/>
  <c r="A854" i="27"/>
  <c r="A853" i="27"/>
  <c r="A852" i="27"/>
  <c r="A851" i="27"/>
  <c r="A850" i="27"/>
  <c r="A849" i="27"/>
  <c r="A848" i="27"/>
  <c r="A847" i="27"/>
  <c r="A846" i="27"/>
  <c r="A845" i="27"/>
  <c r="A844" i="27"/>
  <c r="A843" i="27"/>
  <c r="A842" i="27"/>
  <c r="A841" i="27"/>
  <c r="A840" i="27"/>
  <c r="A839" i="27"/>
  <c r="A838" i="27"/>
  <c r="A837" i="27"/>
  <c r="A836" i="27"/>
  <c r="A835" i="27"/>
  <c r="A834" i="27"/>
  <c r="A833" i="27"/>
  <c r="A832" i="27"/>
  <c r="A831" i="27"/>
  <c r="A830" i="27"/>
  <c r="A829" i="27"/>
  <c r="A828" i="27"/>
  <c r="A827" i="27"/>
  <c r="A826" i="27"/>
  <c r="A825" i="27"/>
  <c r="A824" i="27"/>
  <c r="A823" i="27"/>
  <c r="A822" i="27"/>
  <c r="A821" i="27"/>
  <c r="A820" i="27"/>
  <c r="A819" i="27"/>
  <c r="A818" i="27"/>
  <c r="A817" i="27"/>
  <c r="A816" i="27"/>
  <c r="A815" i="27"/>
  <c r="A814" i="27"/>
  <c r="A813" i="27"/>
  <c r="A812" i="27"/>
  <c r="A811" i="27"/>
  <c r="A810" i="27"/>
  <c r="A809" i="27"/>
  <c r="A808" i="27"/>
  <c r="A807" i="27"/>
  <c r="A806" i="27"/>
  <c r="A805" i="27"/>
  <c r="A804" i="27"/>
  <c r="A803" i="27"/>
  <c r="A802" i="27"/>
  <c r="A801" i="27"/>
  <c r="A800" i="27"/>
  <c r="A799" i="27"/>
  <c r="A798" i="27"/>
  <c r="A797" i="27"/>
  <c r="A796" i="27"/>
  <c r="A795" i="27"/>
  <c r="A794" i="27"/>
  <c r="A793" i="27"/>
  <c r="A792" i="27"/>
  <c r="A791" i="27"/>
  <c r="A790" i="27"/>
  <c r="A789" i="27"/>
  <c r="A788" i="27"/>
  <c r="A787" i="27"/>
  <c r="A786" i="27"/>
  <c r="A785" i="27"/>
  <c r="A784" i="27"/>
  <c r="A783" i="27"/>
  <c r="A782" i="27"/>
  <c r="A781" i="27"/>
  <c r="A780" i="27"/>
  <c r="A779" i="27"/>
  <c r="A778" i="27"/>
  <c r="A777" i="27"/>
  <c r="A776" i="27"/>
  <c r="A775" i="27"/>
  <c r="A774" i="27"/>
  <c r="A773" i="27"/>
  <c r="A772" i="27"/>
  <c r="A771" i="27"/>
  <c r="A770" i="27"/>
  <c r="A769" i="27"/>
  <c r="A768" i="27"/>
  <c r="A767" i="27"/>
  <c r="A766" i="27"/>
  <c r="A765" i="27"/>
  <c r="A764" i="27"/>
  <c r="A763" i="27"/>
  <c r="A762" i="27"/>
  <c r="A761" i="27"/>
  <c r="A760" i="27"/>
  <c r="A759" i="27"/>
  <c r="A758" i="27"/>
  <c r="A757" i="27"/>
  <c r="A756" i="27"/>
  <c r="A755" i="27"/>
  <c r="A754" i="27"/>
  <c r="A753" i="27"/>
  <c r="A752" i="27"/>
  <c r="A751" i="27"/>
  <c r="A750" i="27"/>
  <c r="A749" i="27"/>
  <c r="A748" i="27"/>
  <c r="A747" i="27"/>
  <c r="A746" i="27"/>
  <c r="A745" i="27"/>
  <c r="A744" i="27"/>
  <c r="A743" i="27"/>
  <c r="A742" i="27"/>
  <c r="A741" i="27"/>
  <c r="A740" i="27"/>
  <c r="A739" i="27"/>
  <c r="A738" i="27"/>
  <c r="A737" i="27"/>
  <c r="A736" i="27"/>
  <c r="A735" i="27"/>
  <c r="A734" i="27"/>
  <c r="A733" i="27"/>
  <c r="A732" i="27"/>
  <c r="A731" i="27"/>
  <c r="A730" i="27"/>
  <c r="A729" i="27"/>
  <c r="A728" i="27"/>
  <c r="A727" i="27"/>
  <c r="A726" i="27"/>
  <c r="A725" i="27"/>
  <c r="A724" i="27"/>
  <c r="A723" i="27"/>
  <c r="A722" i="27"/>
  <c r="A721" i="27"/>
  <c r="A720" i="27"/>
  <c r="A719" i="27"/>
  <c r="A718" i="27"/>
  <c r="A717" i="27"/>
  <c r="A716" i="27"/>
  <c r="A715" i="27"/>
  <c r="A714" i="27"/>
  <c r="A713" i="27"/>
  <c r="A712" i="27"/>
  <c r="A711" i="27"/>
  <c r="A710" i="27"/>
  <c r="A709" i="27"/>
  <c r="A708" i="27"/>
  <c r="A707" i="27"/>
  <c r="A706" i="27"/>
  <c r="A705" i="27"/>
  <c r="A704" i="27"/>
  <c r="A703" i="27"/>
  <c r="A702" i="27"/>
  <c r="A701" i="27"/>
  <c r="A700" i="27"/>
  <c r="A699" i="27"/>
  <c r="A698" i="27"/>
  <c r="A697" i="27"/>
  <c r="A696" i="27"/>
  <c r="A695" i="27"/>
  <c r="A694" i="27"/>
  <c r="A693" i="27"/>
  <c r="A692" i="27"/>
  <c r="A691" i="27"/>
  <c r="A690" i="27"/>
  <c r="A689" i="27"/>
  <c r="A688" i="27"/>
  <c r="A687" i="27"/>
  <c r="A686" i="27"/>
  <c r="A685" i="27"/>
  <c r="A684" i="27"/>
  <c r="A683" i="27"/>
  <c r="A682" i="27"/>
  <c r="A681" i="27"/>
  <c r="A680" i="27"/>
  <c r="A679" i="27"/>
  <c r="A678" i="27"/>
  <c r="A677" i="27"/>
  <c r="A676" i="27"/>
  <c r="A675" i="27"/>
  <c r="A674" i="27"/>
  <c r="A673" i="27"/>
  <c r="A672" i="27"/>
  <c r="A671" i="27"/>
  <c r="A670" i="27"/>
  <c r="A669" i="27"/>
  <c r="A668" i="27"/>
  <c r="A667" i="27"/>
  <c r="A666" i="27"/>
  <c r="A665" i="27"/>
  <c r="A664" i="27"/>
  <c r="A663" i="27"/>
  <c r="A662" i="27"/>
  <c r="A661" i="27"/>
  <c r="A660" i="27"/>
  <c r="A659" i="27"/>
  <c r="A658" i="27"/>
  <c r="A657" i="27"/>
  <c r="A656" i="27"/>
  <c r="A655" i="27"/>
  <c r="A654" i="27"/>
  <c r="A653" i="27"/>
  <c r="A652" i="27"/>
  <c r="A651" i="27"/>
  <c r="A650" i="27"/>
  <c r="A649" i="27"/>
  <c r="A648" i="27"/>
  <c r="A647" i="27"/>
  <c r="A646" i="27"/>
  <c r="A645" i="27"/>
  <c r="A644" i="27"/>
  <c r="A643" i="27"/>
  <c r="A642" i="27"/>
  <c r="A641" i="27"/>
  <c r="A640" i="27"/>
  <c r="A639" i="27"/>
  <c r="A638" i="27"/>
  <c r="A637" i="27"/>
  <c r="A636" i="27"/>
  <c r="A635" i="27"/>
  <c r="A634" i="27"/>
  <c r="A633" i="27"/>
  <c r="A632" i="27"/>
  <c r="A631" i="27"/>
  <c r="A630" i="27"/>
  <c r="A629" i="27"/>
  <c r="A628" i="27"/>
  <c r="A627" i="27"/>
  <c r="A626" i="27"/>
  <c r="A625" i="27"/>
  <c r="A624" i="27"/>
  <c r="A623" i="27"/>
  <c r="A622" i="27"/>
  <c r="A621" i="27"/>
  <c r="A620" i="27"/>
  <c r="A619" i="27"/>
  <c r="A618" i="27"/>
  <c r="A617" i="27"/>
  <c r="A616" i="27"/>
  <c r="A615" i="27"/>
  <c r="A614" i="27"/>
  <c r="A613" i="27"/>
  <c r="A612" i="27"/>
  <c r="A611" i="27"/>
  <c r="A610" i="27"/>
  <c r="A609" i="27"/>
  <c r="A608" i="27"/>
  <c r="A607" i="27"/>
  <c r="A606" i="27"/>
  <c r="A605" i="27"/>
  <c r="A604" i="27"/>
  <c r="A603" i="27"/>
  <c r="A602" i="27"/>
  <c r="A601" i="27"/>
  <c r="A600" i="27"/>
  <c r="A599" i="27"/>
  <c r="A598" i="27"/>
  <c r="A597" i="27"/>
  <c r="A596" i="27"/>
  <c r="A595" i="27"/>
  <c r="A594" i="27"/>
  <c r="A593" i="27"/>
  <c r="A592" i="27"/>
  <c r="A591" i="27"/>
  <c r="A590" i="27"/>
  <c r="A589" i="27"/>
  <c r="A588" i="27"/>
  <c r="A587" i="27"/>
  <c r="A586" i="27"/>
  <c r="A585" i="27"/>
  <c r="A584" i="27"/>
  <c r="A583" i="27"/>
  <c r="A582" i="27"/>
  <c r="A581" i="27"/>
  <c r="A580" i="27"/>
  <c r="A579" i="27"/>
  <c r="A578" i="27"/>
  <c r="A577" i="27"/>
  <c r="A576" i="27"/>
  <c r="A575" i="27"/>
  <c r="A574" i="27"/>
  <c r="A573" i="27"/>
  <c r="A572" i="27"/>
  <c r="A571" i="27"/>
  <c r="A570" i="27"/>
  <c r="A569" i="27"/>
  <c r="A568" i="27"/>
  <c r="A567" i="27"/>
  <c r="A566" i="27"/>
  <c r="A565" i="27"/>
  <c r="A564" i="27"/>
  <c r="A563" i="27"/>
  <c r="A562" i="27"/>
  <c r="A561" i="27"/>
  <c r="A560" i="27"/>
  <c r="A559" i="27"/>
  <c r="A558" i="27"/>
  <c r="A557" i="27"/>
  <c r="A556" i="27"/>
  <c r="A555" i="27"/>
  <c r="A554" i="27"/>
  <c r="A553" i="27"/>
  <c r="A552" i="27"/>
  <c r="A551" i="27"/>
  <c r="A550" i="27"/>
  <c r="A549" i="27"/>
  <c r="A548" i="27"/>
  <c r="A547" i="27"/>
  <c r="A546" i="27"/>
  <c r="A545" i="27"/>
  <c r="A544" i="27"/>
  <c r="A543" i="27"/>
  <c r="A542" i="27"/>
  <c r="A541" i="27"/>
  <c r="A540" i="27"/>
  <c r="A539" i="27"/>
  <c r="A538" i="27"/>
  <c r="A537" i="27"/>
  <c r="A536" i="27"/>
  <c r="A535" i="27"/>
  <c r="A534" i="27"/>
  <c r="A533" i="27"/>
  <c r="A532" i="27"/>
  <c r="A531" i="27"/>
  <c r="A530" i="27"/>
  <c r="A529" i="27"/>
  <c r="A528" i="27"/>
  <c r="A527" i="27"/>
  <c r="A526" i="27"/>
  <c r="A525" i="27"/>
  <c r="A524" i="27"/>
  <c r="A523" i="27"/>
  <c r="A522" i="27"/>
  <c r="A521" i="27"/>
  <c r="A520" i="27"/>
  <c r="A519" i="27"/>
  <c r="A518" i="27"/>
  <c r="A517" i="27"/>
  <c r="A516" i="27"/>
  <c r="A515" i="27"/>
  <c r="A514" i="27"/>
  <c r="A513" i="27"/>
  <c r="A512" i="27"/>
  <c r="A511" i="27"/>
  <c r="A510" i="27"/>
  <c r="A509" i="27"/>
  <c r="A508" i="27"/>
  <c r="A507" i="27"/>
  <c r="A506" i="27"/>
  <c r="A505" i="27"/>
  <c r="A504" i="27"/>
  <c r="A503" i="27"/>
  <c r="A502" i="27"/>
  <c r="A501" i="27"/>
  <c r="A500" i="27"/>
  <c r="A499" i="27"/>
  <c r="A498" i="27"/>
  <c r="A497" i="27"/>
  <c r="A496" i="27"/>
  <c r="A495" i="27"/>
  <c r="A494" i="27"/>
  <c r="A493" i="27"/>
  <c r="A492" i="27"/>
  <c r="A491" i="27"/>
  <c r="A490" i="27"/>
  <c r="A489" i="27"/>
  <c r="A488" i="27"/>
  <c r="A487" i="27"/>
  <c r="A486" i="27"/>
  <c r="A485" i="27"/>
  <c r="A484" i="27"/>
  <c r="A483" i="27"/>
  <c r="A482" i="27"/>
  <c r="A481" i="27"/>
  <c r="A480" i="27"/>
  <c r="A479" i="27"/>
  <c r="A478" i="27"/>
  <c r="A477" i="27"/>
  <c r="A476" i="27"/>
  <c r="A475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986" i="26"/>
  <c r="A985" i="26"/>
  <c r="A984" i="26"/>
  <c r="A983" i="26"/>
  <c r="A982" i="26"/>
  <c r="A981" i="26"/>
  <c r="A980" i="26"/>
  <c r="A979" i="26"/>
  <c r="A978" i="26"/>
  <c r="A977" i="26"/>
  <c r="A976" i="26"/>
  <c r="A975" i="26"/>
  <c r="A974" i="26"/>
  <c r="A973" i="26"/>
  <c r="A972" i="26"/>
  <c r="A971" i="26"/>
  <c r="A970" i="26"/>
  <c r="A969" i="26"/>
  <c r="A968" i="26"/>
  <c r="A967" i="26"/>
  <c r="A966" i="26"/>
  <c r="A965" i="26"/>
  <c r="A964" i="26"/>
  <c r="A963" i="26"/>
  <c r="A962" i="26"/>
  <c r="A961" i="26"/>
  <c r="A960" i="26"/>
  <c r="A959" i="26"/>
  <c r="A958" i="26"/>
  <c r="A957" i="26"/>
  <c r="A956" i="26"/>
  <c r="A955" i="26"/>
  <c r="A954" i="26"/>
  <c r="A953" i="26"/>
  <c r="A952" i="26"/>
  <c r="A951" i="26"/>
  <c r="A950" i="26"/>
  <c r="A949" i="26"/>
  <c r="A948" i="26"/>
  <c r="A947" i="26"/>
  <c r="A946" i="26"/>
  <c r="A945" i="26"/>
  <c r="A944" i="26"/>
  <c r="A943" i="26"/>
  <c r="A942" i="26"/>
  <c r="A941" i="26"/>
  <c r="A940" i="26"/>
  <c r="A939" i="26"/>
  <c r="A938" i="26"/>
  <c r="A937" i="26"/>
  <c r="A936" i="26"/>
  <c r="A935" i="26"/>
  <c r="A934" i="26"/>
  <c r="A933" i="26"/>
  <c r="A932" i="26"/>
  <c r="A931" i="26"/>
  <c r="A930" i="26"/>
  <c r="A929" i="26"/>
  <c r="A928" i="26"/>
  <c r="A927" i="26"/>
  <c r="A926" i="26"/>
  <c r="A925" i="26"/>
  <c r="A924" i="26"/>
  <c r="A923" i="26"/>
  <c r="A922" i="26"/>
  <c r="A921" i="26"/>
  <c r="A920" i="26"/>
  <c r="A919" i="26"/>
  <c r="A918" i="26"/>
  <c r="A917" i="26"/>
  <c r="A916" i="26"/>
  <c r="A915" i="26"/>
  <c r="A914" i="26"/>
  <c r="A913" i="26"/>
  <c r="A912" i="26"/>
  <c r="A911" i="26"/>
  <c r="A910" i="26"/>
  <c r="A909" i="26"/>
  <c r="A908" i="26"/>
  <c r="A907" i="26"/>
  <c r="A906" i="26"/>
  <c r="A905" i="26"/>
  <c r="A904" i="26"/>
  <c r="A903" i="26"/>
  <c r="A902" i="26"/>
  <c r="A901" i="26"/>
  <c r="A900" i="26"/>
  <c r="A899" i="26"/>
  <c r="A898" i="26"/>
  <c r="A897" i="26"/>
  <c r="A896" i="26"/>
  <c r="A895" i="26"/>
  <c r="A894" i="26"/>
  <c r="A893" i="26"/>
  <c r="A892" i="26"/>
  <c r="A891" i="26"/>
  <c r="A890" i="26"/>
  <c r="A889" i="26"/>
  <c r="A888" i="26"/>
  <c r="A887" i="26"/>
  <c r="A886" i="26"/>
  <c r="A885" i="26"/>
  <c r="A884" i="26"/>
  <c r="A883" i="26"/>
  <c r="A882" i="26"/>
  <c r="A881" i="26"/>
  <c r="A880" i="26"/>
  <c r="A879" i="26"/>
  <c r="A878" i="26"/>
  <c r="A877" i="26"/>
  <c r="A876" i="26"/>
  <c r="A875" i="26"/>
  <c r="A874" i="26"/>
  <c r="A873" i="26"/>
  <c r="A872" i="26"/>
  <c r="A871" i="26"/>
  <c r="A870" i="26"/>
  <c r="A869" i="26"/>
  <c r="A868" i="26"/>
  <c r="A867" i="26"/>
  <c r="A866" i="26"/>
  <c r="A865" i="26"/>
  <c r="A864" i="26"/>
  <c r="A863" i="26"/>
  <c r="A862" i="26"/>
  <c r="A861" i="26"/>
  <c r="A860" i="26"/>
  <c r="A859" i="26"/>
  <c r="A858" i="26"/>
  <c r="A857" i="26"/>
  <c r="A856" i="26"/>
  <c r="A855" i="26"/>
  <c r="A854" i="26"/>
  <c r="A853" i="26"/>
  <c r="A852" i="26"/>
  <c r="A851" i="26"/>
  <c r="A850" i="26"/>
  <c r="A849" i="26"/>
  <c r="A848" i="26"/>
  <c r="A847" i="26"/>
  <c r="A846" i="26"/>
  <c r="A845" i="26"/>
  <c r="A844" i="26"/>
  <c r="A843" i="26"/>
  <c r="A842" i="26"/>
  <c r="A841" i="26"/>
  <c r="A840" i="26"/>
  <c r="A839" i="26"/>
  <c r="A838" i="26"/>
  <c r="A837" i="26"/>
  <c r="A836" i="26"/>
  <c r="A835" i="26"/>
  <c r="A834" i="26"/>
  <c r="A833" i="26"/>
  <c r="A832" i="26"/>
  <c r="A831" i="26"/>
  <c r="A830" i="26"/>
  <c r="A829" i="26"/>
  <c r="A828" i="26"/>
  <c r="A827" i="26"/>
  <c r="A826" i="26"/>
  <c r="A825" i="26"/>
  <c r="A824" i="26"/>
  <c r="A823" i="26"/>
  <c r="A822" i="26"/>
  <c r="A821" i="26"/>
  <c r="A820" i="26"/>
  <c r="A819" i="26"/>
  <c r="A818" i="26"/>
  <c r="A817" i="26"/>
  <c r="A816" i="26"/>
  <c r="A815" i="26"/>
  <c r="A814" i="26"/>
  <c r="A813" i="26"/>
  <c r="A812" i="26"/>
  <c r="A811" i="26"/>
  <c r="A810" i="26"/>
  <c r="A809" i="26"/>
  <c r="A808" i="26"/>
  <c r="A807" i="26"/>
  <c r="A806" i="26"/>
  <c r="A805" i="26"/>
  <c r="A804" i="26"/>
  <c r="A803" i="26"/>
  <c r="A802" i="26"/>
  <c r="A801" i="26"/>
  <c r="A800" i="26"/>
  <c r="A799" i="26"/>
  <c r="A798" i="26"/>
  <c r="A797" i="26"/>
  <c r="A796" i="26"/>
  <c r="A795" i="26"/>
  <c r="A794" i="26"/>
  <c r="A793" i="26"/>
  <c r="A792" i="26"/>
  <c r="A791" i="26"/>
  <c r="A790" i="26"/>
  <c r="A789" i="26"/>
  <c r="A788" i="26"/>
  <c r="A787" i="26"/>
  <c r="A786" i="26"/>
  <c r="A785" i="26"/>
  <c r="A784" i="26"/>
  <c r="A783" i="26"/>
  <c r="A782" i="26"/>
  <c r="A781" i="26"/>
  <c r="A780" i="26"/>
  <c r="A779" i="26"/>
  <c r="A778" i="26"/>
  <c r="A777" i="26"/>
  <c r="A776" i="26"/>
  <c r="A775" i="26"/>
  <c r="A774" i="26"/>
  <c r="A773" i="26"/>
  <c r="A772" i="26"/>
  <c r="A771" i="26"/>
  <c r="A770" i="26"/>
  <c r="A769" i="26"/>
  <c r="A768" i="26"/>
  <c r="A767" i="26"/>
  <c r="A766" i="26"/>
  <c r="A765" i="26"/>
  <c r="A764" i="26"/>
  <c r="A763" i="26"/>
  <c r="A762" i="26"/>
  <c r="A761" i="26"/>
  <c r="A760" i="26"/>
  <c r="A759" i="26"/>
  <c r="A758" i="26"/>
  <c r="A757" i="26"/>
  <c r="A756" i="26"/>
  <c r="A755" i="26"/>
  <c r="A754" i="26"/>
  <c r="A753" i="26"/>
  <c r="A752" i="26"/>
  <c r="A751" i="26"/>
  <c r="A750" i="26"/>
  <c r="A749" i="26"/>
  <c r="A748" i="26"/>
  <c r="A747" i="26"/>
  <c r="A746" i="26"/>
  <c r="A745" i="26"/>
  <c r="A744" i="26"/>
  <c r="A743" i="26"/>
  <c r="A742" i="26"/>
  <c r="A741" i="26"/>
  <c r="A740" i="26"/>
  <c r="A739" i="26"/>
  <c r="A738" i="26"/>
  <c r="A737" i="26"/>
  <c r="A736" i="26"/>
  <c r="A735" i="26"/>
  <c r="A734" i="26"/>
  <c r="A733" i="26"/>
  <c r="A732" i="26"/>
  <c r="A731" i="26"/>
  <c r="A730" i="26"/>
  <c r="A729" i="26"/>
  <c r="A728" i="26"/>
  <c r="A727" i="26"/>
  <c r="A726" i="26"/>
  <c r="A725" i="26"/>
  <c r="A724" i="26"/>
  <c r="A723" i="26"/>
  <c r="A722" i="26"/>
  <c r="A721" i="26"/>
  <c r="A720" i="26"/>
  <c r="A719" i="26"/>
  <c r="A718" i="26"/>
  <c r="A717" i="26"/>
  <c r="A716" i="26"/>
  <c r="A715" i="26"/>
  <c r="A714" i="26"/>
  <c r="A713" i="26"/>
  <c r="A712" i="26"/>
  <c r="A711" i="26"/>
  <c r="A710" i="26"/>
  <c r="A709" i="26"/>
  <c r="A708" i="26"/>
  <c r="A707" i="26"/>
  <c r="A706" i="26"/>
  <c r="A705" i="26"/>
  <c r="A704" i="26"/>
  <c r="A703" i="26"/>
  <c r="A702" i="26"/>
  <c r="A701" i="26"/>
  <c r="A700" i="26"/>
  <c r="A699" i="26"/>
  <c r="A698" i="26"/>
  <c r="A697" i="26"/>
  <c r="A696" i="26"/>
  <c r="A695" i="26"/>
  <c r="A694" i="26"/>
  <c r="A693" i="26"/>
  <c r="A692" i="26"/>
  <c r="A691" i="26"/>
  <c r="A690" i="26"/>
  <c r="A689" i="26"/>
  <c r="A688" i="26"/>
  <c r="A687" i="26"/>
  <c r="A686" i="26"/>
  <c r="A685" i="26"/>
  <c r="A684" i="26"/>
  <c r="A683" i="26"/>
  <c r="A682" i="26"/>
  <c r="A681" i="26"/>
  <c r="A680" i="26"/>
  <c r="A679" i="26"/>
  <c r="A678" i="26"/>
  <c r="A677" i="26"/>
  <c r="A676" i="26"/>
  <c r="A675" i="26"/>
  <c r="A674" i="26"/>
  <c r="A673" i="26"/>
  <c r="A672" i="26"/>
  <c r="A671" i="26"/>
  <c r="A670" i="26"/>
  <c r="A669" i="26"/>
  <c r="A668" i="26"/>
  <c r="A667" i="26"/>
  <c r="A666" i="26"/>
  <c r="A665" i="26"/>
  <c r="A664" i="26"/>
  <c r="A663" i="26"/>
  <c r="A662" i="26"/>
  <c r="A661" i="26"/>
  <c r="A660" i="26"/>
  <c r="A659" i="26"/>
  <c r="A658" i="26"/>
  <c r="A657" i="26"/>
  <c r="A656" i="26"/>
  <c r="A655" i="26"/>
  <c r="A654" i="26"/>
  <c r="A653" i="26"/>
  <c r="A652" i="26"/>
  <c r="A651" i="26"/>
  <c r="A650" i="26"/>
  <c r="A649" i="26"/>
  <c r="A648" i="26"/>
  <c r="A647" i="26"/>
  <c r="A646" i="26"/>
  <c r="A645" i="26"/>
  <c r="A644" i="26"/>
  <c r="A643" i="26"/>
  <c r="A642" i="26"/>
  <c r="A641" i="26"/>
  <c r="A640" i="26"/>
  <c r="A639" i="26"/>
  <c r="A638" i="26"/>
  <c r="A637" i="26"/>
  <c r="A636" i="26"/>
  <c r="A635" i="26"/>
  <c r="A634" i="26"/>
  <c r="A633" i="26"/>
  <c r="A632" i="26"/>
  <c r="A631" i="26"/>
  <c r="A630" i="26"/>
  <c r="A629" i="26"/>
  <c r="A628" i="26"/>
  <c r="A627" i="26"/>
  <c r="A626" i="26"/>
  <c r="A625" i="26"/>
  <c r="A624" i="26"/>
  <c r="A623" i="26"/>
  <c r="A622" i="26"/>
  <c r="A621" i="26"/>
  <c r="A620" i="26"/>
  <c r="A619" i="26"/>
  <c r="A618" i="26"/>
  <c r="A617" i="26"/>
  <c r="A616" i="26"/>
  <c r="A615" i="26"/>
  <c r="A614" i="26"/>
  <c r="A613" i="26"/>
  <c r="A612" i="26"/>
  <c r="A611" i="26"/>
  <c r="A610" i="26"/>
  <c r="A609" i="26"/>
  <c r="A608" i="26"/>
  <c r="A607" i="26"/>
  <c r="A606" i="26"/>
  <c r="A605" i="26"/>
  <c r="A604" i="26"/>
  <c r="A603" i="26"/>
  <c r="A602" i="26"/>
  <c r="A601" i="26"/>
  <c r="A600" i="26"/>
  <c r="A599" i="26"/>
  <c r="A598" i="26"/>
  <c r="A597" i="26"/>
  <c r="A596" i="26"/>
  <c r="A595" i="26"/>
  <c r="A594" i="26"/>
  <c r="A593" i="26"/>
  <c r="A592" i="26"/>
  <c r="A591" i="26"/>
  <c r="A590" i="26"/>
  <c r="A589" i="26"/>
  <c r="A588" i="26"/>
  <c r="A587" i="26"/>
  <c r="A586" i="26"/>
  <c r="A585" i="26"/>
  <c r="A584" i="26"/>
  <c r="A583" i="26"/>
  <c r="A582" i="26"/>
  <c r="A581" i="26"/>
  <c r="A580" i="26"/>
  <c r="A579" i="26"/>
  <c r="A578" i="26"/>
  <c r="A577" i="26"/>
  <c r="A576" i="26"/>
  <c r="A575" i="26"/>
  <c r="A574" i="26"/>
  <c r="A573" i="26"/>
  <c r="A572" i="26"/>
  <c r="A571" i="26"/>
  <c r="A570" i="26"/>
  <c r="A569" i="26"/>
  <c r="A568" i="26"/>
  <c r="A567" i="26"/>
  <c r="A566" i="26"/>
  <c r="A565" i="26"/>
  <c r="A564" i="26"/>
  <c r="A563" i="26"/>
  <c r="A562" i="26"/>
  <c r="A561" i="26"/>
  <c r="A560" i="26"/>
  <c r="A559" i="26"/>
  <c r="A558" i="26"/>
  <c r="A557" i="26"/>
  <c r="A556" i="26"/>
  <c r="A555" i="26"/>
  <c r="A554" i="26"/>
  <c r="A553" i="26"/>
  <c r="A552" i="26"/>
  <c r="A551" i="26"/>
  <c r="A550" i="26"/>
  <c r="A549" i="26"/>
  <c r="A548" i="26"/>
  <c r="A547" i="26"/>
  <c r="A546" i="26"/>
  <c r="A545" i="26"/>
  <c r="A544" i="26"/>
  <c r="A543" i="26"/>
  <c r="A542" i="26"/>
  <c r="A541" i="26"/>
  <c r="A540" i="26"/>
  <c r="A539" i="26"/>
  <c r="A538" i="26"/>
  <c r="A537" i="26"/>
  <c r="A536" i="26"/>
  <c r="A535" i="26"/>
  <c r="A534" i="26"/>
  <c r="A533" i="26"/>
  <c r="A532" i="26"/>
  <c r="A531" i="26"/>
  <c r="A530" i="26"/>
  <c r="A529" i="26"/>
  <c r="A528" i="26"/>
  <c r="A527" i="26"/>
  <c r="A526" i="26"/>
  <c r="A525" i="26"/>
  <c r="A524" i="26"/>
  <c r="A523" i="26"/>
  <c r="A522" i="26"/>
  <c r="A521" i="26"/>
  <c r="A520" i="26"/>
  <c r="A519" i="26"/>
  <c r="A518" i="26"/>
  <c r="A517" i="26"/>
  <c r="A516" i="26"/>
  <c r="A515" i="26"/>
  <c r="A514" i="26"/>
  <c r="A513" i="26"/>
  <c r="A512" i="26"/>
  <c r="A511" i="26"/>
  <c r="A510" i="26"/>
  <c r="A509" i="26"/>
  <c r="A508" i="26"/>
  <c r="A507" i="26"/>
  <c r="A506" i="26"/>
  <c r="A505" i="26"/>
  <c r="A504" i="26"/>
  <c r="A503" i="26"/>
  <c r="A502" i="26"/>
  <c r="A501" i="26"/>
  <c r="A500" i="26"/>
  <c r="A499" i="26"/>
  <c r="A498" i="26"/>
  <c r="A497" i="26"/>
  <c r="A496" i="26"/>
  <c r="A495" i="26"/>
  <c r="A494" i="26"/>
  <c r="A493" i="26"/>
  <c r="A492" i="26"/>
  <c r="A491" i="26"/>
  <c r="A490" i="26"/>
  <c r="A489" i="26"/>
  <c r="A488" i="26"/>
  <c r="A487" i="26"/>
  <c r="A486" i="26"/>
  <c r="A485" i="26"/>
  <c r="A484" i="26"/>
  <c r="A483" i="26"/>
  <c r="A482" i="26"/>
  <c r="A481" i="26"/>
  <c r="A480" i="26"/>
  <c r="A479" i="26"/>
  <c r="A478" i="26"/>
  <c r="A477" i="26"/>
  <c r="A476" i="26"/>
  <c r="A475" i="26"/>
  <c r="A474" i="26"/>
  <c r="A473" i="26"/>
  <c r="A472" i="26"/>
  <c r="A471" i="26"/>
  <c r="A470" i="26"/>
  <c r="A469" i="26"/>
  <c r="A468" i="26"/>
  <c r="A467" i="26"/>
  <c r="A466" i="26"/>
  <c r="A465" i="26"/>
  <c r="A464" i="26"/>
  <c r="A463" i="26"/>
  <c r="A462" i="26"/>
  <c r="A461" i="26"/>
  <c r="A460" i="26"/>
  <c r="A459" i="26"/>
  <c r="A458" i="26"/>
  <c r="A457" i="26"/>
  <c r="A456" i="26"/>
  <c r="A455" i="26"/>
  <c r="A454" i="26"/>
  <c r="A453" i="26"/>
  <c r="A452" i="26"/>
  <c r="A451" i="26"/>
  <c r="A450" i="26"/>
  <c r="A449" i="26"/>
  <c r="A448" i="26"/>
  <c r="A447" i="26"/>
  <c r="A446" i="26"/>
  <c r="A445" i="26"/>
  <c r="A444" i="26"/>
  <c r="A443" i="26"/>
  <c r="A442" i="26"/>
  <c r="A441" i="26"/>
  <c r="A440" i="26"/>
  <c r="A439" i="26"/>
  <c r="A438" i="26"/>
  <c r="A437" i="26"/>
  <c r="A436" i="26"/>
  <c r="A435" i="26"/>
  <c r="A434" i="26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416" i="26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986" i="25"/>
  <c r="A985" i="25"/>
  <c r="A984" i="25"/>
  <c r="A983" i="25"/>
  <c r="A982" i="25"/>
  <c r="A981" i="25"/>
  <c r="A980" i="25"/>
  <c r="A979" i="25"/>
  <c r="A978" i="25"/>
  <c r="A977" i="25"/>
  <c r="A976" i="25"/>
  <c r="A975" i="25"/>
  <c r="A974" i="25"/>
  <c r="A973" i="25"/>
  <c r="A972" i="25"/>
  <c r="A971" i="25"/>
  <c r="A970" i="25"/>
  <c r="A969" i="25"/>
  <c r="A968" i="25"/>
  <c r="A967" i="25"/>
  <c r="A966" i="25"/>
  <c r="A965" i="25"/>
  <c r="A964" i="25"/>
  <c r="A963" i="25"/>
  <c r="A962" i="25"/>
  <c r="A961" i="25"/>
  <c r="A960" i="25"/>
  <c r="A959" i="25"/>
  <c r="A958" i="25"/>
  <c r="A957" i="25"/>
  <c r="A956" i="25"/>
  <c r="A955" i="25"/>
  <c r="A954" i="25"/>
  <c r="A953" i="25"/>
  <c r="A952" i="25"/>
  <c r="A951" i="25"/>
  <c r="A950" i="25"/>
  <c r="A949" i="25"/>
  <c r="A948" i="25"/>
  <c r="A947" i="25"/>
  <c r="A946" i="25"/>
  <c r="A945" i="25"/>
  <c r="A944" i="25"/>
  <c r="A943" i="25"/>
  <c r="A942" i="25"/>
  <c r="A941" i="25"/>
  <c r="A940" i="25"/>
  <c r="A939" i="25"/>
  <c r="A938" i="25"/>
  <c r="A937" i="25"/>
  <c r="A936" i="25"/>
  <c r="A935" i="25"/>
  <c r="A934" i="25"/>
  <c r="A933" i="25"/>
  <c r="A932" i="25"/>
  <c r="A931" i="25"/>
  <c r="A930" i="25"/>
  <c r="A929" i="25"/>
  <c r="A928" i="25"/>
  <c r="A927" i="25"/>
  <c r="A926" i="25"/>
  <c r="A925" i="25"/>
  <c r="A924" i="25"/>
  <c r="A923" i="25"/>
  <c r="A922" i="25"/>
  <c r="A921" i="25"/>
  <c r="A920" i="25"/>
  <c r="A919" i="25"/>
  <c r="A918" i="25"/>
  <c r="A917" i="25"/>
  <c r="A916" i="25"/>
  <c r="A915" i="25"/>
  <c r="A914" i="25"/>
  <c r="A913" i="25"/>
  <c r="A912" i="25"/>
  <c r="A911" i="25"/>
  <c r="A910" i="25"/>
  <c r="A909" i="25"/>
  <c r="A908" i="25"/>
  <c r="A907" i="25"/>
  <c r="A906" i="25"/>
  <c r="A905" i="25"/>
  <c r="A904" i="25"/>
  <c r="A903" i="25"/>
  <c r="A902" i="25"/>
  <c r="A901" i="25"/>
  <c r="A900" i="25"/>
  <c r="A899" i="25"/>
  <c r="A898" i="25"/>
  <c r="A897" i="25"/>
  <c r="A896" i="25"/>
  <c r="A895" i="25"/>
  <c r="A894" i="25"/>
  <c r="A893" i="25"/>
  <c r="A892" i="25"/>
  <c r="A891" i="25"/>
  <c r="A890" i="25"/>
  <c r="A889" i="25"/>
  <c r="A888" i="25"/>
  <c r="A887" i="25"/>
  <c r="A886" i="25"/>
  <c r="A885" i="25"/>
  <c r="A884" i="25"/>
  <c r="A883" i="25"/>
  <c r="A882" i="25"/>
  <c r="A881" i="25"/>
  <c r="A880" i="25"/>
  <c r="A879" i="25"/>
  <c r="A878" i="25"/>
  <c r="A877" i="25"/>
  <c r="A876" i="25"/>
  <c r="A875" i="25"/>
  <c r="A874" i="25"/>
  <c r="A873" i="25"/>
  <c r="A872" i="25"/>
  <c r="A871" i="25"/>
  <c r="A870" i="25"/>
  <c r="A869" i="25"/>
  <c r="A868" i="25"/>
  <c r="A867" i="25"/>
  <c r="A866" i="25"/>
  <c r="A865" i="25"/>
  <c r="A864" i="25"/>
  <c r="A863" i="25"/>
  <c r="A862" i="25"/>
  <c r="A861" i="25"/>
  <c r="A860" i="25"/>
  <c r="A859" i="25"/>
  <c r="A858" i="25"/>
  <c r="A857" i="25"/>
  <c r="A856" i="25"/>
  <c r="A855" i="25"/>
  <c r="A854" i="25"/>
  <c r="A853" i="25"/>
  <c r="A852" i="25"/>
  <c r="A851" i="25"/>
  <c r="A850" i="25"/>
  <c r="A849" i="25"/>
  <c r="A848" i="25"/>
  <c r="A847" i="25"/>
  <c r="A846" i="25"/>
  <c r="A845" i="25"/>
  <c r="A844" i="25"/>
  <c r="A843" i="25"/>
  <c r="A842" i="25"/>
  <c r="A841" i="25"/>
  <c r="A840" i="25"/>
  <c r="A839" i="25"/>
  <c r="A838" i="25"/>
  <c r="A837" i="25"/>
  <c r="A836" i="25"/>
  <c r="A835" i="25"/>
  <c r="A834" i="25"/>
  <c r="A833" i="25"/>
  <c r="A832" i="25"/>
  <c r="A831" i="25"/>
  <c r="A830" i="25"/>
  <c r="A829" i="25"/>
  <c r="A828" i="25"/>
  <c r="A827" i="25"/>
  <c r="A826" i="25"/>
  <c r="A825" i="25"/>
  <c r="A824" i="25"/>
  <c r="A823" i="25"/>
  <c r="A822" i="25"/>
  <c r="A821" i="25"/>
  <c r="A820" i="25"/>
  <c r="A819" i="25"/>
  <c r="A818" i="25"/>
  <c r="A817" i="25"/>
  <c r="A816" i="25"/>
  <c r="A815" i="25"/>
  <c r="A814" i="25"/>
  <c r="A813" i="25"/>
  <c r="A812" i="25"/>
  <c r="A811" i="25"/>
  <c r="A810" i="25"/>
  <c r="A809" i="25"/>
  <c r="A808" i="25"/>
  <c r="A807" i="25"/>
  <c r="A806" i="25"/>
  <c r="A805" i="25"/>
  <c r="A804" i="25"/>
  <c r="A803" i="25"/>
  <c r="A802" i="25"/>
  <c r="A801" i="25"/>
  <c r="A800" i="25"/>
  <c r="A799" i="25"/>
  <c r="A798" i="25"/>
  <c r="A797" i="25"/>
  <c r="A796" i="25"/>
  <c r="A795" i="25"/>
  <c r="A794" i="25"/>
  <c r="A793" i="25"/>
  <c r="A792" i="25"/>
  <c r="A791" i="25"/>
  <c r="A790" i="25"/>
  <c r="A789" i="25"/>
  <c r="A788" i="25"/>
  <c r="A787" i="25"/>
  <c r="A786" i="25"/>
  <c r="A785" i="25"/>
  <c r="A784" i="25"/>
  <c r="A783" i="25"/>
  <c r="A782" i="25"/>
  <c r="A781" i="25"/>
  <c r="A780" i="25"/>
  <c r="A779" i="25"/>
  <c r="A778" i="25"/>
  <c r="A777" i="25"/>
  <c r="A776" i="25"/>
  <c r="A775" i="25"/>
  <c r="A774" i="25"/>
  <c r="A773" i="25"/>
  <c r="A772" i="25"/>
  <c r="A771" i="25"/>
  <c r="A770" i="25"/>
  <c r="A769" i="25"/>
  <c r="A768" i="25"/>
  <c r="A767" i="25"/>
  <c r="A766" i="25"/>
  <c r="A765" i="25"/>
  <c r="A764" i="25"/>
  <c r="A763" i="25"/>
  <c r="A762" i="25"/>
  <c r="A761" i="25"/>
  <c r="A760" i="25"/>
  <c r="A759" i="25"/>
  <c r="A758" i="25"/>
  <c r="A757" i="25"/>
  <c r="A756" i="25"/>
  <c r="A755" i="25"/>
  <c r="A754" i="25"/>
  <c r="A753" i="25"/>
  <c r="A752" i="25"/>
  <c r="A751" i="25"/>
  <c r="A750" i="25"/>
  <c r="A749" i="25"/>
  <c r="A748" i="25"/>
  <c r="A747" i="25"/>
  <c r="A746" i="25"/>
  <c r="A745" i="25"/>
  <c r="A744" i="25"/>
  <c r="A743" i="25"/>
  <c r="A742" i="25"/>
  <c r="A741" i="25"/>
  <c r="A740" i="25"/>
  <c r="A739" i="25"/>
  <c r="A738" i="25"/>
  <c r="A737" i="25"/>
  <c r="A736" i="25"/>
  <c r="A735" i="25"/>
  <c r="A734" i="25"/>
  <c r="A733" i="25"/>
  <c r="A732" i="25"/>
  <c r="A731" i="25"/>
  <c r="A730" i="25"/>
  <c r="A729" i="25"/>
  <c r="A728" i="25"/>
  <c r="A727" i="25"/>
  <c r="A726" i="25"/>
  <c r="A725" i="25"/>
  <c r="A724" i="25"/>
  <c r="A723" i="25"/>
  <c r="A722" i="25"/>
  <c r="A721" i="25"/>
  <c r="A720" i="25"/>
  <c r="A719" i="25"/>
  <c r="A718" i="25"/>
  <c r="A717" i="25"/>
  <c r="A716" i="25"/>
  <c r="A715" i="25"/>
  <c r="A714" i="25"/>
  <c r="A713" i="25"/>
  <c r="A712" i="25"/>
  <c r="A711" i="25"/>
  <c r="A710" i="25"/>
  <c r="A709" i="25"/>
  <c r="A708" i="25"/>
  <c r="A707" i="25"/>
  <c r="A706" i="25"/>
  <c r="A705" i="25"/>
  <c r="A704" i="25"/>
  <c r="A703" i="25"/>
  <c r="A702" i="25"/>
  <c r="A701" i="25"/>
  <c r="A700" i="25"/>
  <c r="A699" i="25"/>
  <c r="A698" i="25"/>
  <c r="A697" i="25"/>
  <c r="A696" i="25"/>
  <c r="A695" i="25"/>
  <c r="A694" i="25"/>
  <c r="A693" i="25"/>
  <c r="A692" i="25"/>
  <c r="A691" i="25"/>
  <c r="A690" i="25"/>
  <c r="A689" i="25"/>
  <c r="A688" i="25"/>
  <c r="A687" i="25"/>
  <c r="A686" i="25"/>
  <c r="A685" i="25"/>
  <c r="A684" i="25"/>
  <c r="A683" i="25"/>
  <c r="A682" i="25"/>
  <c r="A681" i="25"/>
  <c r="A680" i="25"/>
  <c r="A679" i="25"/>
  <c r="A678" i="25"/>
  <c r="A677" i="25"/>
  <c r="A676" i="25"/>
  <c r="A675" i="25"/>
  <c r="A674" i="25"/>
  <c r="A673" i="25"/>
  <c r="A672" i="25"/>
  <c r="A671" i="25"/>
  <c r="A670" i="25"/>
  <c r="A669" i="25"/>
  <c r="A668" i="25"/>
  <c r="A667" i="25"/>
  <c r="A666" i="25"/>
  <c r="A665" i="25"/>
  <c r="A664" i="25"/>
  <c r="A663" i="25"/>
  <c r="A662" i="25"/>
  <c r="A661" i="25"/>
  <c r="A660" i="25"/>
  <c r="A659" i="25"/>
  <c r="A658" i="25"/>
  <c r="A657" i="25"/>
  <c r="A656" i="25"/>
  <c r="A655" i="25"/>
  <c r="A654" i="25"/>
  <c r="A653" i="25"/>
  <c r="A652" i="25"/>
  <c r="A651" i="25"/>
  <c r="A650" i="25"/>
  <c r="A649" i="25"/>
  <c r="A648" i="25"/>
  <c r="A647" i="25"/>
  <c r="A646" i="25"/>
  <c r="A645" i="25"/>
  <c r="A644" i="25"/>
  <c r="A643" i="25"/>
  <c r="A642" i="25"/>
  <c r="A641" i="25"/>
  <c r="A640" i="25"/>
  <c r="A639" i="25"/>
  <c r="A638" i="25"/>
  <c r="A637" i="25"/>
  <c r="A636" i="25"/>
  <c r="A635" i="25"/>
  <c r="A634" i="25"/>
  <c r="A633" i="25"/>
  <c r="A632" i="25"/>
  <c r="A631" i="25"/>
  <c r="A630" i="25"/>
  <c r="A629" i="25"/>
  <c r="A628" i="25"/>
  <c r="A627" i="25"/>
  <c r="A626" i="25"/>
  <c r="A625" i="25"/>
  <c r="A624" i="25"/>
  <c r="A623" i="25"/>
  <c r="A622" i="25"/>
  <c r="A621" i="25"/>
  <c r="A620" i="25"/>
  <c r="A619" i="25"/>
  <c r="A618" i="25"/>
  <c r="A617" i="25"/>
  <c r="A616" i="25"/>
  <c r="A615" i="25"/>
  <c r="A614" i="25"/>
  <c r="A613" i="25"/>
  <c r="A612" i="25"/>
  <c r="A611" i="25"/>
  <c r="A610" i="25"/>
  <c r="A609" i="25"/>
  <c r="A608" i="25"/>
  <c r="A607" i="25"/>
  <c r="A606" i="25"/>
  <c r="A605" i="25"/>
  <c r="A604" i="25"/>
  <c r="A603" i="25"/>
  <c r="A602" i="25"/>
  <c r="A601" i="25"/>
  <c r="A600" i="25"/>
  <c r="A599" i="25"/>
  <c r="A598" i="25"/>
  <c r="A597" i="25"/>
  <c r="A596" i="25"/>
  <c r="A595" i="25"/>
  <c r="A594" i="25"/>
  <c r="A593" i="25"/>
  <c r="A592" i="25"/>
  <c r="A591" i="25"/>
  <c r="A590" i="25"/>
  <c r="A589" i="25"/>
  <c r="A588" i="25"/>
  <c r="A587" i="25"/>
  <c r="A586" i="25"/>
  <c r="A585" i="25"/>
  <c r="A584" i="25"/>
  <c r="A583" i="25"/>
  <c r="A582" i="25"/>
  <c r="A581" i="25"/>
  <c r="A580" i="25"/>
  <c r="A579" i="25"/>
  <c r="A578" i="25"/>
  <c r="A577" i="25"/>
  <c r="A576" i="25"/>
  <c r="A575" i="25"/>
  <c r="A574" i="25"/>
  <c r="A573" i="25"/>
  <c r="A572" i="25"/>
  <c r="A571" i="25"/>
  <c r="A570" i="25"/>
  <c r="A569" i="25"/>
  <c r="A568" i="25"/>
  <c r="A567" i="25"/>
  <c r="A566" i="25"/>
  <c r="A565" i="25"/>
  <c r="A564" i="25"/>
  <c r="A563" i="25"/>
  <c r="A562" i="25"/>
  <c r="A561" i="25"/>
  <c r="A560" i="25"/>
  <c r="A559" i="25"/>
  <c r="A558" i="25"/>
  <c r="A557" i="25"/>
  <c r="A556" i="25"/>
  <c r="A555" i="25"/>
  <c r="A554" i="25"/>
  <c r="A553" i="25"/>
  <c r="A552" i="25"/>
  <c r="A551" i="25"/>
  <c r="A550" i="25"/>
  <c r="A549" i="25"/>
  <c r="A548" i="25"/>
  <c r="A547" i="25"/>
  <c r="A546" i="25"/>
  <c r="A545" i="25"/>
  <c r="A544" i="25"/>
  <c r="A543" i="25"/>
  <c r="A542" i="25"/>
  <c r="A541" i="25"/>
  <c r="A540" i="25"/>
  <c r="A539" i="25"/>
  <c r="A538" i="25"/>
  <c r="A537" i="25"/>
  <c r="A536" i="25"/>
  <c r="A535" i="25"/>
  <c r="A534" i="25"/>
  <c r="A533" i="25"/>
  <c r="A532" i="25"/>
  <c r="A531" i="25"/>
  <c r="A530" i="25"/>
  <c r="A529" i="25"/>
  <c r="A528" i="25"/>
  <c r="A527" i="25"/>
  <c r="A526" i="25"/>
  <c r="A525" i="25"/>
  <c r="A524" i="25"/>
  <c r="A523" i="25"/>
  <c r="A522" i="25"/>
  <c r="A521" i="25"/>
  <c r="A520" i="25"/>
  <c r="A519" i="25"/>
  <c r="A518" i="25"/>
  <c r="A517" i="25"/>
  <c r="A516" i="25"/>
  <c r="A515" i="25"/>
  <c r="A514" i="25"/>
  <c r="A513" i="25"/>
  <c r="A512" i="25"/>
  <c r="A511" i="25"/>
  <c r="A510" i="25"/>
  <c r="A509" i="25"/>
  <c r="A508" i="25"/>
  <c r="A507" i="25"/>
  <c r="A506" i="25"/>
  <c r="A505" i="25"/>
  <c r="A504" i="25"/>
  <c r="A503" i="25"/>
  <c r="A502" i="25"/>
  <c r="A501" i="25"/>
  <c r="A500" i="25"/>
  <c r="A499" i="25"/>
  <c r="A498" i="25"/>
  <c r="A497" i="25"/>
  <c r="A496" i="25"/>
  <c r="A495" i="25"/>
  <c r="A494" i="25"/>
  <c r="A493" i="25"/>
  <c r="A492" i="25"/>
  <c r="A491" i="25"/>
  <c r="A490" i="25"/>
  <c r="A489" i="25"/>
  <c r="A488" i="25"/>
  <c r="A487" i="25"/>
  <c r="A486" i="25"/>
  <c r="A485" i="25"/>
  <c r="A484" i="25"/>
  <c r="A483" i="25"/>
  <c r="A482" i="25"/>
  <c r="A481" i="25"/>
  <c r="A480" i="25"/>
  <c r="A479" i="25"/>
  <c r="A478" i="25"/>
  <c r="A477" i="25"/>
  <c r="A476" i="25"/>
  <c r="A475" i="25"/>
  <c r="A474" i="25"/>
  <c r="A473" i="25"/>
  <c r="A472" i="25"/>
  <c r="A471" i="25"/>
  <c r="A470" i="25"/>
  <c r="A469" i="25"/>
  <c r="A468" i="25"/>
  <c r="A467" i="25"/>
  <c r="A466" i="25"/>
  <c r="A465" i="25"/>
  <c r="A464" i="25"/>
  <c r="A463" i="25"/>
  <c r="A462" i="25"/>
  <c r="A461" i="25"/>
  <c r="A460" i="25"/>
  <c r="A459" i="25"/>
  <c r="A458" i="25"/>
  <c r="A457" i="25"/>
  <c r="A456" i="25"/>
  <c r="A455" i="25"/>
  <c r="A454" i="25"/>
  <c r="A453" i="25"/>
  <c r="A452" i="25"/>
  <c r="A451" i="25"/>
  <c r="A450" i="25"/>
  <c r="A449" i="25"/>
  <c r="A448" i="25"/>
  <c r="A447" i="25"/>
  <c r="A446" i="25"/>
  <c r="A445" i="25"/>
  <c r="A444" i="25"/>
  <c r="A443" i="25"/>
  <c r="A442" i="25"/>
  <c r="A441" i="25"/>
  <c r="A440" i="25"/>
  <c r="A439" i="25"/>
  <c r="A438" i="25"/>
  <c r="A437" i="25"/>
  <c r="A436" i="25"/>
  <c r="A435" i="25"/>
  <c r="A434" i="25"/>
  <c r="A433" i="25"/>
  <c r="A432" i="25"/>
  <c r="A431" i="25"/>
  <c r="A430" i="25"/>
  <c r="A429" i="25"/>
  <c r="A428" i="25"/>
  <c r="A427" i="25"/>
  <c r="A426" i="25"/>
  <c r="A425" i="25"/>
  <c r="A424" i="25"/>
  <c r="A423" i="25"/>
  <c r="A422" i="25"/>
  <c r="A421" i="25"/>
  <c r="A420" i="25"/>
  <c r="A419" i="25"/>
  <c r="A418" i="25"/>
  <c r="A417" i="25"/>
  <c r="A416" i="25"/>
  <c r="A415" i="25"/>
  <c r="A414" i="25"/>
  <c r="A413" i="25"/>
  <c r="A412" i="25"/>
  <c r="A411" i="25"/>
  <c r="A410" i="25"/>
  <c r="A409" i="25"/>
  <c r="A408" i="25"/>
  <c r="A407" i="25"/>
  <c r="A406" i="25"/>
  <c r="A405" i="25"/>
  <c r="A404" i="25"/>
  <c r="A403" i="25"/>
  <c r="A402" i="25"/>
  <c r="A401" i="25"/>
  <c r="A400" i="25"/>
  <c r="A399" i="25"/>
  <c r="A398" i="25"/>
  <c r="A397" i="25"/>
  <c r="A396" i="25"/>
  <c r="A395" i="25"/>
  <c r="A394" i="25"/>
  <c r="A393" i="25"/>
  <c r="A392" i="25"/>
  <c r="A391" i="25"/>
  <c r="A390" i="25"/>
  <c r="A389" i="25"/>
  <c r="A388" i="25"/>
  <c r="A387" i="25"/>
  <c r="A386" i="25"/>
  <c r="A385" i="25"/>
  <c r="A384" i="25"/>
  <c r="A383" i="25"/>
  <c r="A382" i="25"/>
  <c r="A381" i="25"/>
  <c r="A380" i="25"/>
  <c r="A379" i="25"/>
  <c r="A378" i="25"/>
  <c r="A377" i="25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986" i="24"/>
  <c r="A985" i="24"/>
  <c r="A984" i="24"/>
  <c r="A983" i="24"/>
  <c r="A982" i="24"/>
  <c r="A981" i="24"/>
  <c r="A980" i="24"/>
  <c r="A979" i="24"/>
  <c r="A978" i="24"/>
  <c r="A977" i="24"/>
  <c r="A976" i="24"/>
  <c r="A975" i="24"/>
  <c r="A974" i="24"/>
  <c r="A973" i="24"/>
  <c r="A972" i="24"/>
  <c r="A971" i="24"/>
  <c r="A970" i="24"/>
  <c r="A969" i="24"/>
  <c r="A968" i="24"/>
  <c r="A967" i="24"/>
  <c r="A966" i="24"/>
  <c r="A965" i="24"/>
  <c r="A964" i="24"/>
  <c r="A963" i="24"/>
  <c r="A962" i="24"/>
  <c r="A961" i="24"/>
  <c r="A960" i="24"/>
  <c r="A959" i="24"/>
  <c r="A958" i="24"/>
  <c r="A957" i="24"/>
  <c r="A956" i="24"/>
  <c r="A955" i="24"/>
  <c r="A954" i="24"/>
  <c r="A953" i="24"/>
  <c r="A952" i="24"/>
  <c r="A951" i="24"/>
  <c r="A950" i="24"/>
  <c r="A949" i="24"/>
  <c r="A948" i="24"/>
  <c r="A947" i="24"/>
  <c r="A946" i="24"/>
  <c r="A945" i="24"/>
  <c r="A944" i="24"/>
  <c r="A943" i="24"/>
  <c r="A942" i="24"/>
  <c r="A941" i="24"/>
  <c r="A940" i="24"/>
  <c r="A939" i="24"/>
  <c r="A938" i="24"/>
  <c r="A937" i="24"/>
  <c r="A936" i="24"/>
  <c r="A935" i="24"/>
  <c r="A934" i="24"/>
  <c r="A933" i="24"/>
  <c r="A932" i="24"/>
  <c r="A931" i="24"/>
  <c r="A930" i="24"/>
  <c r="A929" i="24"/>
  <c r="A928" i="24"/>
  <c r="A927" i="24"/>
  <c r="A926" i="24"/>
  <c r="A925" i="24"/>
  <c r="A924" i="24"/>
  <c r="A923" i="24"/>
  <c r="A922" i="24"/>
  <c r="A921" i="24"/>
  <c r="A920" i="24"/>
  <c r="A919" i="24"/>
  <c r="A918" i="24"/>
  <c r="A917" i="24"/>
  <c r="A916" i="24"/>
  <c r="A915" i="24"/>
  <c r="A914" i="24"/>
  <c r="A913" i="24"/>
  <c r="A912" i="24"/>
  <c r="A911" i="24"/>
  <c r="A910" i="24"/>
  <c r="A909" i="24"/>
  <c r="A908" i="24"/>
  <c r="A907" i="24"/>
  <c r="A906" i="24"/>
  <c r="A905" i="24"/>
  <c r="A904" i="24"/>
  <c r="A903" i="24"/>
  <c r="A902" i="24"/>
  <c r="A901" i="24"/>
  <c r="A900" i="24"/>
  <c r="A899" i="24"/>
  <c r="A898" i="24"/>
  <c r="A897" i="24"/>
  <c r="A896" i="24"/>
  <c r="A895" i="24"/>
  <c r="A894" i="24"/>
  <c r="A893" i="24"/>
  <c r="A892" i="24"/>
  <c r="A891" i="24"/>
  <c r="A890" i="24"/>
  <c r="A889" i="24"/>
  <c r="A888" i="24"/>
  <c r="A887" i="24"/>
  <c r="A886" i="24"/>
  <c r="A885" i="24"/>
  <c r="A884" i="24"/>
  <c r="A883" i="24"/>
  <c r="A882" i="24"/>
  <c r="A881" i="24"/>
  <c r="A880" i="24"/>
  <c r="A879" i="24"/>
  <c r="A878" i="24"/>
  <c r="A877" i="24"/>
  <c r="A876" i="24"/>
  <c r="A875" i="24"/>
  <c r="A874" i="24"/>
  <c r="A873" i="24"/>
  <c r="A872" i="24"/>
  <c r="A871" i="24"/>
  <c r="A870" i="24"/>
  <c r="A869" i="24"/>
  <c r="A868" i="24"/>
  <c r="A867" i="24"/>
  <c r="A866" i="24"/>
  <c r="A865" i="24"/>
  <c r="A864" i="24"/>
  <c r="A863" i="24"/>
  <c r="A862" i="24"/>
  <c r="A861" i="24"/>
  <c r="A860" i="24"/>
  <c r="A859" i="24"/>
  <c r="A858" i="24"/>
  <c r="A857" i="24"/>
  <c r="A856" i="24"/>
  <c r="A855" i="24"/>
  <c r="A854" i="24"/>
  <c r="A853" i="24"/>
  <c r="A852" i="24"/>
  <c r="A851" i="24"/>
  <c r="A850" i="24"/>
  <c r="A849" i="24"/>
  <c r="A848" i="24"/>
  <c r="A847" i="24"/>
  <c r="A846" i="24"/>
  <c r="A845" i="24"/>
  <c r="A844" i="24"/>
  <c r="A843" i="24"/>
  <c r="A842" i="24"/>
  <c r="A841" i="24"/>
  <c r="A840" i="24"/>
  <c r="A839" i="24"/>
  <c r="A838" i="24"/>
  <c r="A837" i="24"/>
  <c r="A836" i="24"/>
  <c r="A835" i="24"/>
  <c r="A834" i="24"/>
  <c r="A833" i="24"/>
  <c r="A832" i="24"/>
  <c r="A831" i="24"/>
  <c r="A830" i="24"/>
  <c r="A829" i="24"/>
  <c r="A828" i="24"/>
  <c r="A827" i="24"/>
  <c r="A826" i="24"/>
  <c r="A825" i="24"/>
  <c r="A824" i="24"/>
  <c r="A823" i="24"/>
  <c r="A822" i="24"/>
  <c r="A821" i="24"/>
  <c r="A820" i="24"/>
  <c r="A819" i="24"/>
  <c r="A818" i="24"/>
  <c r="A817" i="24"/>
  <c r="A816" i="24"/>
  <c r="A815" i="24"/>
  <c r="A814" i="24"/>
  <c r="A813" i="24"/>
  <c r="A812" i="24"/>
  <c r="A811" i="24"/>
  <c r="A810" i="24"/>
  <c r="A809" i="24"/>
  <c r="A808" i="24"/>
  <c r="A807" i="24"/>
  <c r="A806" i="24"/>
  <c r="A805" i="24"/>
  <c r="A804" i="24"/>
  <c r="A803" i="24"/>
  <c r="A802" i="24"/>
  <c r="A801" i="24"/>
  <c r="A800" i="24"/>
  <c r="A799" i="24"/>
  <c r="A798" i="24"/>
  <c r="A797" i="24"/>
  <c r="A796" i="24"/>
  <c r="A795" i="24"/>
  <c r="A794" i="24"/>
  <c r="A793" i="24"/>
  <c r="A792" i="24"/>
  <c r="A791" i="24"/>
  <c r="A790" i="24"/>
  <c r="A789" i="24"/>
  <c r="A788" i="24"/>
  <c r="A787" i="24"/>
  <c r="A786" i="24"/>
  <c r="A785" i="24"/>
  <c r="A784" i="24"/>
  <c r="A783" i="24"/>
  <c r="A782" i="24"/>
  <c r="A781" i="24"/>
  <c r="A780" i="24"/>
  <c r="A779" i="24"/>
  <c r="A778" i="24"/>
  <c r="A777" i="24"/>
  <c r="A776" i="24"/>
  <c r="A775" i="24"/>
  <c r="A774" i="24"/>
  <c r="A773" i="24"/>
  <c r="A772" i="24"/>
  <c r="A771" i="24"/>
  <c r="A770" i="24"/>
  <c r="A769" i="24"/>
  <c r="A768" i="24"/>
  <c r="A767" i="24"/>
  <c r="A766" i="24"/>
  <c r="A765" i="24"/>
  <c r="A764" i="24"/>
  <c r="A763" i="24"/>
  <c r="A762" i="24"/>
  <c r="A761" i="24"/>
  <c r="A760" i="24"/>
  <c r="A759" i="24"/>
  <c r="A758" i="24"/>
  <c r="A757" i="24"/>
  <c r="A756" i="24"/>
  <c r="A755" i="24"/>
  <c r="A754" i="24"/>
  <c r="A753" i="24"/>
  <c r="A752" i="24"/>
  <c r="A751" i="24"/>
  <c r="A750" i="24"/>
  <c r="A749" i="24"/>
  <c r="A748" i="24"/>
  <c r="A747" i="24"/>
  <c r="A746" i="24"/>
  <c r="A745" i="24"/>
  <c r="A744" i="24"/>
  <c r="A743" i="24"/>
  <c r="A742" i="24"/>
  <c r="A741" i="24"/>
  <c r="A740" i="24"/>
  <c r="A739" i="24"/>
  <c r="A738" i="24"/>
  <c r="A737" i="24"/>
  <c r="A736" i="24"/>
  <c r="A735" i="24"/>
  <c r="A734" i="24"/>
  <c r="A733" i="24"/>
  <c r="A732" i="24"/>
  <c r="A731" i="24"/>
  <c r="A730" i="24"/>
  <c r="A729" i="24"/>
  <c r="A728" i="24"/>
  <c r="A727" i="24"/>
  <c r="A726" i="24"/>
  <c r="A725" i="24"/>
  <c r="A724" i="24"/>
  <c r="A723" i="24"/>
  <c r="A722" i="24"/>
  <c r="A721" i="24"/>
  <c r="A720" i="24"/>
  <c r="A719" i="24"/>
  <c r="A718" i="24"/>
  <c r="A717" i="24"/>
  <c r="A716" i="24"/>
  <c r="A715" i="24"/>
  <c r="A714" i="24"/>
  <c r="A713" i="24"/>
  <c r="A712" i="24"/>
  <c r="A711" i="24"/>
  <c r="A710" i="24"/>
  <c r="A709" i="24"/>
  <c r="A708" i="24"/>
  <c r="A707" i="24"/>
  <c r="A706" i="24"/>
  <c r="A705" i="24"/>
  <c r="A704" i="24"/>
  <c r="A703" i="24"/>
  <c r="A702" i="24"/>
  <c r="A701" i="24"/>
  <c r="A700" i="24"/>
  <c r="A699" i="24"/>
  <c r="A698" i="24"/>
  <c r="A697" i="24"/>
  <c r="A696" i="24"/>
  <c r="A695" i="24"/>
  <c r="A694" i="24"/>
  <c r="A693" i="24"/>
  <c r="A692" i="24"/>
  <c r="A691" i="24"/>
  <c r="A690" i="24"/>
  <c r="A689" i="24"/>
  <c r="A688" i="24"/>
  <c r="A687" i="24"/>
  <c r="A686" i="24"/>
  <c r="A685" i="24"/>
  <c r="A684" i="24"/>
  <c r="A683" i="24"/>
  <c r="A682" i="24"/>
  <c r="A681" i="24"/>
  <c r="A680" i="24"/>
  <c r="A679" i="24"/>
  <c r="A678" i="24"/>
  <c r="A677" i="24"/>
  <c r="A676" i="24"/>
  <c r="A675" i="24"/>
  <c r="A674" i="24"/>
  <c r="A673" i="24"/>
  <c r="A672" i="24"/>
  <c r="A671" i="24"/>
  <c r="A670" i="24"/>
  <c r="A669" i="24"/>
  <c r="A668" i="24"/>
  <c r="A667" i="24"/>
  <c r="A666" i="24"/>
  <c r="A665" i="24"/>
  <c r="A664" i="24"/>
  <c r="A663" i="24"/>
  <c r="A662" i="24"/>
  <c r="A661" i="24"/>
  <c r="A660" i="24"/>
  <c r="A659" i="24"/>
  <c r="A658" i="24"/>
  <c r="A657" i="24"/>
  <c r="A656" i="24"/>
  <c r="A655" i="24"/>
  <c r="A654" i="24"/>
  <c r="A653" i="24"/>
  <c r="A652" i="24"/>
  <c r="A651" i="24"/>
  <c r="A650" i="24"/>
  <c r="A649" i="24"/>
  <c r="A648" i="24"/>
  <c r="A647" i="24"/>
  <c r="A646" i="24"/>
  <c r="A645" i="24"/>
  <c r="A644" i="24"/>
  <c r="A643" i="24"/>
  <c r="A642" i="24"/>
  <c r="A641" i="24"/>
  <c r="A640" i="24"/>
  <c r="A639" i="24"/>
  <c r="A638" i="24"/>
  <c r="A637" i="24"/>
  <c r="A636" i="24"/>
  <c r="A635" i="24"/>
  <c r="A634" i="24"/>
  <c r="A633" i="24"/>
  <c r="A632" i="24"/>
  <c r="A631" i="24"/>
  <c r="A630" i="24"/>
  <c r="A629" i="24"/>
  <c r="A628" i="24"/>
  <c r="A627" i="24"/>
  <c r="A626" i="24"/>
  <c r="A625" i="24"/>
  <c r="A624" i="24"/>
  <c r="A623" i="24"/>
  <c r="A622" i="24"/>
  <c r="A621" i="24"/>
  <c r="A620" i="24"/>
  <c r="A619" i="24"/>
  <c r="A618" i="24"/>
  <c r="A617" i="24"/>
  <c r="A616" i="24"/>
  <c r="A615" i="24"/>
  <c r="A614" i="24"/>
  <c r="A613" i="24"/>
  <c r="A612" i="24"/>
  <c r="A611" i="24"/>
  <c r="A610" i="24"/>
  <c r="A609" i="24"/>
  <c r="A608" i="24"/>
  <c r="A607" i="24"/>
  <c r="A606" i="24"/>
  <c r="A605" i="24"/>
  <c r="A604" i="24"/>
  <c r="A603" i="24"/>
  <c r="A602" i="24"/>
  <c r="A601" i="24"/>
  <c r="A600" i="24"/>
  <c r="A599" i="24"/>
  <c r="A598" i="24"/>
  <c r="A597" i="24"/>
  <c r="A596" i="24"/>
  <c r="A595" i="24"/>
  <c r="A594" i="24"/>
  <c r="A593" i="24"/>
  <c r="A592" i="24"/>
  <c r="A591" i="24"/>
  <c r="A590" i="24"/>
  <c r="A589" i="24"/>
  <c r="A588" i="24"/>
  <c r="A587" i="24"/>
  <c r="A586" i="24"/>
  <c r="A585" i="24"/>
  <c r="A584" i="24"/>
  <c r="A583" i="24"/>
  <c r="A582" i="24"/>
  <c r="A581" i="24"/>
  <c r="A580" i="24"/>
  <c r="A579" i="24"/>
  <c r="A578" i="24"/>
  <c r="A577" i="24"/>
  <c r="A576" i="24"/>
  <c r="A575" i="24"/>
  <c r="A574" i="24"/>
  <c r="A573" i="24"/>
  <c r="A572" i="24"/>
  <c r="A571" i="24"/>
  <c r="A570" i="24"/>
  <c r="A569" i="24"/>
  <c r="A568" i="24"/>
  <c r="A567" i="24"/>
  <c r="A566" i="24"/>
  <c r="A565" i="24"/>
  <c r="A564" i="24"/>
  <c r="A563" i="24"/>
  <c r="A562" i="24"/>
  <c r="A561" i="24"/>
  <c r="A560" i="24"/>
  <c r="A559" i="24"/>
  <c r="A558" i="24"/>
  <c r="A557" i="24"/>
  <c r="A556" i="24"/>
  <c r="A555" i="24"/>
  <c r="A554" i="24"/>
  <c r="A553" i="24"/>
  <c r="A552" i="24"/>
  <c r="A551" i="24"/>
  <c r="A550" i="24"/>
  <c r="A549" i="24"/>
  <c r="A548" i="24"/>
  <c r="A547" i="24"/>
  <c r="A546" i="24"/>
  <c r="A545" i="24"/>
  <c r="A544" i="24"/>
  <c r="A543" i="24"/>
  <c r="A542" i="24"/>
  <c r="A541" i="24"/>
  <c r="A540" i="24"/>
  <c r="A539" i="24"/>
  <c r="A538" i="24"/>
  <c r="A537" i="24"/>
  <c r="A536" i="24"/>
  <c r="A535" i="24"/>
  <c r="A534" i="24"/>
  <c r="A533" i="24"/>
  <c r="A532" i="24"/>
  <c r="A531" i="24"/>
  <c r="A530" i="24"/>
  <c r="A529" i="24"/>
  <c r="A528" i="24"/>
  <c r="A527" i="24"/>
  <c r="A526" i="24"/>
  <c r="A525" i="24"/>
  <c r="A524" i="24"/>
  <c r="A523" i="24"/>
  <c r="A522" i="24"/>
  <c r="A521" i="24"/>
  <c r="A520" i="24"/>
  <c r="A519" i="24"/>
  <c r="A518" i="24"/>
  <c r="A517" i="24"/>
  <c r="A516" i="24"/>
  <c r="A515" i="24"/>
  <c r="A514" i="24"/>
  <c r="A513" i="24"/>
  <c r="A512" i="24"/>
  <c r="A511" i="24"/>
  <c r="A510" i="24"/>
  <c r="A509" i="24"/>
  <c r="A508" i="24"/>
  <c r="A507" i="24"/>
  <c r="A506" i="24"/>
  <c r="A505" i="24"/>
  <c r="A504" i="24"/>
  <c r="A503" i="24"/>
  <c r="A502" i="24"/>
  <c r="A501" i="24"/>
  <c r="A500" i="24"/>
  <c r="A499" i="24"/>
  <c r="A498" i="24"/>
  <c r="A497" i="24"/>
  <c r="A496" i="24"/>
  <c r="A495" i="24"/>
  <c r="A494" i="24"/>
  <c r="A493" i="24"/>
  <c r="A492" i="24"/>
  <c r="A491" i="24"/>
  <c r="A490" i="24"/>
  <c r="A489" i="24"/>
  <c r="A488" i="24"/>
  <c r="A487" i="24"/>
  <c r="A486" i="24"/>
  <c r="A485" i="24"/>
  <c r="A484" i="24"/>
  <c r="A483" i="24"/>
  <c r="A482" i="24"/>
  <c r="A481" i="24"/>
  <c r="A480" i="24"/>
  <c r="A479" i="24"/>
  <c r="A478" i="24"/>
  <c r="A477" i="24"/>
  <c r="A476" i="24"/>
  <c r="A475" i="24"/>
  <c r="A474" i="24"/>
  <c r="A473" i="24"/>
  <c r="A472" i="24"/>
  <c r="A471" i="24"/>
  <c r="A470" i="24"/>
  <c r="A469" i="24"/>
  <c r="A468" i="24"/>
  <c r="A467" i="24"/>
  <c r="A466" i="24"/>
  <c r="A465" i="24"/>
  <c r="A464" i="24"/>
  <c r="A463" i="24"/>
  <c r="A462" i="24"/>
  <c r="A461" i="24"/>
  <c r="A460" i="24"/>
  <c r="A459" i="24"/>
  <c r="A458" i="24"/>
  <c r="A457" i="24"/>
  <c r="A456" i="24"/>
  <c r="A455" i="24"/>
  <c r="A454" i="24"/>
  <c r="A453" i="24"/>
  <c r="A452" i="24"/>
  <c r="A451" i="24"/>
  <c r="A450" i="24"/>
  <c r="A449" i="24"/>
  <c r="A448" i="24"/>
  <c r="A447" i="24"/>
  <c r="A446" i="24"/>
  <c r="A445" i="24"/>
  <c r="A444" i="24"/>
  <c r="A443" i="24"/>
  <c r="A442" i="24"/>
  <c r="A441" i="24"/>
  <c r="A440" i="24"/>
  <c r="A439" i="24"/>
  <c r="A438" i="24"/>
  <c r="A437" i="24"/>
  <c r="A436" i="24"/>
  <c r="A435" i="24"/>
  <c r="A434" i="24"/>
  <c r="A433" i="24"/>
  <c r="A432" i="24"/>
  <c r="A431" i="24"/>
  <c r="A430" i="24"/>
  <c r="A429" i="24"/>
  <c r="A428" i="24"/>
  <c r="A427" i="24"/>
  <c r="A426" i="24"/>
  <c r="A425" i="24"/>
  <c r="A424" i="24"/>
  <c r="A423" i="24"/>
  <c r="A422" i="24"/>
  <c r="A421" i="24"/>
  <c r="A420" i="24"/>
  <c r="A419" i="24"/>
  <c r="A418" i="24"/>
  <c r="A417" i="24"/>
  <c r="A416" i="24"/>
  <c r="A415" i="24"/>
  <c r="A414" i="24"/>
  <c r="A413" i="24"/>
  <c r="A412" i="24"/>
  <c r="A411" i="24"/>
  <c r="A410" i="24"/>
  <c r="A409" i="24"/>
  <c r="A408" i="24"/>
  <c r="A407" i="24"/>
  <c r="A406" i="24"/>
  <c r="A405" i="24"/>
  <c r="A404" i="24"/>
  <c r="A403" i="24"/>
  <c r="A402" i="24"/>
  <c r="A401" i="24"/>
  <c r="A400" i="24"/>
  <c r="A399" i="24"/>
  <c r="A398" i="24"/>
  <c r="A397" i="24"/>
  <c r="A396" i="24"/>
  <c r="A395" i="24"/>
  <c r="A394" i="24"/>
  <c r="A393" i="24"/>
  <c r="A392" i="24"/>
  <c r="A391" i="24"/>
  <c r="A390" i="24"/>
  <c r="A389" i="24"/>
  <c r="A388" i="24"/>
  <c r="A387" i="24"/>
  <c r="A386" i="24"/>
  <c r="A385" i="24"/>
  <c r="A384" i="24"/>
  <c r="A383" i="24"/>
  <c r="A382" i="24"/>
  <c r="A381" i="24"/>
  <c r="A380" i="24"/>
  <c r="A379" i="24"/>
  <c r="A378" i="24"/>
  <c r="A377" i="24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986" i="23"/>
  <c r="A985" i="23"/>
  <c r="A984" i="23"/>
  <c r="A983" i="23"/>
  <c r="A982" i="23"/>
  <c r="A981" i="23"/>
  <c r="A980" i="23"/>
  <c r="A979" i="23"/>
  <c r="A978" i="23"/>
  <c r="A977" i="23"/>
  <c r="A976" i="23"/>
  <c r="A975" i="23"/>
  <c r="A974" i="23"/>
  <c r="A973" i="23"/>
  <c r="A972" i="23"/>
  <c r="A971" i="23"/>
  <c r="A970" i="23"/>
  <c r="A969" i="23"/>
  <c r="A968" i="23"/>
  <c r="A967" i="23"/>
  <c r="A966" i="23"/>
  <c r="A965" i="23"/>
  <c r="A964" i="23"/>
  <c r="A963" i="23"/>
  <c r="A962" i="23"/>
  <c r="A961" i="23"/>
  <c r="A960" i="23"/>
  <c r="A959" i="23"/>
  <c r="A958" i="23"/>
  <c r="A957" i="23"/>
  <c r="A956" i="23"/>
  <c r="A955" i="23"/>
  <c r="A954" i="23"/>
  <c r="A953" i="23"/>
  <c r="A952" i="23"/>
  <c r="A951" i="23"/>
  <c r="A950" i="23"/>
  <c r="A949" i="23"/>
  <c r="A948" i="23"/>
  <c r="A947" i="23"/>
  <c r="A946" i="23"/>
  <c r="A945" i="23"/>
  <c r="A944" i="23"/>
  <c r="A943" i="23"/>
  <c r="A942" i="23"/>
  <c r="A941" i="23"/>
  <c r="A940" i="23"/>
  <c r="A939" i="23"/>
  <c r="A938" i="23"/>
  <c r="A937" i="23"/>
  <c r="A936" i="23"/>
  <c r="A935" i="23"/>
  <c r="A934" i="23"/>
  <c r="A933" i="23"/>
  <c r="A932" i="23"/>
  <c r="A931" i="23"/>
  <c r="A930" i="23"/>
  <c r="A929" i="23"/>
  <c r="A928" i="23"/>
  <c r="A927" i="23"/>
  <c r="A926" i="23"/>
  <c r="A925" i="23"/>
  <c r="A924" i="23"/>
  <c r="A923" i="23"/>
  <c r="A922" i="23"/>
  <c r="A921" i="23"/>
  <c r="A920" i="23"/>
  <c r="A919" i="23"/>
  <c r="A918" i="23"/>
  <c r="A917" i="23"/>
  <c r="A916" i="23"/>
  <c r="A915" i="23"/>
  <c r="A914" i="23"/>
  <c r="A913" i="23"/>
  <c r="A912" i="23"/>
  <c r="A911" i="23"/>
  <c r="A910" i="23"/>
  <c r="A909" i="23"/>
  <c r="A908" i="23"/>
  <c r="A907" i="23"/>
  <c r="A906" i="23"/>
  <c r="A905" i="23"/>
  <c r="A904" i="23"/>
  <c r="A903" i="23"/>
  <c r="A902" i="23"/>
  <c r="A901" i="23"/>
  <c r="A900" i="23"/>
  <c r="A899" i="23"/>
  <c r="A898" i="23"/>
  <c r="A897" i="23"/>
  <c r="A896" i="23"/>
  <c r="A895" i="23"/>
  <c r="A894" i="23"/>
  <c r="A893" i="23"/>
  <c r="A892" i="23"/>
  <c r="A891" i="23"/>
  <c r="A890" i="23"/>
  <c r="A889" i="23"/>
  <c r="A888" i="23"/>
  <c r="A887" i="23"/>
  <c r="A886" i="23"/>
  <c r="A885" i="23"/>
  <c r="A884" i="23"/>
  <c r="A883" i="23"/>
  <c r="A882" i="23"/>
  <c r="A881" i="23"/>
  <c r="A880" i="23"/>
  <c r="A879" i="23"/>
  <c r="A878" i="23"/>
  <c r="A877" i="23"/>
  <c r="A876" i="23"/>
  <c r="A875" i="23"/>
  <c r="A874" i="23"/>
  <c r="A873" i="23"/>
  <c r="A872" i="23"/>
  <c r="A871" i="23"/>
  <c r="A870" i="23"/>
  <c r="A869" i="23"/>
  <c r="A868" i="23"/>
  <c r="A867" i="23"/>
  <c r="A866" i="23"/>
  <c r="A865" i="23"/>
  <c r="A864" i="23"/>
  <c r="A863" i="23"/>
  <c r="A862" i="23"/>
  <c r="A861" i="23"/>
  <c r="A860" i="23"/>
  <c r="A859" i="23"/>
  <c r="A858" i="23"/>
  <c r="A857" i="23"/>
  <c r="A856" i="23"/>
  <c r="A855" i="23"/>
  <c r="A854" i="23"/>
  <c r="A853" i="23"/>
  <c r="A852" i="23"/>
  <c r="A851" i="23"/>
  <c r="A850" i="23"/>
  <c r="A849" i="23"/>
  <c r="A848" i="23"/>
  <c r="A847" i="23"/>
  <c r="A846" i="23"/>
  <c r="A845" i="23"/>
  <c r="A844" i="23"/>
  <c r="A843" i="23"/>
  <c r="A842" i="23"/>
  <c r="A841" i="23"/>
  <c r="A840" i="23"/>
  <c r="A839" i="23"/>
  <c r="A838" i="23"/>
  <c r="A837" i="23"/>
  <c r="A836" i="23"/>
  <c r="A835" i="23"/>
  <c r="A834" i="23"/>
  <c r="A833" i="23"/>
  <c r="A832" i="23"/>
  <c r="A831" i="23"/>
  <c r="A830" i="23"/>
  <c r="A829" i="23"/>
  <c r="A828" i="23"/>
  <c r="A827" i="23"/>
  <c r="A826" i="23"/>
  <c r="A825" i="23"/>
  <c r="A824" i="23"/>
  <c r="A823" i="23"/>
  <c r="A822" i="23"/>
  <c r="A821" i="23"/>
  <c r="A820" i="23"/>
  <c r="A819" i="23"/>
  <c r="A818" i="23"/>
  <c r="A817" i="23"/>
  <c r="A816" i="23"/>
  <c r="A815" i="23"/>
  <c r="A814" i="23"/>
  <c r="A813" i="23"/>
  <c r="A812" i="23"/>
  <c r="A811" i="23"/>
  <c r="A810" i="23"/>
  <c r="A809" i="23"/>
  <c r="A808" i="23"/>
  <c r="A807" i="23"/>
  <c r="A806" i="23"/>
  <c r="A805" i="23"/>
  <c r="A804" i="23"/>
  <c r="A803" i="23"/>
  <c r="A802" i="23"/>
  <c r="A801" i="23"/>
  <c r="A800" i="23"/>
  <c r="A799" i="23"/>
  <c r="A798" i="23"/>
  <c r="A797" i="23"/>
  <c r="A796" i="23"/>
  <c r="A795" i="23"/>
  <c r="A794" i="23"/>
  <c r="A793" i="23"/>
  <c r="A792" i="23"/>
  <c r="A791" i="23"/>
  <c r="A790" i="23"/>
  <c r="A789" i="23"/>
  <c r="A788" i="23"/>
  <c r="A787" i="23"/>
  <c r="A786" i="23"/>
  <c r="A785" i="23"/>
  <c r="A784" i="23"/>
  <c r="A783" i="23"/>
  <c r="A782" i="23"/>
  <c r="A781" i="23"/>
  <c r="A780" i="23"/>
  <c r="A779" i="23"/>
  <c r="A778" i="23"/>
  <c r="A777" i="23"/>
  <c r="A776" i="23"/>
  <c r="A775" i="23"/>
  <c r="A774" i="23"/>
  <c r="A773" i="23"/>
  <c r="A772" i="23"/>
  <c r="A771" i="23"/>
  <c r="A770" i="23"/>
  <c r="A769" i="23"/>
  <c r="A768" i="23"/>
  <c r="A767" i="23"/>
  <c r="A766" i="23"/>
  <c r="A765" i="23"/>
  <c r="A764" i="23"/>
  <c r="A763" i="23"/>
  <c r="A762" i="23"/>
  <c r="A761" i="23"/>
  <c r="A760" i="23"/>
  <c r="A759" i="23"/>
  <c r="A758" i="23"/>
  <c r="A757" i="23"/>
  <c r="A756" i="23"/>
  <c r="A755" i="23"/>
  <c r="A754" i="23"/>
  <c r="A753" i="23"/>
  <c r="A752" i="23"/>
  <c r="A751" i="23"/>
  <c r="A750" i="23"/>
  <c r="A749" i="23"/>
  <c r="A748" i="23"/>
  <c r="A747" i="23"/>
  <c r="A746" i="23"/>
  <c r="A745" i="23"/>
  <c r="A744" i="23"/>
  <c r="A743" i="23"/>
  <c r="A742" i="23"/>
  <c r="A741" i="23"/>
  <c r="A740" i="23"/>
  <c r="A739" i="23"/>
  <c r="A738" i="23"/>
  <c r="A737" i="23"/>
  <c r="A736" i="23"/>
  <c r="A735" i="23"/>
  <c r="A734" i="23"/>
  <c r="A733" i="23"/>
  <c r="A732" i="23"/>
  <c r="A731" i="23"/>
  <c r="A730" i="23"/>
  <c r="A729" i="23"/>
  <c r="A728" i="23"/>
  <c r="A727" i="23"/>
  <c r="A726" i="23"/>
  <c r="A725" i="23"/>
  <c r="A724" i="23"/>
  <c r="A723" i="23"/>
  <c r="A722" i="23"/>
  <c r="A721" i="23"/>
  <c r="A720" i="23"/>
  <c r="A719" i="23"/>
  <c r="A718" i="23"/>
  <c r="A717" i="23"/>
  <c r="A716" i="23"/>
  <c r="A715" i="23"/>
  <c r="A714" i="23"/>
  <c r="A713" i="23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A699" i="23"/>
  <c r="A698" i="23"/>
  <c r="A697" i="23"/>
  <c r="A696" i="23"/>
  <c r="A695" i="23"/>
  <c r="A694" i="23"/>
  <c r="A693" i="23"/>
  <c r="A692" i="23"/>
  <c r="A691" i="23"/>
  <c r="A690" i="23"/>
  <c r="A689" i="23"/>
  <c r="A688" i="23"/>
  <c r="A687" i="23"/>
  <c r="A686" i="23"/>
  <c r="A685" i="23"/>
  <c r="A684" i="23"/>
  <c r="A683" i="23"/>
  <c r="A682" i="23"/>
  <c r="A681" i="23"/>
  <c r="A680" i="23"/>
  <c r="A679" i="23"/>
  <c r="A678" i="23"/>
  <c r="A677" i="23"/>
  <c r="A676" i="23"/>
  <c r="A675" i="23"/>
  <c r="A674" i="23"/>
  <c r="A673" i="23"/>
  <c r="A672" i="23"/>
  <c r="A671" i="23"/>
  <c r="A670" i="23"/>
  <c r="A669" i="23"/>
  <c r="A668" i="23"/>
  <c r="A667" i="23"/>
  <c r="A666" i="23"/>
  <c r="A665" i="23"/>
  <c r="A664" i="23"/>
  <c r="A663" i="23"/>
  <c r="A662" i="23"/>
  <c r="A661" i="23"/>
  <c r="A660" i="23"/>
  <c r="A659" i="23"/>
  <c r="A658" i="23"/>
  <c r="A657" i="23"/>
  <c r="A656" i="23"/>
  <c r="A655" i="23"/>
  <c r="A654" i="23"/>
  <c r="A653" i="23"/>
  <c r="A652" i="23"/>
  <c r="A651" i="23"/>
  <c r="A650" i="23"/>
  <c r="A649" i="23"/>
  <c r="A648" i="23"/>
  <c r="A647" i="23"/>
  <c r="A646" i="23"/>
  <c r="A645" i="23"/>
  <c r="A644" i="23"/>
  <c r="A643" i="23"/>
  <c r="A642" i="23"/>
  <c r="A641" i="23"/>
  <c r="A640" i="23"/>
  <c r="A639" i="23"/>
  <c r="A638" i="23"/>
  <c r="A637" i="23"/>
  <c r="A636" i="23"/>
  <c r="A635" i="23"/>
  <c r="A634" i="23"/>
  <c r="A633" i="23"/>
  <c r="A632" i="23"/>
  <c r="A631" i="23"/>
  <c r="A630" i="23"/>
  <c r="A629" i="23"/>
  <c r="A628" i="23"/>
  <c r="A627" i="23"/>
  <c r="A626" i="23"/>
  <c r="A625" i="23"/>
  <c r="A624" i="23"/>
  <c r="A623" i="23"/>
  <c r="A622" i="23"/>
  <c r="A621" i="23"/>
  <c r="A620" i="23"/>
  <c r="A619" i="23"/>
  <c r="A618" i="23"/>
  <c r="A617" i="23"/>
  <c r="A616" i="23"/>
  <c r="A615" i="23"/>
  <c r="A614" i="23"/>
  <c r="A613" i="23"/>
  <c r="A612" i="23"/>
  <c r="A611" i="23"/>
  <c r="A610" i="23"/>
  <c r="A609" i="23"/>
  <c r="A608" i="23"/>
  <c r="A607" i="23"/>
  <c r="A606" i="23"/>
  <c r="A605" i="23"/>
  <c r="A604" i="23"/>
  <c r="A603" i="23"/>
  <c r="A602" i="23"/>
  <c r="A601" i="23"/>
  <c r="A600" i="23"/>
  <c r="A599" i="23"/>
  <c r="A598" i="23"/>
  <c r="A597" i="23"/>
  <c r="A596" i="23"/>
  <c r="A595" i="23"/>
  <c r="A594" i="23"/>
  <c r="A593" i="23"/>
  <c r="A592" i="23"/>
  <c r="A591" i="23"/>
  <c r="A590" i="23"/>
  <c r="A589" i="23"/>
  <c r="A588" i="23"/>
  <c r="A587" i="23"/>
  <c r="A586" i="23"/>
  <c r="A585" i="23"/>
  <c r="A584" i="23"/>
  <c r="A583" i="23"/>
  <c r="A582" i="23"/>
  <c r="A581" i="23"/>
  <c r="A580" i="23"/>
  <c r="A579" i="23"/>
  <c r="A578" i="23"/>
  <c r="A577" i="23"/>
  <c r="A576" i="23"/>
  <c r="A575" i="23"/>
  <c r="A574" i="23"/>
  <c r="A573" i="23"/>
  <c r="A572" i="23"/>
  <c r="A571" i="23"/>
  <c r="A570" i="23"/>
  <c r="A569" i="23"/>
  <c r="A568" i="23"/>
  <c r="A567" i="23"/>
  <c r="A566" i="23"/>
  <c r="A565" i="23"/>
  <c r="A564" i="23"/>
  <c r="A563" i="23"/>
  <c r="A562" i="23"/>
  <c r="A561" i="23"/>
  <c r="A560" i="23"/>
  <c r="A559" i="23"/>
  <c r="A558" i="23"/>
  <c r="A557" i="23"/>
  <c r="A556" i="23"/>
  <c r="A555" i="23"/>
  <c r="A554" i="23"/>
  <c r="A553" i="23"/>
  <c r="A552" i="23"/>
  <c r="A551" i="23"/>
  <c r="A550" i="23"/>
  <c r="A549" i="23"/>
  <c r="A548" i="23"/>
  <c r="A547" i="23"/>
  <c r="A546" i="23"/>
  <c r="A545" i="23"/>
  <c r="A544" i="23"/>
  <c r="A543" i="23"/>
  <c r="A542" i="23"/>
  <c r="A541" i="23"/>
  <c r="A540" i="23"/>
  <c r="A539" i="23"/>
  <c r="A538" i="23"/>
  <c r="A537" i="23"/>
  <c r="A536" i="23"/>
  <c r="A535" i="23"/>
  <c r="A534" i="23"/>
  <c r="A533" i="23"/>
  <c r="A532" i="23"/>
  <c r="A531" i="23"/>
  <c r="A530" i="23"/>
  <c r="A529" i="23"/>
  <c r="A528" i="23"/>
  <c r="A527" i="23"/>
  <c r="A526" i="23"/>
  <c r="A525" i="23"/>
  <c r="A524" i="23"/>
  <c r="A523" i="23"/>
  <c r="A522" i="23"/>
  <c r="A521" i="23"/>
  <c r="A520" i="23"/>
  <c r="A519" i="23"/>
  <c r="A518" i="23"/>
  <c r="A517" i="23"/>
  <c r="A516" i="23"/>
  <c r="A515" i="23"/>
  <c r="A514" i="23"/>
  <c r="A513" i="23"/>
  <c r="A512" i="23"/>
  <c r="A511" i="23"/>
  <c r="A510" i="23"/>
  <c r="A509" i="23"/>
  <c r="A508" i="23"/>
  <c r="A507" i="23"/>
  <c r="A506" i="23"/>
  <c r="A505" i="23"/>
  <c r="A504" i="23"/>
  <c r="A503" i="23"/>
  <c r="A502" i="23"/>
  <c r="A501" i="23"/>
  <c r="A500" i="23"/>
  <c r="A499" i="23"/>
  <c r="A498" i="23"/>
  <c r="A497" i="23"/>
  <c r="A496" i="23"/>
  <c r="A495" i="23"/>
  <c r="A494" i="23"/>
  <c r="A493" i="23"/>
  <c r="A492" i="23"/>
  <c r="A491" i="23"/>
  <c r="A490" i="23"/>
  <c r="A489" i="23"/>
  <c r="A488" i="23"/>
  <c r="A487" i="23"/>
  <c r="A486" i="23"/>
  <c r="A485" i="23"/>
  <c r="A484" i="23"/>
  <c r="A483" i="23"/>
  <c r="A482" i="23"/>
  <c r="A481" i="23"/>
  <c r="A480" i="23"/>
  <c r="A479" i="23"/>
  <c r="A478" i="23"/>
  <c r="A477" i="23"/>
  <c r="A476" i="23"/>
  <c r="A475" i="23"/>
  <c r="A474" i="23"/>
  <c r="A473" i="23"/>
  <c r="A472" i="23"/>
  <c r="A471" i="23"/>
  <c r="A470" i="23"/>
  <c r="A469" i="23"/>
  <c r="A468" i="23"/>
  <c r="A467" i="23"/>
  <c r="A466" i="23"/>
  <c r="A465" i="23"/>
  <c r="A464" i="23"/>
  <c r="A463" i="23"/>
  <c r="A462" i="23"/>
  <c r="A461" i="23"/>
  <c r="A460" i="23"/>
  <c r="A459" i="23"/>
  <c r="A458" i="23"/>
  <c r="A457" i="23"/>
  <c r="A456" i="23"/>
  <c r="A455" i="23"/>
  <c r="A454" i="23"/>
  <c r="A453" i="23"/>
  <c r="A452" i="23"/>
  <c r="A451" i="23"/>
  <c r="A450" i="23"/>
  <c r="A449" i="23"/>
  <c r="A448" i="23"/>
  <c r="A447" i="23"/>
  <c r="A446" i="23"/>
  <c r="A445" i="23"/>
  <c r="A444" i="23"/>
  <c r="A443" i="23"/>
  <c r="A442" i="23"/>
  <c r="A441" i="23"/>
  <c r="A440" i="23"/>
  <c r="A439" i="23"/>
  <c r="A438" i="23"/>
  <c r="A437" i="23"/>
  <c r="A436" i="23"/>
  <c r="A435" i="23"/>
  <c r="A434" i="23"/>
  <c r="A433" i="23"/>
  <c r="A432" i="23"/>
  <c r="A431" i="23"/>
  <c r="A430" i="23"/>
  <c r="A429" i="23"/>
  <c r="A428" i="23"/>
  <c r="A427" i="23"/>
  <c r="A426" i="23"/>
  <c r="A425" i="23"/>
  <c r="A424" i="23"/>
  <c r="A423" i="23"/>
  <c r="A422" i="23"/>
  <c r="A421" i="23"/>
  <c r="A420" i="23"/>
  <c r="A419" i="23"/>
  <c r="A418" i="23"/>
  <c r="A417" i="23"/>
  <c r="A416" i="23"/>
  <c r="A415" i="23"/>
  <c r="A414" i="23"/>
  <c r="A413" i="23"/>
  <c r="A412" i="23"/>
  <c r="A411" i="23"/>
  <c r="A410" i="23"/>
  <c r="A409" i="23"/>
  <c r="A408" i="23"/>
  <c r="A407" i="23"/>
  <c r="A406" i="23"/>
  <c r="A405" i="23"/>
  <c r="A404" i="23"/>
  <c r="A403" i="23"/>
  <c r="A402" i="23"/>
  <c r="A401" i="23"/>
  <c r="A400" i="23"/>
  <c r="A399" i="23"/>
  <c r="A398" i="23"/>
  <c r="A397" i="23"/>
  <c r="A396" i="23"/>
  <c r="A395" i="23"/>
  <c r="A394" i="23"/>
  <c r="A393" i="23"/>
  <c r="A392" i="23"/>
  <c r="A391" i="23"/>
  <c r="A390" i="23"/>
  <c r="A389" i="23"/>
  <c r="A388" i="23"/>
  <c r="A387" i="23"/>
  <c r="A386" i="23"/>
  <c r="A385" i="23"/>
  <c r="A384" i="23"/>
  <c r="A383" i="23"/>
  <c r="A382" i="23"/>
  <c r="A381" i="23"/>
  <c r="A380" i="23"/>
  <c r="A379" i="23"/>
  <c r="A378" i="23"/>
  <c r="A377" i="23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967" i="22"/>
  <c r="A966" i="22"/>
  <c r="A965" i="22"/>
  <c r="A964" i="22"/>
  <c r="A963" i="22"/>
  <c r="A962" i="22"/>
  <c r="A961" i="22"/>
  <c r="A960" i="22"/>
  <c r="A959" i="22"/>
  <c r="A958" i="22"/>
  <c r="A957" i="22"/>
  <c r="A956" i="22"/>
  <c r="A955" i="22"/>
  <c r="A954" i="22"/>
  <c r="A953" i="22"/>
  <c r="A952" i="22"/>
  <c r="A951" i="22"/>
  <c r="A950" i="22"/>
  <c r="A949" i="22"/>
  <c r="A948" i="22"/>
  <c r="A947" i="22"/>
  <c r="A946" i="22"/>
  <c r="A945" i="22"/>
  <c r="A944" i="22"/>
  <c r="A943" i="22"/>
  <c r="A942" i="22"/>
  <c r="A941" i="22"/>
  <c r="A940" i="22"/>
  <c r="A939" i="22"/>
  <c r="A938" i="22"/>
  <c r="A937" i="22"/>
  <c r="A936" i="22"/>
  <c r="A935" i="22"/>
  <c r="A934" i="22"/>
  <c r="A933" i="22"/>
  <c r="A932" i="22"/>
  <c r="A931" i="22"/>
  <c r="A930" i="22"/>
  <c r="A929" i="22"/>
  <c r="A928" i="22"/>
  <c r="A927" i="22"/>
  <c r="A926" i="22"/>
  <c r="A925" i="22"/>
  <c r="A924" i="22"/>
  <c r="A923" i="22"/>
  <c r="A922" i="22"/>
  <c r="A921" i="22"/>
  <c r="A920" i="22"/>
  <c r="A919" i="22"/>
  <c r="A918" i="22"/>
  <c r="A917" i="22"/>
  <c r="A916" i="22"/>
  <c r="A915" i="22"/>
  <c r="A914" i="22"/>
  <c r="A913" i="22"/>
  <c r="A912" i="22"/>
  <c r="A911" i="22"/>
  <c r="A910" i="22"/>
  <c r="A909" i="22"/>
  <c r="A908" i="22"/>
  <c r="A907" i="22"/>
  <c r="A906" i="22"/>
  <c r="A905" i="22"/>
  <c r="A904" i="22"/>
  <c r="A903" i="22"/>
  <c r="A902" i="22"/>
  <c r="A901" i="22"/>
  <c r="A900" i="22"/>
  <c r="A899" i="22"/>
  <c r="A898" i="22"/>
  <c r="A897" i="22"/>
  <c r="A896" i="22"/>
  <c r="A895" i="22"/>
  <c r="A894" i="22"/>
  <c r="A893" i="22"/>
  <c r="A892" i="22"/>
  <c r="A891" i="22"/>
  <c r="A890" i="22"/>
  <c r="A889" i="22"/>
  <c r="A888" i="22"/>
  <c r="A887" i="22"/>
  <c r="A886" i="22"/>
  <c r="A885" i="22"/>
  <c r="A884" i="22"/>
  <c r="A883" i="22"/>
  <c r="A882" i="22"/>
  <c r="A881" i="22"/>
  <c r="A880" i="22"/>
  <c r="A879" i="22"/>
  <c r="A878" i="22"/>
  <c r="A877" i="22"/>
  <c r="A876" i="22"/>
  <c r="A875" i="22"/>
  <c r="A874" i="22"/>
  <c r="A873" i="22"/>
  <c r="A872" i="22"/>
  <c r="A871" i="22"/>
  <c r="A870" i="22"/>
  <c r="A869" i="22"/>
  <c r="A868" i="22"/>
  <c r="A867" i="22"/>
  <c r="A866" i="22"/>
  <c r="A865" i="22"/>
  <c r="A864" i="22"/>
  <c r="A863" i="22"/>
  <c r="A862" i="22"/>
  <c r="A861" i="22"/>
  <c r="A860" i="22"/>
  <c r="A859" i="22"/>
  <c r="A858" i="22"/>
  <c r="A857" i="22"/>
  <c r="A856" i="22"/>
  <c r="A855" i="22"/>
  <c r="A854" i="22"/>
  <c r="A853" i="22"/>
  <c r="A852" i="22"/>
  <c r="A851" i="22"/>
  <c r="A850" i="22"/>
  <c r="A849" i="22"/>
  <c r="A848" i="22"/>
  <c r="A847" i="22"/>
  <c r="A846" i="22"/>
  <c r="A845" i="22"/>
  <c r="A844" i="22"/>
  <c r="A843" i="22"/>
  <c r="A842" i="22"/>
  <c r="A841" i="22"/>
  <c r="A840" i="22"/>
  <c r="A839" i="22"/>
  <c r="A838" i="22"/>
  <c r="A837" i="22"/>
  <c r="A836" i="22"/>
  <c r="A835" i="22"/>
  <c r="A834" i="22"/>
  <c r="A833" i="22"/>
  <c r="A832" i="22"/>
  <c r="A831" i="22"/>
  <c r="A830" i="22"/>
  <c r="A829" i="22"/>
  <c r="A828" i="22"/>
  <c r="A827" i="22"/>
  <c r="A826" i="22"/>
  <c r="A825" i="22"/>
  <c r="A824" i="22"/>
  <c r="A823" i="22"/>
  <c r="A822" i="22"/>
  <c r="A821" i="22"/>
  <c r="A820" i="22"/>
  <c r="A819" i="22"/>
  <c r="A818" i="22"/>
  <c r="A817" i="22"/>
  <c r="A816" i="22"/>
  <c r="A815" i="22"/>
  <c r="A814" i="22"/>
  <c r="A813" i="22"/>
  <c r="A812" i="22"/>
  <c r="A811" i="22"/>
  <c r="A810" i="22"/>
  <c r="A809" i="22"/>
  <c r="A808" i="22"/>
  <c r="A807" i="22"/>
  <c r="A806" i="22"/>
  <c r="A805" i="22"/>
  <c r="A804" i="22"/>
  <c r="A803" i="22"/>
  <c r="A802" i="22"/>
  <c r="A801" i="22"/>
  <c r="A800" i="22"/>
  <c r="A799" i="22"/>
  <c r="A798" i="22"/>
  <c r="A797" i="22"/>
  <c r="A796" i="22"/>
  <c r="A795" i="22"/>
  <c r="A794" i="22"/>
  <c r="A793" i="22"/>
  <c r="A792" i="22"/>
  <c r="A791" i="22"/>
  <c r="A790" i="22"/>
  <c r="A789" i="22"/>
  <c r="A788" i="22"/>
  <c r="A787" i="22"/>
  <c r="A786" i="22"/>
  <c r="A785" i="22"/>
  <c r="A784" i="22"/>
  <c r="A783" i="22"/>
  <c r="A782" i="22"/>
  <c r="A781" i="22"/>
  <c r="A780" i="22"/>
  <c r="A779" i="22"/>
  <c r="A778" i="22"/>
  <c r="A777" i="22"/>
  <c r="A776" i="22"/>
  <c r="A775" i="22"/>
  <c r="A774" i="2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A755" i="22"/>
  <c r="A754" i="22"/>
  <c r="A753" i="22"/>
  <c r="A752" i="22"/>
  <c r="A751" i="22"/>
  <c r="A750" i="22"/>
  <c r="A749" i="22"/>
  <c r="A748" i="22"/>
  <c r="A747" i="22"/>
  <c r="A746" i="22"/>
  <c r="A745" i="22"/>
  <c r="A744" i="22"/>
  <c r="A743" i="22"/>
  <c r="A742" i="22"/>
  <c r="A741" i="22"/>
  <c r="A740" i="22"/>
  <c r="A739" i="22"/>
  <c r="A738" i="22"/>
  <c r="A737" i="22"/>
  <c r="A736" i="22"/>
  <c r="A735" i="22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21" i="22"/>
  <c r="A720" i="22"/>
  <c r="A719" i="22"/>
  <c r="A718" i="22"/>
  <c r="A717" i="22"/>
  <c r="A716" i="22"/>
  <c r="A715" i="22"/>
  <c r="A714" i="22"/>
  <c r="A713" i="22"/>
  <c r="A712" i="22"/>
  <c r="A711" i="22"/>
  <c r="A710" i="22"/>
  <c r="A709" i="22"/>
  <c r="A708" i="22"/>
  <c r="A707" i="22"/>
  <c r="A706" i="22"/>
  <c r="A705" i="22"/>
  <c r="A704" i="22"/>
  <c r="A703" i="22"/>
  <c r="A702" i="22"/>
  <c r="A701" i="22"/>
  <c r="A700" i="22"/>
  <c r="A699" i="22"/>
  <c r="A698" i="22"/>
  <c r="A697" i="22"/>
  <c r="A696" i="22"/>
  <c r="A695" i="22"/>
  <c r="A694" i="22"/>
  <c r="A693" i="22"/>
  <c r="A692" i="22"/>
  <c r="A691" i="22"/>
  <c r="A690" i="22"/>
  <c r="A689" i="22"/>
  <c r="A688" i="22"/>
  <c r="A687" i="22"/>
  <c r="A686" i="22"/>
  <c r="A685" i="22"/>
  <c r="A684" i="22"/>
  <c r="A683" i="22"/>
  <c r="A682" i="22"/>
  <c r="A681" i="22"/>
  <c r="A680" i="22"/>
  <c r="A679" i="22"/>
  <c r="A678" i="22"/>
  <c r="A677" i="22"/>
  <c r="A676" i="22"/>
  <c r="A675" i="22"/>
  <c r="A674" i="22"/>
  <c r="A673" i="22"/>
  <c r="A672" i="22"/>
  <c r="A671" i="22"/>
  <c r="A670" i="22"/>
  <c r="A669" i="22"/>
  <c r="A668" i="22"/>
  <c r="A667" i="22"/>
  <c r="A666" i="22"/>
  <c r="A665" i="22"/>
  <c r="A664" i="22"/>
  <c r="A663" i="22"/>
  <c r="A662" i="22"/>
  <c r="A661" i="22"/>
  <c r="A660" i="22"/>
  <c r="A659" i="22"/>
  <c r="A658" i="22"/>
  <c r="A657" i="22"/>
  <c r="A656" i="22"/>
  <c r="A655" i="22"/>
  <c r="A654" i="22"/>
  <c r="A653" i="22"/>
  <c r="A652" i="22"/>
  <c r="A651" i="22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19" i="22"/>
  <c r="A618" i="22"/>
  <c r="A617" i="22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986" i="20"/>
  <c r="A985" i="20"/>
  <c r="A984" i="20"/>
  <c r="A983" i="20"/>
  <c r="A982" i="20"/>
  <c r="A981" i="20"/>
  <c r="A980" i="20"/>
  <c r="A979" i="20"/>
  <c r="A978" i="20"/>
  <c r="A977" i="20"/>
  <c r="A976" i="20"/>
  <c r="A975" i="20"/>
  <c r="A974" i="20"/>
  <c r="A973" i="20"/>
  <c r="A972" i="20"/>
  <c r="A971" i="20"/>
  <c r="A970" i="20"/>
  <c r="A969" i="20"/>
  <c r="A968" i="20"/>
  <c r="A967" i="20"/>
  <c r="A966" i="20"/>
  <c r="A965" i="20"/>
  <c r="A964" i="20"/>
  <c r="A963" i="20"/>
  <c r="A962" i="20"/>
  <c r="A961" i="20"/>
  <c r="A960" i="20"/>
  <c r="A959" i="20"/>
  <c r="A958" i="20"/>
  <c r="A957" i="20"/>
  <c r="A956" i="20"/>
  <c r="A955" i="20"/>
  <c r="A954" i="20"/>
  <c r="A953" i="20"/>
  <c r="A952" i="20"/>
  <c r="A951" i="20"/>
  <c r="A950" i="20"/>
  <c r="A949" i="20"/>
  <c r="A948" i="20"/>
  <c r="A947" i="20"/>
  <c r="A946" i="20"/>
  <c r="A945" i="20"/>
  <c r="A944" i="20"/>
  <c r="A943" i="20"/>
  <c r="A942" i="20"/>
  <c r="A941" i="20"/>
  <c r="A940" i="20"/>
  <c r="A939" i="20"/>
  <c r="A938" i="20"/>
  <c r="A937" i="20"/>
  <c r="A936" i="20"/>
  <c r="A935" i="20"/>
  <c r="A934" i="20"/>
  <c r="A933" i="20"/>
  <c r="A932" i="20"/>
  <c r="A931" i="20"/>
  <c r="A930" i="20"/>
  <c r="A929" i="20"/>
  <c r="A928" i="20"/>
  <c r="A927" i="20"/>
  <c r="A926" i="20"/>
  <c r="A925" i="20"/>
  <c r="A924" i="20"/>
  <c r="A923" i="20"/>
  <c r="A922" i="20"/>
  <c r="A921" i="20"/>
  <c r="A920" i="20"/>
  <c r="A919" i="20"/>
  <c r="A918" i="20"/>
  <c r="A917" i="20"/>
  <c r="A916" i="20"/>
  <c r="A915" i="20"/>
  <c r="A914" i="20"/>
  <c r="A913" i="20"/>
  <c r="A912" i="20"/>
  <c r="A911" i="20"/>
  <c r="A910" i="20"/>
  <c r="A909" i="20"/>
  <c r="A908" i="20"/>
  <c r="A907" i="20"/>
  <c r="A906" i="20"/>
  <c r="A905" i="20"/>
  <c r="A904" i="20"/>
  <c r="A903" i="20"/>
  <c r="A902" i="20"/>
  <c r="A901" i="20"/>
  <c r="A900" i="20"/>
  <c r="A899" i="20"/>
  <c r="A898" i="20"/>
  <c r="A897" i="20"/>
  <c r="A896" i="20"/>
  <c r="A895" i="20"/>
  <c r="A894" i="20"/>
  <c r="A893" i="20"/>
  <c r="A892" i="20"/>
  <c r="A891" i="20"/>
  <c r="A890" i="20"/>
  <c r="A889" i="20"/>
  <c r="A888" i="20"/>
  <c r="A887" i="20"/>
  <c r="A886" i="20"/>
  <c r="A885" i="20"/>
  <c r="A884" i="20"/>
  <c r="A883" i="20"/>
  <c r="A882" i="20"/>
  <c r="A881" i="20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8" i="20"/>
  <c r="A867" i="20"/>
  <c r="A866" i="20"/>
  <c r="A865" i="20"/>
  <c r="A864" i="20"/>
  <c r="A863" i="20"/>
  <c r="A862" i="20"/>
  <c r="A861" i="20"/>
  <c r="A860" i="20"/>
  <c r="A859" i="20"/>
  <c r="A858" i="20"/>
  <c r="A857" i="20"/>
  <c r="A856" i="20"/>
  <c r="A855" i="20"/>
  <c r="A854" i="20"/>
  <c r="A853" i="20"/>
  <c r="A852" i="20"/>
  <c r="A851" i="20"/>
  <c r="A850" i="20"/>
  <c r="A849" i="20"/>
  <c r="A848" i="20"/>
  <c r="A847" i="20"/>
  <c r="A846" i="20"/>
  <c r="A845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A523" i="20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C235" i="16" a="1"/>
  <c r="C235" i="16" s="1"/>
  <c r="C234" i="16" a="1"/>
  <c r="C234" i="16" s="1"/>
  <c r="C233" i="16" a="1"/>
  <c r="C233" i="16" s="1"/>
  <c r="C232" i="16" a="1"/>
  <c r="C232" i="16" s="1"/>
  <c r="C231" i="16" a="1"/>
  <c r="C231" i="16" s="1"/>
  <c r="C230" i="16" a="1"/>
  <c r="C230" i="16" s="1"/>
  <c r="C229" i="16" a="1"/>
  <c r="C229" i="16" s="1"/>
  <c r="C228" i="16" a="1"/>
  <c r="C228" i="16" s="1"/>
  <c r="C227" i="16" a="1"/>
  <c r="C227" i="16" s="1"/>
  <c r="C226" i="16" a="1"/>
  <c r="C226" i="16" s="1"/>
  <c r="C225" i="16" a="1"/>
  <c r="C225" i="16" s="1"/>
  <c r="C224" i="16" a="1"/>
  <c r="C224" i="16" s="1"/>
  <c r="C223" i="16" a="1"/>
  <c r="C223" i="16" s="1"/>
  <c r="C222" i="16" a="1"/>
  <c r="C222" i="16" s="1"/>
  <c r="C221" i="16" a="1"/>
  <c r="C221" i="16" s="1"/>
  <c r="C220" i="16" a="1"/>
  <c r="C220" i="16" s="1"/>
  <c r="C219" i="16" a="1"/>
  <c r="C219" i="16" s="1"/>
  <c r="C218" i="16" a="1"/>
  <c r="C218" i="16" s="1"/>
  <c r="C217" i="16" a="1"/>
  <c r="C217" i="16" s="1"/>
  <c r="C216" i="16" a="1"/>
  <c r="C216" i="16" s="1"/>
  <c r="C215" i="16" a="1"/>
  <c r="C215" i="16" s="1"/>
  <c r="C214" i="16" a="1"/>
  <c r="C214" i="16" s="1"/>
  <c r="C213" i="16" a="1"/>
  <c r="C213" i="16" s="1"/>
  <c r="C212" i="16" a="1"/>
  <c r="C212" i="16" s="1"/>
  <c r="C211" i="16" a="1"/>
  <c r="C211" i="16" s="1"/>
  <c r="C210" i="16" a="1"/>
  <c r="C210" i="16" s="1"/>
  <c r="C209" i="16" a="1"/>
  <c r="C209" i="16" s="1"/>
  <c r="C208" i="16" a="1"/>
  <c r="C208" i="16" s="1"/>
  <c r="C207" i="16" a="1"/>
  <c r="C207" i="16" s="1"/>
  <c r="C206" i="16" a="1"/>
  <c r="C206" i="16" s="1"/>
  <c r="C205" i="16" a="1"/>
  <c r="C205" i="16" s="1"/>
  <c r="C204" i="16" a="1"/>
  <c r="C204" i="16" s="1"/>
  <c r="C203" i="16" a="1"/>
  <c r="C203" i="16" s="1"/>
  <c r="C202" i="16" a="1"/>
  <c r="C202" i="16" s="1"/>
  <c r="C201" i="16" a="1"/>
  <c r="C201" i="16" s="1"/>
  <c r="C200" i="16" a="1"/>
  <c r="C200" i="16" s="1"/>
  <c r="C199" i="16" a="1"/>
  <c r="C199" i="16" s="1"/>
  <c r="C198" i="16" a="1"/>
  <c r="C198" i="16" s="1"/>
  <c r="C197" i="16" a="1"/>
  <c r="C197" i="16" s="1"/>
  <c r="C196" i="16" a="1"/>
  <c r="C196" i="16" s="1"/>
  <c r="C195" i="16" a="1"/>
  <c r="C195" i="16" s="1"/>
  <c r="C194" i="16" a="1"/>
  <c r="C194" i="16" s="1"/>
  <c r="C193" i="16" a="1"/>
  <c r="C193" i="16" s="1"/>
  <c r="C192" i="16" a="1"/>
  <c r="C192" i="16" s="1"/>
  <c r="C191" i="16" a="1"/>
  <c r="C191" i="16" s="1"/>
  <c r="C190" i="16" a="1"/>
  <c r="C190" i="16" s="1"/>
  <c r="C189" i="16" a="1"/>
  <c r="C189" i="16" s="1"/>
  <c r="C188" i="16" a="1"/>
  <c r="C188" i="16" s="1"/>
  <c r="C187" i="16" a="1"/>
  <c r="C187" i="16" s="1"/>
  <c r="C186" i="16" a="1"/>
  <c r="C186" i="16" s="1"/>
  <c r="C185" i="16" a="1"/>
  <c r="C185" i="16" s="1"/>
  <c r="C184" i="16" a="1"/>
  <c r="C184" i="16" s="1"/>
  <c r="C183" i="16" a="1"/>
  <c r="C183" i="16" s="1"/>
  <c r="C182" i="16" a="1"/>
  <c r="C182" i="16" s="1"/>
  <c r="C181" i="16" a="1"/>
  <c r="C181" i="16" s="1"/>
  <c r="C180" i="16" a="1"/>
  <c r="C180" i="16" s="1"/>
  <c r="C179" i="16" a="1"/>
  <c r="C179" i="16" s="1"/>
  <c r="C178" i="16" a="1"/>
  <c r="C178" i="16" s="1"/>
  <c r="C177" i="16" a="1"/>
  <c r="C177" i="16" s="1"/>
  <c r="C176" i="16" a="1"/>
  <c r="C176" i="16" s="1"/>
  <c r="C175" i="16" a="1"/>
  <c r="C175" i="16" s="1"/>
  <c r="C174" i="16" a="1"/>
  <c r="C174" i="16" s="1"/>
  <c r="C173" i="16" a="1"/>
  <c r="C173" i="16" s="1"/>
  <c r="C172" i="16" a="1"/>
  <c r="C172" i="16" s="1"/>
  <c r="C171" i="16" a="1"/>
  <c r="C171" i="16" s="1"/>
  <c r="C170" i="16" a="1"/>
  <c r="C170" i="16" s="1"/>
  <c r="C169" i="16" a="1"/>
  <c r="C169" i="16" s="1"/>
  <c r="C168" i="16" a="1"/>
  <c r="C168" i="16" s="1"/>
  <c r="C167" i="16" a="1"/>
  <c r="C167" i="16" s="1"/>
  <c r="C166" i="16" a="1"/>
  <c r="C166" i="16" s="1"/>
  <c r="C165" i="16" a="1"/>
  <c r="C165" i="16" s="1"/>
  <c r="C164" i="16" a="1"/>
  <c r="C164" i="16" s="1"/>
  <c r="C163" i="16" a="1"/>
  <c r="C163" i="16" s="1"/>
  <c r="C162" i="16" a="1"/>
  <c r="C162" i="16" s="1"/>
  <c r="C161" i="16" a="1"/>
  <c r="C161" i="16" s="1"/>
  <c r="C160" i="16" a="1"/>
  <c r="C160" i="16" s="1"/>
  <c r="C159" i="16" a="1"/>
  <c r="C159" i="16" s="1"/>
  <c r="C158" i="16" a="1"/>
  <c r="C158" i="16" s="1"/>
  <c r="C157" i="16" a="1"/>
  <c r="C157" i="16" s="1"/>
  <c r="C156" i="16" a="1"/>
  <c r="C156" i="16" s="1"/>
  <c r="C155" i="16" a="1"/>
  <c r="C155" i="16" s="1"/>
  <c r="C154" i="16" a="1"/>
  <c r="C154" i="16" s="1"/>
  <c r="C153" i="16" a="1"/>
  <c r="C153" i="16" s="1"/>
  <c r="C152" i="16" a="1"/>
  <c r="C152" i="16" s="1"/>
  <c r="C151" i="16" a="1"/>
  <c r="C151" i="16" s="1"/>
  <c r="C150" i="16" a="1"/>
  <c r="C150" i="16" s="1"/>
  <c r="C149" i="16" a="1"/>
  <c r="C149" i="16" s="1"/>
  <c r="C148" i="16" a="1"/>
  <c r="C148" i="16" s="1"/>
  <c r="C147" i="16" a="1"/>
  <c r="C147" i="16" s="1"/>
  <c r="C146" i="16" a="1"/>
  <c r="C146" i="16" s="1"/>
  <c r="C145" i="16" a="1"/>
  <c r="C145" i="16" s="1"/>
  <c r="C144" i="16" a="1"/>
  <c r="C144" i="16" s="1"/>
  <c r="C143" i="16" a="1"/>
  <c r="C143" i="16" s="1"/>
  <c r="C142" i="16" a="1"/>
  <c r="C142" i="16" s="1"/>
  <c r="C141" i="16" a="1"/>
  <c r="C141" i="16" s="1"/>
  <c r="C140" i="16" a="1"/>
  <c r="C140" i="16" s="1"/>
  <c r="C139" i="16" a="1"/>
  <c r="C139" i="16" s="1"/>
  <c r="C138" i="16" a="1"/>
  <c r="C138" i="16" s="1"/>
  <c r="C137" i="16" a="1"/>
  <c r="C137" i="16" s="1"/>
  <c r="C136" i="16" a="1"/>
  <c r="C136" i="16" s="1"/>
  <c r="C135" i="16" a="1"/>
  <c r="C135" i="16" s="1"/>
  <c r="C134" i="16" a="1"/>
  <c r="C134" i="16" s="1"/>
  <c r="C133" i="16" a="1"/>
  <c r="C133" i="16" s="1"/>
  <c r="C132" i="16" a="1"/>
  <c r="C132" i="16" s="1"/>
  <c r="C131" i="16" a="1"/>
  <c r="C131" i="16" s="1"/>
  <c r="C130" i="16" a="1"/>
  <c r="C130" i="16" s="1"/>
  <c r="C129" i="16" a="1"/>
  <c r="C129" i="16" s="1"/>
  <c r="C128" i="16" a="1"/>
  <c r="C128" i="16" s="1"/>
  <c r="C127" i="16" a="1"/>
  <c r="C127" i="16" s="1"/>
  <c r="C126" i="16" a="1"/>
  <c r="C126" i="16" s="1"/>
  <c r="C125" i="16" a="1"/>
  <c r="C125" i="16" s="1"/>
  <c r="C124" i="16" a="1"/>
  <c r="C124" i="16" s="1"/>
  <c r="C123" i="16" a="1"/>
  <c r="C123" i="16" s="1"/>
  <c r="C122" i="16" a="1"/>
  <c r="C122" i="16" s="1"/>
  <c r="C121" i="16" a="1"/>
  <c r="C121" i="16" s="1"/>
  <c r="C120" i="16" a="1"/>
  <c r="C120" i="16" s="1"/>
  <c r="C119" i="16" a="1"/>
  <c r="C119" i="16" s="1"/>
  <c r="C118" i="16" a="1"/>
  <c r="C118" i="16" s="1"/>
  <c r="C117" i="16" a="1"/>
  <c r="C117" i="16" s="1"/>
  <c r="C116" i="16" a="1"/>
  <c r="C116" i="16" s="1"/>
  <c r="C115" i="16" a="1"/>
  <c r="C115" i="16" s="1"/>
  <c r="C114" i="16" a="1"/>
  <c r="C114" i="16" s="1"/>
  <c r="C113" i="16" a="1"/>
  <c r="C113" i="16" s="1"/>
  <c r="C112" i="16" a="1"/>
  <c r="C112" i="16" s="1"/>
  <c r="C111" i="16" a="1"/>
  <c r="C111" i="16" s="1"/>
  <c r="C110" i="16" a="1"/>
  <c r="C110" i="16" s="1"/>
  <c r="C109" i="16" a="1"/>
  <c r="C109" i="16" s="1"/>
  <c r="C108" i="16" a="1"/>
  <c r="C108" i="16" s="1"/>
  <c r="C107" i="16" a="1"/>
  <c r="C107" i="16" s="1"/>
  <c r="C106" i="16" a="1"/>
  <c r="C106" i="16" s="1"/>
  <c r="C105" i="16" a="1"/>
  <c r="C105" i="16" s="1"/>
  <c r="C104" i="16" a="1"/>
  <c r="C104" i="16" s="1"/>
  <c r="C103" i="16" a="1"/>
  <c r="C103" i="16" s="1"/>
  <c r="C102" i="16" a="1"/>
  <c r="C102" i="16" s="1"/>
  <c r="C101" i="16" a="1"/>
  <c r="C101" i="16" s="1"/>
  <c r="C100" i="16" a="1"/>
  <c r="C100" i="16" s="1"/>
  <c r="C99" i="16" a="1"/>
  <c r="C99" i="16" s="1"/>
  <c r="C98" i="16" a="1"/>
  <c r="C98" i="16" s="1"/>
  <c r="C97" i="16" a="1"/>
  <c r="C97" i="16" s="1"/>
  <c r="C96" i="16" a="1"/>
  <c r="C96" i="16" s="1"/>
  <c r="C95" i="16" a="1"/>
  <c r="C95" i="16" s="1"/>
  <c r="C94" i="16" a="1"/>
  <c r="C94" i="16" s="1"/>
  <c r="C93" i="16" a="1"/>
  <c r="C93" i="16" s="1"/>
  <c r="C92" i="16" a="1"/>
  <c r="C92" i="16" s="1"/>
  <c r="C91" i="16" a="1"/>
  <c r="C91" i="16" s="1"/>
  <c r="C90" i="16" a="1"/>
  <c r="C90" i="16" s="1"/>
  <c r="C89" i="16" a="1"/>
  <c r="C89" i="16" s="1"/>
  <c r="C88" i="16" a="1"/>
  <c r="C88" i="16" s="1"/>
  <c r="C87" i="16" a="1"/>
  <c r="C87" i="16" s="1"/>
  <c r="C86" i="16" a="1"/>
  <c r="C86" i="16" s="1"/>
  <c r="C85" i="16" a="1"/>
  <c r="C85" i="16" s="1"/>
  <c r="C84" i="16" a="1"/>
  <c r="C84" i="16" s="1"/>
  <c r="C83" i="16" a="1"/>
  <c r="C83" i="16" s="1"/>
  <c r="C82" i="16" a="1"/>
  <c r="C82" i="16" s="1"/>
  <c r="C81" i="16" a="1"/>
  <c r="C81" i="16" s="1"/>
  <c r="C80" i="16" a="1"/>
  <c r="C80" i="16" s="1"/>
  <c r="C79" i="16" a="1"/>
  <c r="C79" i="16" s="1"/>
  <c r="C78" i="16" a="1"/>
  <c r="C78" i="16" s="1"/>
  <c r="C77" i="16" a="1"/>
  <c r="C77" i="16" s="1"/>
  <c r="C76" i="16" a="1"/>
  <c r="C76" i="16" s="1"/>
  <c r="C75" i="16" a="1"/>
  <c r="C75" i="16" s="1"/>
  <c r="C74" i="16" a="1"/>
  <c r="C74" i="16" s="1"/>
  <c r="C73" i="16" a="1"/>
  <c r="C73" i="16" s="1"/>
  <c r="C72" i="16" a="1"/>
  <c r="C72" i="16" s="1"/>
  <c r="C71" i="16" a="1"/>
  <c r="C71" i="16" s="1"/>
  <c r="C70" i="16" a="1"/>
  <c r="C70" i="16" s="1"/>
  <c r="C69" i="16" a="1"/>
  <c r="C69" i="16" s="1"/>
  <c r="C68" i="16" a="1"/>
  <c r="C68" i="16" s="1"/>
  <c r="C67" i="16" a="1"/>
  <c r="C67" i="16" s="1"/>
  <c r="C66" i="16" a="1"/>
  <c r="C66" i="16" s="1"/>
  <c r="C65" i="16" a="1"/>
  <c r="C65" i="16" s="1"/>
  <c r="C64" i="16" a="1"/>
  <c r="C64" i="16" s="1"/>
  <c r="C63" i="16" a="1"/>
  <c r="C63" i="16" s="1"/>
  <c r="C62" i="16" a="1"/>
  <c r="C62" i="16" s="1"/>
  <c r="C61" i="16" a="1"/>
  <c r="C61" i="16" s="1"/>
  <c r="C60" i="16" a="1"/>
  <c r="C60" i="16" s="1"/>
  <c r="C59" i="16" a="1"/>
  <c r="C59" i="16" s="1"/>
  <c r="C58" i="16" a="1"/>
  <c r="C58" i="16" s="1"/>
  <c r="C57" i="16" a="1"/>
  <c r="C57" i="16" s="1"/>
  <c r="C56" i="16" a="1"/>
  <c r="C56" i="16" s="1"/>
  <c r="C55" i="16" a="1"/>
  <c r="C55" i="16" s="1"/>
  <c r="C54" i="16" a="1"/>
  <c r="C54" i="16" s="1"/>
  <c r="C53" i="16" a="1"/>
  <c r="C53" i="16" s="1"/>
  <c r="C52" i="16" a="1"/>
  <c r="C52" i="16" s="1"/>
  <c r="C51" i="16" a="1"/>
  <c r="C51" i="16" s="1"/>
  <c r="C50" i="16" a="1"/>
  <c r="C50" i="16" s="1"/>
  <c r="C49" i="16" a="1"/>
  <c r="C49" i="16" s="1"/>
  <c r="C48" i="16" a="1"/>
  <c r="C48" i="16" s="1"/>
  <c r="C47" i="16" a="1"/>
  <c r="C47" i="16" s="1"/>
  <c r="C46" i="16" a="1"/>
  <c r="C46" i="16" s="1"/>
  <c r="C45" i="16" a="1"/>
  <c r="C45" i="16" s="1"/>
  <c r="C44" i="16" a="1"/>
  <c r="C44" i="16" s="1"/>
  <c r="C43" i="16" a="1"/>
  <c r="C43" i="16" s="1"/>
  <c r="C42" i="16" a="1"/>
  <c r="C42" i="16" s="1"/>
  <c r="C41" i="16" a="1"/>
  <c r="C41" i="16" s="1"/>
  <c r="C40" i="16" a="1"/>
  <c r="C40" i="16" s="1"/>
  <c r="C39" i="16" a="1"/>
  <c r="C39" i="16" s="1"/>
  <c r="C38" i="16" a="1"/>
  <c r="C38" i="16" s="1"/>
  <c r="C37" i="16" a="1"/>
  <c r="C37" i="16" s="1"/>
  <c r="C36" i="16" a="1"/>
  <c r="C36" i="16" s="1"/>
  <c r="C35" i="16" a="1"/>
  <c r="C35" i="16" s="1"/>
  <c r="C34" i="16" a="1"/>
  <c r="C34" i="16" s="1"/>
  <c r="C33" i="16" a="1"/>
  <c r="C33" i="16" s="1"/>
  <c r="C32" i="16" a="1"/>
  <c r="C32" i="16" s="1"/>
  <c r="C31" i="16" a="1"/>
  <c r="C31" i="16" s="1"/>
  <c r="C30" i="16" a="1"/>
  <c r="C30" i="16" s="1"/>
  <c r="C29" i="16" a="1"/>
  <c r="C29" i="16" s="1"/>
  <c r="C28" i="16" a="1"/>
  <c r="C28" i="16" s="1"/>
  <c r="C27" i="16" a="1"/>
  <c r="C27" i="16" s="1"/>
  <c r="C26" i="16" a="1"/>
  <c r="C26" i="16" s="1"/>
  <c r="C25" i="16" a="1"/>
  <c r="C25" i="16" s="1"/>
  <c r="C24" i="16" a="1"/>
  <c r="C24" i="16" s="1"/>
  <c r="C23" i="16" a="1"/>
  <c r="C23" i="16" s="1"/>
  <c r="C22" i="16" a="1"/>
  <c r="C22" i="16" s="1"/>
  <c r="C21" i="16" a="1"/>
  <c r="C21" i="16" s="1"/>
  <c r="C20" i="16" a="1"/>
  <c r="C20" i="16" s="1"/>
  <c r="C19" i="16" a="1"/>
  <c r="C19" i="16" s="1"/>
  <c r="C18" i="16" a="1"/>
  <c r="C18" i="16" s="1"/>
  <c r="C17" i="16" a="1"/>
  <c r="C17" i="16" s="1"/>
  <c r="C16" i="16" a="1"/>
  <c r="C16" i="16" s="1"/>
  <c r="C15" i="16" a="1"/>
  <c r="C15" i="16" s="1"/>
  <c r="C14" i="16" a="1"/>
  <c r="C14" i="16" s="1"/>
  <c r="C13" i="16" a="1"/>
  <c r="C13" i="16" s="1"/>
  <c r="C12" i="16" a="1"/>
  <c r="C12" i="16" s="1"/>
  <c r="C11" i="16" a="1"/>
  <c r="C11" i="16" s="1"/>
  <c r="C10" i="16" a="1"/>
  <c r="C10" i="16" s="1"/>
  <c r="C9" i="16" a="1"/>
  <c r="C9" i="16" s="1"/>
  <c r="C8" i="16" a="1"/>
  <c r="C8" i="16" s="1"/>
  <c r="C7" i="16" a="1"/>
  <c r="C7" i="16" s="1"/>
  <c r="C6" i="16" a="1"/>
  <c r="C6" i="16" s="1"/>
  <c r="C5" i="16" a="1"/>
  <c r="C5" i="16" s="1"/>
  <c r="C4" i="16" a="1"/>
  <c r="C4" i="16" s="1"/>
  <c r="C3" i="16" a="1"/>
  <c r="C3" i="16" s="1"/>
  <c r="C2" i="16" a="1"/>
  <c r="C2" i="16" s="1"/>
  <c r="E190" i="12" a="1"/>
  <c r="E190" i="12" s="1"/>
  <c r="E189" i="12" a="1"/>
  <c r="E189" i="12" s="1"/>
  <c r="E188" i="12" a="1"/>
  <c r="E188" i="12" s="1"/>
  <c r="E187" i="12" a="1"/>
  <c r="E187" i="12" s="1"/>
  <c r="E186" i="12" a="1"/>
  <c r="E186" i="12" s="1"/>
  <c r="E185" i="12" a="1"/>
  <c r="E185" i="12" s="1"/>
  <c r="E184" i="12" a="1"/>
  <c r="E184" i="12" s="1"/>
  <c r="E182" i="12" a="1"/>
  <c r="E182" i="12" s="1"/>
  <c r="E181" i="12" a="1"/>
  <c r="E181" i="12" s="1"/>
  <c r="E179" i="12" a="1"/>
  <c r="E179" i="12" s="1"/>
  <c r="E178" i="12" a="1"/>
  <c r="E178" i="12" s="1"/>
  <c r="E177" i="12" a="1"/>
  <c r="E177" i="12" s="1"/>
  <c r="E176" i="12" a="1"/>
  <c r="E176" i="12" s="1"/>
  <c r="E175" i="12" a="1"/>
  <c r="E175" i="12" s="1"/>
  <c r="E174" i="12" a="1"/>
  <c r="E174" i="12" s="1"/>
  <c r="E173" i="12" a="1"/>
  <c r="E173" i="12" s="1"/>
  <c r="E172" i="12" a="1"/>
  <c r="E172" i="12" s="1"/>
  <c r="E171" i="12" a="1"/>
  <c r="E171" i="12" s="1"/>
  <c r="E170" i="12" a="1"/>
  <c r="E170" i="12" s="1"/>
  <c r="E169" i="12" a="1"/>
  <c r="E169" i="12" s="1"/>
  <c r="E168" i="12" a="1"/>
  <c r="E168" i="12" s="1"/>
  <c r="E167" i="12" a="1"/>
  <c r="E167" i="12" s="1"/>
  <c r="E166" i="12" a="1"/>
  <c r="E166" i="12" s="1"/>
  <c r="E164" i="12" a="1"/>
  <c r="E164" i="12" s="1"/>
  <c r="E161" i="12" a="1"/>
  <c r="E161" i="12" s="1"/>
  <c r="E159" i="12" a="1"/>
  <c r="E159" i="12" s="1"/>
  <c r="E158" i="12" a="1"/>
  <c r="E158" i="12" s="1"/>
  <c r="E157" i="12" a="1"/>
  <c r="E157" i="12" s="1"/>
  <c r="E156" i="12" a="1"/>
  <c r="E156" i="12" s="1"/>
  <c r="E155" i="12" a="1"/>
  <c r="E155" i="12" s="1"/>
  <c r="E154" i="12" a="1"/>
  <c r="E154" i="12" s="1"/>
  <c r="E153" i="12" a="1"/>
  <c r="E153" i="12" s="1"/>
  <c r="E152" i="12" a="1"/>
  <c r="E152" i="12" s="1"/>
  <c r="E151" i="12" a="1"/>
  <c r="E151" i="12" s="1"/>
  <c r="E150" i="12" a="1"/>
  <c r="E150" i="12" s="1"/>
  <c r="E149" i="12" a="1"/>
  <c r="E149" i="12" s="1"/>
  <c r="E148" i="12" a="1"/>
  <c r="E148" i="12" s="1"/>
  <c r="E147" i="12" a="1"/>
  <c r="E147" i="12" s="1"/>
  <c r="E146" i="12" a="1"/>
  <c r="E146" i="12" s="1"/>
  <c r="E145" i="12" a="1"/>
  <c r="E145" i="12" s="1"/>
  <c r="E144" i="12" a="1"/>
  <c r="E144" i="12" s="1"/>
  <c r="E143" i="12" a="1"/>
  <c r="E143" i="12" s="1"/>
  <c r="E142" i="12" a="1"/>
  <c r="E142" i="12" s="1"/>
  <c r="E141" i="12" a="1"/>
  <c r="E141" i="12" s="1"/>
  <c r="E140" i="12" a="1"/>
  <c r="E140" i="12" s="1"/>
  <c r="E139" i="12" a="1"/>
  <c r="E139" i="12" s="1"/>
  <c r="E138" i="12" a="1"/>
  <c r="E138" i="12" s="1"/>
  <c r="E137" i="12" a="1"/>
  <c r="E137" i="12" s="1"/>
  <c r="E136" i="12" a="1"/>
  <c r="E136" i="12" s="1"/>
  <c r="E135" i="12" a="1"/>
  <c r="E135" i="12" s="1"/>
  <c r="E134" i="12" a="1"/>
  <c r="E134" i="12" s="1"/>
  <c r="E133" i="12" a="1"/>
  <c r="E133" i="12" s="1"/>
  <c r="E132" i="12" a="1"/>
  <c r="E132" i="12" s="1"/>
  <c r="E131" i="12" a="1"/>
  <c r="E131" i="12" s="1"/>
  <c r="E130" i="12" a="1"/>
  <c r="E130" i="12" s="1"/>
  <c r="E129" i="12" a="1"/>
  <c r="E129" i="12" s="1"/>
  <c r="E128" i="12" a="1"/>
  <c r="E128" i="12" s="1"/>
  <c r="E127" i="12" a="1"/>
  <c r="E127" i="12" s="1"/>
  <c r="E126" i="12" a="1"/>
  <c r="E126" i="12" s="1"/>
  <c r="E125" i="12" a="1"/>
  <c r="E125" i="12" s="1"/>
  <c r="E124" i="12" a="1"/>
  <c r="E124" i="12" s="1"/>
  <c r="E123" i="12" a="1"/>
  <c r="E123" i="12" s="1"/>
  <c r="E122" i="12" a="1"/>
  <c r="E122" i="12" s="1"/>
  <c r="E121" i="12" a="1"/>
  <c r="E121" i="12" s="1"/>
  <c r="E120" i="12" a="1"/>
  <c r="E120" i="12" s="1"/>
  <c r="E119" i="12" a="1"/>
  <c r="E119" i="12" s="1"/>
  <c r="E118" i="12" a="1"/>
  <c r="E118" i="12" s="1"/>
  <c r="E117" i="12" a="1"/>
  <c r="E117" i="12" s="1"/>
  <c r="E116" i="12" a="1"/>
  <c r="E116" i="12" s="1"/>
  <c r="E115" i="12" a="1"/>
  <c r="E115" i="12" s="1"/>
  <c r="E114" i="12" a="1"/>
  <c r="E114" i="12" s="1"/>
  <c r="E113" i="12" a="1"/>
  <c r="E113" i="12" s="1"/>
  <c r="E112" i="12" a="1"/>
  <c r="E112" i="12" s="1"/>
  <c r="E111" i="12" a="1"/>
  <c r="E111" i="12" s="1"/>
  <c r="E110" i="12" a="1"/>
  <c r="E110" i="12" s="1"/>
  <c r="E109" i="12" a="1"/>
  <c r="E109" i="12" s="1"/>
  <c r="E108" i="12" a="1"/>
  <c r="E108" i="12" s="1"/>
  <c r="E107" i="12" a="1"/>
  <c r="E107" i="12" s="1"/>
  <c r="E106" i="12" a="1"/>
  <c r="E106" i="12" s="1"/>
  <c r="E105" i="12" a="1"/>
  <c r="E105" i="12" s="1"/>
  <c r="E104" i="12" a="1"/>
  <c r="E104" i="12" s="1"/>
  <c r="E103" i="12" a="1"/>
  <c r="E103" i="12" s="1"/>
  <c r="E102" i="12" a="1"/>
  <c r="E102" i="12" s="1"/>
  <c r="E101" i="12" a="1"/>
  <c r="E101" i="12" s="1"/>
  <c r="E100" i="12" a="1"/>
  <c r="E100" i="12" s="1"/>
  <c r="E99" i="12" a="1"/>
  <c r="E99" i="12" s="1"/>
  <c r="E98" i="12" a="1"/>
  <c r="E98" i="12" s="1"/>
  <c r="E97" i="12" a="1"/>
  <c r="E97" i="12" s="1"/>
  <c r="E96" i="12" a="1"/>
  <c r="E96" i="12" s="1"/>
  <c r="E95" i="12" a="1"/>
  <c r="E95" i="12" s="1"/>
  <c r="E94" i="12" a="1"/>
  <c r="E94" i="12" s="1"/>
  <c r="E93" i="12" a="1"/>
  <c r="E93" i="12" s="1"/>
  <c r="E92" i="12" a="1"/>
  <c r="E92" i="12" s="1"/>
  <c r="E91" i="12" a="1"/>
  <c r="E91" i="12" s="1"/>
  <c r="E89" i="12" a="1"/>
  <c r="E89" i="12" s="1"/>
  <c r="E79" i="12" a="1"/>
  <c r="E79" i="12" s="1"/>
  <c r="E78" i="12" a="1"/>
  <c r="E78" i="12" s="1"/>
  <c r="E77" i="12" a="1"/>
  <c r="E77" i="12" s="1"/>
  <c r="E76" i="12" a="1"/>
  <c r="E76" i="12" s="1"/>
  <c r="E75" i="12" a="1"/>
  <c r="E75" i="12" s="1"/>
  <c r="E74" i="12" a="1"/>
  <c r="E74" i="12" s="1"/>
  <c r="E73" i="12" a="1"/>
  <c r="E73" i="12" s="1"/>
  <c r="E72" i="12" a="1"/>
  <c r="E72" i="12" s="1"/>
  <c r="E71" i="12" a="1"/>
  <c r="E71" i="12" s="1"/>
  <c r="E70" i="12" a="1"/>
  <c r="E70" i="12" s="1"/>
  <c r="E69" i="12" a="1"/>
  <c r="E69" i="12" s="1"/>
  <c r="E68" i="12" a="1"/>
  <c r="E68" i="12" s="1"/>
  <c r="E67" i="12" a="1"/>
  <c r="E67" i="12" s="1"/>
  <c r="E66" i="12" a="1"/>
  <c r="E66" i="12" s="1"/>
  <c r="E65" i="12" a="1"/>
  <c r="E65" i="12" s="1"/>
  <c r="E64" i="12" a="1"/>
  <c r="E64" i="12" s="1"/>
  <c r="E63" i="12" a="1"/>
  <c r="E63" i="12" s="1"/>
  <c r="E62" i="12" a="1"/>
  <c r="E62" i="12" s="1"/>
  <c r="E60" i="12" a="1"/>
  <c r="E60" i="12" s="1"/>
  <c r="E59" i="12" a="1"/>
  <c r="E59" i="12" s="1"/>
  <c r="E58" i="12" a="1"/>
  <c r="E58" i="12" s="1"/>
  <c r="E57" i="12" a="1"/>
  <c r="E57" i="12" s="1"/>
  <c r="E56" i="12" a="1"/>
  <c r="E56" i="12" s="1"/>
  <c r="E55" i="12" a="1"/>
  <c r="E55" i="12" s="1"/>
  <c r="E54" i="12" a="1"/>
  <c r="E54" i="12" s="1"/>
  <c r="E53" i="12" a="1"/>
  <c r="E53" i="12" s="1"/>
  <c r="E52" i="12" a="1"/>
  <c r="E52" i="12" s="1"/>
  <c r="E51" i="12" a="1"/>
  <c r="E51" i="12" s="1"/>
  <c r="E50" i="12" a="1"/>
  <c r="E50" i="12" s="1"/>
  <c r="E49" i="12" a="1"/>
  <c r="E49" i="12" s="1"/>
  <c r="E48" i="12" a="1"/>
  <c r="E48" i="12" s="1"/>
  <c r="E47" i="12" a="1"/>
  <c r="E47" i="12" s="1"/>
  <c r="E46" i="12" a="1"/>
  <c r="E46" i="12" s="1"/>
  <c r="E45" i="12" a="1"/>
  <c r="E45" i="12" s="1"/>
  <c r="E44" i="12" a="1"/>
  <c r="E44" i="12" s="1"/>
  <c r="E43" i="12" a="1"/>
  <c r="E43" i="12" s="1"/>
  <c r="E42" i="12" a="1"/>
  <c r="E42" i="12" s="1"/>
  <c r="E41" i="12" a="1"/>
  <c r="E41" i="12" s="1"/>
  <c r="E40" i="12" a="1"/>
  <c r="E40" i="12" s="1"/>
  <c r="E39" i="12" a="1"/>
  <c r="E39" i="12" s="1"/>
  <c r="E38" i="12" a="1"/>
  <c r="E38" i="12" s="1"/>
  <c r="E37" i="12" a="1"/>
  <c r="E37" i="12" s="1"/>
  <c r="E36" i="12" a="1"/>
  <c r="E36" i="12" s="1"/>
  <c r="E35" i="12" a="1"/>
  <c r="E35" i="12" s="1"/>
  <c r="E34" i="12" a="1"/>
  <c r="E34" i="12" s="1"/>
  <c r="E33" i="12" a="1"/>
  <c r="E33" i="12" s="1"/>
  <c r="E32" i="12" a="1"/>
  <c r="E32" i="12" s="1"/>
  <c r="E31" i="12" a="1"/>
  <c r="E31" i="12" s="1"/>
  <c r="E30" i="12" a="1"/>
  <c r="E30" i="12" s="1"/>
  <c r="E29" i="12" a="1"/>
  <c r="E29" i="12" s="1"/>
  <c r="E28" i="12" a="1"/>
  <c r="E28" i="12" s="1"/>
  <c r="E27" i="12" a="1"/>
  <c r="E27" i="12" s="1"/>
  <c r="E26" i="12" a="1"/>
  <c r="E26" i="12" s="1"/>
  <c r="E25" i="12" a="1"/>
  <c r="E25" i="12" s="1"/>
  <c r="E24" i="12" a="1"/>
  <c r="E24" i="12" s="1"/>
  <c r="E23" i="12" a="1"/>
  <c r="E23" i="12" s="1"/>
  <c r="E22" i="12" a="1"/>
  <c r="E22" i="12" s="1"/>
  <c r="E21" i="12" a="1"/>
  <c r="E21" i="12" s="1"/>
  <c r="E20" i="12" a="1"/>
  <c r="E20" i="12" s="1"/>
  <c r="E19" i="12" a="1"/>
  <c r="E19" i="12" s="1"/>
  <c r="E18" i="12" a="1"/>
  <c r="E18" i="12" s="1"/>
  <c r="E17" i="12" a="1"/>
  <c r="E17" i="12" s="1"/>
  <c r="E16" i="12" a="1"/>
  <c r="E16" i="12" s="1"/>
  <c r="E15" i="12" a="1"/>
  <c r="E15" i="12" s="1"/>
  <c r="E14" i="12" a="1"/>
  <c r="E14" i="12" s="1"/>
  <c r="E13" i="12" a="1"/>
  <c r="E13" i="12" s="1"/>
  <c r="E12" i="12" a="1"/>
  <c r="E12" i="12" s="1"/>
  <c r="E11" i="12" a="1"/>
  <c r="E11" i="12" s="1"/>
  <c r="E10" i="12" a="1"/>
  <c r="E10" i="12" s="1"/>
  <c r="E9" i="12" a="1"/>
  <c r="E9" i="12" s="1"/>
  <c r="E8" i="12" a="1"/>
  <c r="E8" i="12" s="1"/>
  <c r="E7" i="12" a="1"/>
  <c r="E7" i="12" s="1"/>
  <c r="E6" i="12" a="1"/>
  <c r="E6" i="12" s="1"/>
  <c r="E5" i="12" a="1"/>
  <c r="E5" i="12" s="1"/>
  <c r="E4" i="12" a="1"/>
  <c r="E4" i="12" s="1"/>
  <c r="E3" i="12" a="1"/>
  <c r="E3" i="12" s="1"/>
  <c r="E2" i="12" a="1"/>
  <c r="E2" i="12" s="1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</calcChain>
</file>

<file path=xl/sharedStrings.xml><?xml version="1.0" encoding="utf-8"?>
<sst xmlns="http://schemas.openxmlformats.org/spreadsheetml/2006/main" count="5033" uniqueCount="1779">
  <si>
    <t>No</t>
  </si>
  <si>
    <t>Printer Type</t>
  </si>
  <si>
    <t>Code</t>
  </si>
  <si>
    <t>Serial Number</t>
  </si>
  <si>
    <t>Department</t>
  </si>
  <si>
    <t>Name</t>
  </si>
  <si>
    <t>Condition</t>
  </si>
  <si>
    <t>Picture</t>
  </si>
  <si>
    <t>Image</t>
  </si>
  <si>
    <t>Laptop Type</t>
  </si>
  <si>
    <t>Doc</t>
  </si>
  <si>
    <t>Purchase Date</t>
  </si>
  <si>
    <t>Update</t>
  </si>
  <si>
    <t>Remarks</t>
  </si>
  <si>
    <t>Updated By</t>
  </si>
  <si>
    <t>SIM CARD</t>
  </si>
  <si>
    <t>Note</t>
  </si>
  <si>
    <t>Account/Passwd</t>
  </si>
  <si>
    <t>Epson L4260</t>
  </si>
  <si>
    <t>002-B/V/2023</t>
  </si>
  <si>
    <t>Date</t>
  </si>
  <si>
    <t>X8SS013782</t>
  </si>
  <si>
    <t>HR</t>
  </si>
  <si>
    <t>HEAD OFFICE</t>
  </si>
  <si>
    <t>962QSL1</t>
  </si>
  <si>
    <t>Iphone 8 - Black</t>
  </si>
  <si>
    <t xml:space="preserve"> HALIM JAKARTA</t>
  </si>
  <si>
    <t>C8QWKWZ6JC67</t>
  </si>
  <si>
    <t>WINARTI</t>
  </si>
  <si>
    <t>PERINTIS</t>
  </si>
  <si>
    <t>MANAGING DIRECTOR</t>
  </si>
  <si>
    <t>003-B/V/2023</t>
  </si>
  <si>
    <t>X8SS013801</t>
  </si>
  <si>
    <t>LEGAL</t>
  </si>
  <si>
    <t>PC (NO-BRAND)</t>
  </si>
  <si>
    <t>TARAKAN</t>
  </si>
  <si>
    <t>HP Laserjet Pro MFP M28w</t>
  </si>
  <si>
    <t>004-B/V/2023</t>
  </si>
  <si>
    <t>VNC2L14863</t>
  </si>
  <si>
    <t>DESKTOP DELL INSPIRON ONE 2310 - i3 - 6GB</t>
  </si>
  <si>
    <t>SA-PND-IT/001/0023</t>
  </si>
  <si>
    <t>SENI JUNIARTI</t>
  </si>
  <si>
    <t>ACCOUNT PAYABLE</t>
  </si>
  <si>
    <t>005-B/V/2023</t>
  </si>
  <si>
    <t>X8SS015684</t>
  </si>
  <si>
    <t>TRAINING</t>
  </si>
  <si>
    <t>-</t>
  </si>
  <si>
    <t>CHARGER</t>
  </si>
  <si>
    <t>Epson L4160</t>
  </si>
  <si>
    <t>006-B/V/2023</t>
  </si>
  <si>
    <t>X4E2041871</t>
  </si>
  <si>
    <t>BANDUNG</t>
  </si>
  <si>
    <t>ID Card Printer Zebra ZXP Series 3</t>
  </si>
  <si>
    <t>ARI NURSANTI</t>
  </si>
  <si>
    <t>Z3J190400662</t>
  </si>
  <si>
    <t>MEDIA</t>
  </si>
  <si>
    <t>TREASURY MANAGER / GA MANAGER</t>
  </si>
  <si>
    <t>006-B/III/2023</t>
  </si>
  <si>
    <t>DIRECTOR</t>
  </si>
  <si>
    <t>007-B/V/2023</t>
  </si>
  <si>
    <t>Z3J185200725</t>
  </si>
  <si>
    <t>RISMA DEWI</t>
  </si>
  <si>
    <t>Ipad 7 2019 - Rose Gold</t>
  </si>
  <si>
    <t>INAN NADYA JUNUS</t>
  </si>
  <si>
    <t>HP Laserjet P1102</t>
  </si>
  <si>
    <t>008-B/V/2023</t>
  </si>
  <si>
    <t>VNF6H48798</t>
  </si>
  <si>
    <t>MARINE</t>
  </si>
  <si>
    <t>CALL CENTER</t>
  </si>
  <si>
    <t>FIA NURALFIANI</t>
  </si>
  <si>
    <t>FINANCE MANAGER</t>
  </si>
  <si>
    <t>FFMZN9JJN1N0</t>
  </si>
  <si>
    <t>HP Laserjet pro mfp M28</t>
  </si>
  <si>
    <t>009-B/V/2023</t>
  </si>
  <si>
    <t>VNC3L14757</t>
  </si>
  <si>
    <t>IT ROOM</t>
  </si>
  <si>
    <t>010-B/V/2023</t>
  </si>
  <si>
    <t>X8SS015133</t>
  </si>
  <si>
    <t>BJB ROOM</t>
  </si>
  <si>
    <t>RMX1941EX</t>
  </si>
  <si>
    <t>VIRGIWAN WIRANDA</t>
  </si>
  <si>
    <t>FLIGHT FOLLOWING</t>
  </si>
  <si>
    <t>DESKTOP LENOVO 10102 - i3 3000 - 4GB</t>
  </si>
  <si>
    <t>SA-PND-IT/001/0108</t>
  </si>
  <si>
    <t>VS80150080</t>
  </si>
  <si>
    <t>011-B/V/2023</t>
  </si>
  <si>
    <t>VNF8M48432</t>
  </si>
  <si>
    <t>TUMINAH</t>
  </si>
  <si>
    <t>012-B/V/2023</t>
  </si>
  <si>
    <t>VNF6H43758</t>
  </si>
  <si>
    <t>Samsung Galaxy A02 Black 3/32</t>
  </si>
  <si>
    <t>RR8RC0AH8QT</t>
  </si>
  <si>
    <t>WATERSPORT</t>
  </si>
  <si>
    <t>Epson L385</t>
  </si>
  <si>
    <t>014-B/V/2023</t>
  </si>
  <si>
    <t>X21K00733</t>
  </si>
  <si>
    <t>Samsung Galaxy A13Black 3/32</t>
  </si>
  <si>
    <t>TATOK WAHYU ENDRIANTO</t>
  </si>
  <si>
    <t>CHIEF INSPECTOR</t>
  </si>
  <si>
    <t>DESKTOP GATEWAY ZX4930 - INTEL PENTIUM - 4GB</t>
  </si>
  <si>
    <t>PWGBE020051150124B3000</t>
  </si>
  <si>
    <t>Epson L360</t>
  </si>
  <si>
    <t>015-B/V/2023</t>
  </si>
  <si>
    <t>X3GW517213</t>
  </si>
  <si>
    <t>BW551X1</t>
  </si>
  <si>
    <t>PAK MAOLIN</t>
  </si>
  <si>
    <t>RISMA ARIF NUGROHO</t>
  </si>
  <si>
    <t>MT FINANCE</t>
  </si>
  <si>
    <t>DESKTOP GATEWAY ZX4930 - Intel Pentium - 6GB</t>
  </si>
  <si>
    <t>SA-PND-IT/001/0070</t>
  </si>
  <si>
    <t>PWGBE02005115012793000</t>
  </si>
  <si>
    <t>SA-BTJ-IT/002/0002</t>
  </si>
  <si>
    <t>X3GW194089</t>
  </si>
  <si>
    <t>EPSON L3210</t>
  </si>
  <si>
    <t>DESKTOP DELL INSPIRON ONE 2310 - i3 - 4GB</t>
  </si>
  <si>
    <t>016-B/V/2023</t>
  </si>
  <si>
    <t>68G33P1</t>
  </si>
  <si>
    <t>XAGK118374</t>
  </si>
  <si>
    <t>BANDARA</t>
  </si>
  <si>
    <t>DEKSTOP LENOVO 10102 - i3 - 8GB</t>
  </si>
  <si>
    <t>Canon IP2770</t>
  </si>
  <si>
    <t>018-B/V/2023</t>
  </si>
  <si>
    <t>KNFR83376</t>
  </si>
  <si>
    <t>SA-PND-IT/001/0037</t>
  </si>
  <si>
    <t>VS80472108</t>
  </si>
  <si>
    <t>CORP SECRETARY</t>
  </si>
  <si>
    <t>TICKETING TARAKAN</t>
  </si>
  <si>
    <t>Brother DCPT310</t>
  </si>
  <si>
    <t>019-B/V/2023</t>
  </si>
  <si>
    <t>E78655G9H674302</t>
  </si>
  <si>
    <t>Printer HP 1102</t>
  </si>
  <si>
    <t>038-B/V/V2023</t>
  </si>
  <si>
    <t>VNC3C20676</t>
  </si>
  <si>
    <t>005-B/VI/2023</t>
  </si>
  <si>
    <t>RR8T406Q9CR</t>
  </si>
  <si>
    <t>ERNANDA PUTRA RAHMATULLAH</t>
  </si>
  <si>
    <t>GENERAL AFFAIR</t>
  </si>
  <si>
    <t>Printer Boarding Pass</t>
  </si>
  <si>
    <t>020-B/V/2023</t>
  </si>
  <si>
    <t>NK6F002499</t>
  </si>
  <si>
    <t>DESKTIOP DELL INSPIRON ONE 2310 - i3 - 3GB</t>
  </si>
  <si>
    <t>HYYX2P1</t>
  </si>
  <si>
    <t>PRINTER CANON MP237</t>
  </si>
  <si>
    <t>SA-MKW-IT/002/0001</t>
  </si>
  <si>
    <t>CN010006121499</t>
  </si>
  <si>
    <t>MANOKWARI</t>
  </si>
  <si>
    <t>PRINTER EPSON L360</t>
  </si>
  <si>
    <t>021-B/V/2023</t>
  </si>
  <si>
    <t>X3GW154660</t>
  </si>
  <si>
    <t>BC TERNATE</t>
  </si>
  <si>
    <t>HUSNI MUBAROK</t>
  </si>
  <si>
    <t>RECEIVING INSPECTOR</t>
  </si>
  <si>
    <t>DESKTOP LENOVO - i3 - 4GB</t>
  </si>
  <si>
    <t>SA-PND-IT/001/0104</t>
  </si>
  <si>
    <t>VS80257632</t>
  </si>
  <si>
    <t>042-B/V/2023</t>
  </si>
  <si>
    <t>J54F015700</t>
  </si>
  <si>
    <t>025-B/VI/2022</t>
  </si>
  <si>
    <t>R9CTA006XCP</t>
  </si>
  <si>
    <t>TICKETING PADANG</t>
  </si>
  <si>
    <t>LOGISTIC</t>
  </si>
  <si>
    <t>ALL OPS ROTE</t>
  </si>
  <si>
    <t>PRINTER EPSON L3210</t>
  </si>
  <si>
    <t>022-B/V/2023</t>
  </si>
  <si>
    <t>X8HT001352</t>
  </si>
  <si>
    <t>ALL OPS SABU</t>
  </si>
  <si>
    <t>PRINTER EPSON M129H</t>
  </si>
  <si>
    <t>023-B/V/2023</t>
  </si>
  <si>
    <t>PRINTER EPSON L3110</t>
  </si>
  <si>
    <t>024-B/V/2023</t>
  </si>
  <si>
    <t>R9CTA025GJX</t>
  </si>
  <si>
    <t>ASTRI WULANDARI</t>
  </si>
  <si>
    <t>SQS</t>
  </si>
  <si>
    <t>DESKTOP GATEWAY - INTEL PENTIUM - 2GB</t>
  </si>
  <si>
    <t>SA-PND-IT/001/0076</t>
  </si>
  <si>
    <t>PWGBE020051150122A3000</t>
  </si>
  <si>
    <t>C02DWF0CMD6M</t>
  </si>
  <si>
    <t>PRINTER CANON PIXMA G2770</t>
  </si>
  <si>
    <t>025-B/V/2023</t>
  </si>
  <si>
    <t>QC3-5062</t>
  </si>
  <si>
    <t>MANADO</t>
  </si>
  <si>
    <t>RRBR9050HEW</t>
  </si>
  <si>
    <t>DESKTOP LENOVO 10102 - i3 - 4GB</t>
  </si>
  <si>
    <t>VS80158259</t>
  </si>
  <si>
    <t>Ex Tanah Merah</t>
  </si>
  <si>
    <t>007-B/III/2023</t>
  </si>
  <si>
    <t>PRINTER EPSON L3860</t>
  </si>
  <si>
    <t>026-B/V/2023</t>
  </si>
  <si>
    <t>SORONG</t>
  </si>
  <si>
    <t>R9CW203LB0B</t>
  </si>
  <si>
    <t>IT DEPARTMENT</t>
  </si>
  <si>
    <t>IT SUPPORT</t>
  </si>
  <si>
    <t>SA-PND-IT/001/00xx</t>
  </si>
  <si>
    <t>66Q23P1</t>
  </si>
  <si>
    <t>BX611J3</t>
  </si>
  <si>
    <t>ADMIN MASAMBA</t>
  </si>
  <si>
    <t>ALDY PURNAMA PUTRA</t>
  </si>
  <si>
    <t>PRINTER EPSON L3216</t>
  </si>
  <si>
    <t>027-B/V/2023</t>
  </si>
  <si>
    <t>X8H5005530</t>
  </si>
  <si>
    <t>BC MANOKWARI</t>
  </si>
  <si>
    <t>PRINTER EPSON L3256</t>
  </si>
  <si>
    <t>028-B/V/2023</t>
  </si>
  <si>
    <t>X8JW013847</t>
  </si>
  <si>
    <t>HALIM</t>
  </si>
  <si>
    <t>KSP</t>
  </si>
  <si>
    <t>PRINTER EPSON L3510</t>
  </si>
  <si>
    <t>029-B/V/2023</t>
  </si>
  <si>
    <t>HILMAN CAFE</t>
  </si>
  <si>
    <t>X5EM109457</t>
  </si>
  <si>
    <t>RR8T403239P</t>
  </si>
  <si>
    <t>JULIO ANDREAN MORALES HAUONI</t>
  </si>
  <si>
    <t>BC KUPANG</t>
  </si>
  <si>
    <t>HP Pavilion 14-dv0517TX - RAM 16 GB</t>
  </si>
  <si>
    <t>030-B/V/2023</t>
  </si>
  <si>
    <t>XAGK291156</t>
  </si>
  <si>
    <t>DESKTOP GATEWAY ZX4930 - Intel Pentium - 4GB</t>
  </si>
  <si>
    <t>SA-PND-IT/001/0071</t>
  </si>
  <si>
    <t>PWGBE02006127024DA3000</t>
  </si>
  <si>
    <t>031-B/V/2023</t>
  </si>
  <si>
    <t>CN-010-005 845 353</t>
  </si>
  <si>
    <t>?</t>
  </si>
  <si>
    <t>040-B/V/2023</t>
  </si>
  <si>
    <t>EP-017-19-0226-726</t>
  </si>
  <si>
    <t>013-B/VI/2022</t>
  </si>
  <si>
    <t>5CD1379VDD</t>
  </si>
  <si>
    <t>SA-PND-IT/001/0109</t>
  </si>
  <si>
    <t>VS80472124</t>
  </si>
  <si>
    <t>TRAINING ADMIN</t>
  </si>
  <si>
    <t>FK1XR7M6JCL8</t>
  </si>
  <si>
    <t>ANITA ANGGRAINI TEDJADIPURA</t>
  </si>
  <si>
    <t>HR EXPAT</t>
  </si>
  <si>
    <t>041-B/V/2023</t>
  </si>
  <si>
    <t>XAGK485597Q</t>
  </si>
  <si>
    <t>DESKTOP LENOVO IDEACENTRE B320 - i3 - 8GB</t>
  </si>
  <si>
    <t>VS50182461</t>
  </si>
  <si>
    <t>TRAVEL</t>
  </si>
  <si>
    <t>HP IPHONE SE - BLACK</t>
  </si>
  <si>
    <t>RY6RX4TFJX</t>
  </si>
  <si>
    <t>CHARTER</t>
  </si>
  <si>
    <t>Dell Vostro 3405 AMD R5 - 512GB - 8GB RAM</t>
  </si>
  <si>
    <t>PRINTER L3210</t>
  </si>
  <si>
    <t>032-B/V/2023</t>
  </si>
  <si>
    <t>Printer Panda PRJ-58B</t>
  </si>
  <si>
    <t>033-B/V/2023</t>
  </si>
  <si>
    <t xml:space="preserve">HP SAMSUNG GALAXY A12 </t>
  </si>
  <si>
    <t>RR8RC02KEDP</t>
  </si>
  <si>
    <t>geoffrey office</t>
  </si>
  <si>
    <t>034-B/V/2023</t>
  </si>
  <si>
    <t>FINANCE</t>
  </si>
  <si>
    <t>HP SAMSUNG GALAXY A04</t>
  </si>
  <si>
    <t>R9CTA00MX8F</t>
  </si>
  <si>
    <t>035-B/V/2023</t>
  </si>
  <si>
    <t>X8SS017269</t>
  </si>
  <si>
    <t>OFF</t>
  </si>
  <si>
    <t>IT SUPPORT - SYIDIQ</t>
  </si>
  <si>
    <t>036-B/V/2023</t>
  </si>
  <si>
    <t>X8SS917369</t>
  </si>
  <si>
    <t xml:space="preserve"> TIMIKA</t>
  </si>
  <si>
    <t>12 Juni 2023</t>
  </si>
  <si>
    <t>FFMDF05BPMFK</t>
  </si>
  <si>
    <t>DEKSTOP PC LENOVO B320 - i3 - 2GB</t>
  </si>
  <si>
    <t>VS50055978</t>
  </si>
  <si>
    <t>Link</t>
  </si>
  <si>
    <t>037-B/V/2023</t>
  </si>
  <si>
    <t>X8SS021264</t>
  </si>
  <si>
    <t>15 Juni 2023</t>
  </si>
  <si>
    <t>DEKSKTOP PC LENOVO 101020 - i3 - 4GB</t>
  </si>
  <si>
    <t>VS80471831</t>
  </si>
  <si>
    <t>MAINTENANCE SENTANI</t>
  </si>
  <si>
    <t>R9CN800PV0J</t>
  </si>
  <si>
    <t>NENI OKTAVIANI</t>
  </si>
  <si>
    <t>TREASURY</t>
  </si>
  <si>
    <t>ex Geoffrey Office</t>
  </si>
  <si>
    <t>005-B/XII/2023</t>
  </si>
  <si>
    <t>X8SS020020</t>
  </si>
  <si>
    <t>001-C/III/2024</t>
  </si>
  <si>
    <t>X8SS024957</t>
  </si>
  <si>
    <t>RIKI JULIANTO</t>
  </si>
  <si>
    <t>ALL OPS TANJUNG SELOR</t>
  </si>
  <si>
    <t>CNMCYH3</t>
  </si>
  <si>
    <t>001-C/VII/2024</t>
  </si>
  <si>
    <t>X8SS027085</t>
  </si>
  <si>
    <t>Epson L3210</t>
  </si>
  <si>
    <t>001-C/IX/2024</t>
  </si>
  <si>
    <t>XAGKD50041</t>
  </si>
  <si>
    <t>001-C/XI/2024</t>
  </si>
  <si>
    <t>XAGKC90669</t>
  </si>
  <si>
    <t>SABU</t>
  </si>
  <si>
    <t>20/07/2023</t>
  </si>
  <si>
    <t>TICKETING SURABAYA</t>
  </si>
  <si>
    <t>022-B/VI/2022</t>
  </si>
  <si>
    <t>G37GYH3</t>
  </si>
  <si>
    <t>Epson L3110</t>
  </si>
  <si>
    <t>002-C/XI/2024</t>
  </si>
  <si>
    <t>X6NX380353</t>
  </si>
  <si>
    <t>SAMSUNG GALAXY A04 - COPPER</t>
  </si>
  <si>
    <t>TICKETING WAMENA</t>
  </si>
  <si>
    <t>001-C/VIII/2024</t>
  </si>
  <si>
    <t>X8SS014145</t>
  </si>
  <si>
    <t>ADMIN KUPANG</t>
  </si>
  <si>
    <t>HANGAR</t>
  </si>
  <si>
    <t>001-C/II/2025</t>
  </si>
  <si>
    <t>ALL OPS BANDA ACEH</t>
  </si>
  <si>
    <t>BROTHER DCP L3551 CDW</t>
  </si>
  <si>
    <t>002-C/II/2025</t>
  </si>
  <si>
    <t>E79051C3N310274</t>
  </si>
  <si>
    <t>ON</t>
  </si>
  <si>
    <t>003-C/II/2025</t>
  </si>
  <si>
    <t>E79051C3N310229</t>
  </si>
  <si>
    <t>8VBBYH3</t>
  </si>
  <si>
    <t>DESKTOP LENOVO B320</t>
  </si>
  <si>
    <t>004-C/II/2025</t>
  </si>
  <si>
    <t>VS50056093</t>
  </si>
  <si>
    <t>BROTHER DCP L3560 CDW</t>
  </si>
  <si>
    <t>001-C/V/2025</t>
  </si>
  <si>
    <t>08 Juni 2023</t>
  </si>
  <si>
    <t>DESKTOP LENOVO THINKCENTRE - Intel Pentium - 2GB</t>
  </si>
  <si>
    <t>S1G7026</t>
  </si>
  <si>
    <t>EPSON L4260</t>
  </si>
  <si>
    <t>001-C/VIII/2025</t>
  </si>
  <si>
    <t>X8SS038212</t>
  </si>
  <si>
    <t>9HCDYH3</t>
  </si>
  <si>
    <t>06 Juni 2023</t>
  </si>
  <si>
    <t>DESKTOP LENOVO IDEACENTRE B320 - i3 2120 - 4GB</t>
  </si>
  <si>
    <t>REVENUE</t>
  </si>
  <si>
    <t>05 Juni 2023</t>
  </si>
  <si>
    <t>001-C/X/2025</t>
  </si>
  <si>
    <t>VNC6X30362</t>
  </si>
  <si>
    <t>DESKTOP LENOVO THINKCENTER - Intel Pentium Dual Core - 2GB</t>
  </si>
  <si>
    <t>S1G1817</t>
  </si>
  <si>
    <t>SA-PND-IT/001/0074</t>
  </si>
  <si>
    <t>PWGBE02005115012583000</t>
  </si>
  <si>
    <t>030-B/VI/2022</t>
  </si>
  <si>
    <t>58KDYH3</t>
  </si>
  <si>
    <t>ICHRAMA RENGGITA EKHANANTA</t>
  </si>
  <si>
    <t>SA-PND-IT/001/0045</t>
  </si>
  <si>
    <t>PWGBE02005109065823000</t>
  </si>
  <si>
    <t>SINHUD AL SUNDANA</t>
  </si>
  <si>
    <t>BC SENTANI</t>
  </si>
  <si>
    <t>07 Juni 2023</t>
  </si>
  <si>
    <t>PWGBE02005115012573000</t>
  </si>
  <si>
    <t>7FQL0H3</t>
  </si>
  <si>
    <t>YULIANTO DWI JATMIKO</t>
  </si>
  <si>
    <t>INTERNAL AUDIT</t>
  </si>
  <si>
    <t>REVENUE CONTROL</t>
  </si>
  <si>
    <t>TICKETING</t>
  </si>
  <si>
    <t xml:space="preserve"> MALINAU</t>
  </si>
  <si>
    <t>BANDA ACEH</t>
  </si>
  <si>
    <t>1YVTHK3</t>
  </si>
  <si>
    <t>PC RAKITAN - i5 - 4GB</t>
  </si>
  <si>
    <t>MP1FQAZY</t>
  </si>
  <si>
    <t xml:space="preserve"> PADANG</t>
  </si>
  <si>
    <t>PC RAKITAN - Core 2 Duo - 2GB</t>
  </si>
  <si>
    <t>MUHAMMAD FIRJATULLAH ARIEF</t>
  </si>
  <si>
    <t>CHARTER PADANG</t>
  </si>
  <si>
    <t>SURABAYA</t>
  </si>
  <si>
    <t>DESKTOP GATEWAY ZX4930 - Intel Pentium - 2GB</t>
  </si>
  <si>
    <t>SA-PND-IT/001/0087</t>
  </si>
  <si>
    <t>PWGBE02005107020793000</t>
  </si>
  <si>
    <t>7P0VHK3</t>
  </si>
  <si>
    <t>SITI NURFAUZIAH AZMI</t>
  </si>
  <si>
    <t>DESKTOP GATEWAY ZX4930 - 3.20 GHz Intel core 2 Duo - 4GB</t>
  </si>
  <si>
    <t>SA-PND/190/IT/XII/2011</t>
  </si>
  <si>
    <t>PWGBE02006127024CF3000</t>
  </si>
  <si>
    <t>PC HP</t>
  </si>
  <si>
    <t>ALL OPS BINTUNI</t>
  </si>
  <si>
    <t>SGH333SONP</t>
  </si>
  <si>
    <t xml:space="preserve"> MERAUKE</t>
  </si>
  <si>
    <t>11 Juni 2023</t>
  </si>
  <si>
    <t>ALL OPS NUNUKAN</t>
  </si>
  <si>
    <t>SA-BTJ-IT-/007/0002</t>
  </si>
  <si>
    <t>ZYHZH4LF200303W</t>
  </si>
  <si>
    <t xml:space="preserve"> BANDA ACEH</t>
  </si>
  <si>
    <t>JY9W0W424V</t>
  </si>
  <si>
    <t>13 Juni 2023</t>
  </si>
  <si>
    <t>DESKTOP LENOVO IDEACENTRE B320 - i3 2120 - 8GB</t>
  </si>
  <si>
    <t>VS50102400</t>
  </si>
  <si>
    <t>ALL OPS LONG BAWAN</t>
  </si>
  <si>
    <t>DESKTOP GATEWAY ZX4930 - INTEL PENTIUM - 2GB</t>
  </si>
  <si>
    <t>PWG8E0200511501219300</t>
  </si>
  <si>
    <t>TRAINING ROOM</t>
  </si>
  <si>
    <t>TICKETING MANOKWARI</t>
  </si>
  <si>
    <t>DESKTOP LENOVO B320 - i3 - 8GB</t>
  </si>
  <si>
    <t>VS50055936</t>
  </si>
  <si>
    <t>MELINASARI</t>
  </si>
  <si>
    <t>OCC</t>
  </si>
  <si>
    <t>LAPTOP Dell XPS 13 7390 - i5-10210U - 8GB</t>
  </si>
  <si>
    <t>80C7YY2</t>
  </si>
  <si>
    <t>SA-PND-IT/001/0055</t>
  </si>
  <si>
    <t>VS50056109</t>
  </si>
  <si>
    <t>DESKTOP LENOVO B320 - i3 - 6GB</t>
  </si>
  <si>
    <t>VS20088321</t>
  </si>
  <si>
    <t>ALL OPS BANDUNG</t>
  </si>
  <si>
    <t>SA-PND-IT/001/0107</t>
  </si>
  <si>
    <t>VS80471834</t>
  </si>
  <si>
    <t>SA-PND-IT/001/0092</t>
  </si>
  <si>
    <t>VS50055750</t>
  </si>
  <si>
    <t>SA-PND-IT/001/0099</t>
  </si>
  <si>
    <t>PWGBE02005109065BF3000</t>
  </si>
  <si>
    <t>ALL OPS BIAK</t>
  </si>
  <si>
    <t>PC - Intel Pentium G2030 - 4GB</t>
  </si>
  <si>
    <t>ZYHZH4LF109866A</t>
  </si>
  <si>
    <t xml:space="preserve"> SENTANI</t>
  </si>
  <si>
    <t>17 Juni 2023</t>
  </si>
  <si>
    <t>SA-PND-IT/001/0105</t>
  </si>
  <si>
    <t>SA-PND-IT/001/0075</t>
  </si>
  <si>
    <t>PWGBE020051150122D3000</t>
  </si>
  <si>
    <t>TAX</t>
  </si>
  <si>
    <t>EX HILMAN CAFE</t>
  </si>
  <si>
    <t>LA RIZALDI</t>
  </si>
  <si>
    <t>BC BANJARMASIN</t>
  </si>
  <si>
    <t>TICKETING BANJARMASIN</t>
  </si>
  <si>
    <t>TICKETING RAMPI</t>
  </si>
  <si>
    <t>OPS MANAGER</t>
  </si>
  <si>
    <t>YOYO KUSWOYO</t>
  </si>
  <si>
    <t>DADAN HAMDANI</t>
  </si>
  <si>
    <t>BC TARAKAN</t>
  </si>
  <si>
    <t>GC PALANGKARAYA</t>
  </si>
  <si>
    <t>MARSIMIN</t>
  </si>
  <si>
    <t>MECHANIC</t>
  </si>
  <si>
    <t>ANIDAH RACHMAWATI</t>
  </si>
  <si>
    <t>TICKETING YOGYAKARTA</t>
  </si>
  <si>
    <t>VERA FERTIANA DEVI</t>
  </si>
  <si>
    <t>NAJMI LAILATUL MUFIDAH</t>
  </si>
  <si>
    <t>EMA RAHMAWATI</t>
  </si>
  <si>
    <t>EXPAT ADMIN</t>
  </si>
  <si>
    <t>TICKETING MERAUKE</t>
  </si>
  <si>
    <t>DATA ANALYS</t>
  </si>
  <si>
    <t>MBA TUMINAH</t>
  </si>
  <si>
    <t>HOUSHOLD MANAGER</t>
  </si>
  <si>
    <t>IPHONE SE - BLACK</t>
  </si>
  <si>
    <t>Office</t>
  </si>
  <si>
    <t>2nd Floor HRD</t>
  </si>
  <si>
    <t>YES</t>
  </si>
  <si>
    <t>PRINTER EPSON L4260 -  X8SS013782 - 06062023.jpg</t>
  </si>
  <si>
    <t>TICKETING SENTANI</t>
  </si>
  <si>
    <t>BC PADANG</t>
  </si>
  <si>
    <t>3rd Floor &gt; Yogyakarta</t>
  </si>
  <si>
    <t>PRINTER EPSON L4260 - X8SS013801 - 05062023.jpg</t>
  </si>
  <si>
    <t>BC MERAUKE</t>
  </si>
  <si>
    <t>Simulator</t>
  </si>
  <si>
    <t>PRINTER HP LASERJETPRO MFP M28w - - 10062023.HEIC</t>
  </si>
  <si>
    <t>Training</t>
  </si>
  <si>
    <t>GC NUSAWIRU</t>
  </si>
  <si>
    <t>EPSON L4260 - X8SS015684.jpg</t>
  </si>
  <si>
    <t>MT VETERINARIAN</t>
  </si>
  <si>
    <t>Bandung</t>
  </si>
  <si>
    <t>PRINTER EPSON L4160 - X8SS015684 - 10062023.JPG</t>
  </si>
  <si>
    <t>BC WAMENA</t>
  </si>
  <si>
    <t>Media</t>
  </si>
  <si>
    <t>Media Id Card Printer.jpg</t>
  </si>
  <si>
    <t>HAFZOH HAFIDZOH</t>
  </si>
  <si>
    <t>DICKY KRISNADI</t>
  </si>
  <si>
    <t>Marine</t>
  </si>
  <si>
    <t>HP lasertjet - P1102 hidup.jpg</t>
  </si>
  <si>
    <t>IT Room</t>
  </si>
  <si>
    <t>PRINTER HP LASERJETPRO MFP M28w - ITROOM - 10062023.jpg</t>
  </si>
  <si>
    <t>Rumah Ibu (BJB Room)</t>
  </si>
  <si>
    <t>PRINTER EPSON L4260 - X8SS015133 - 15062023.jpg</t>
  </si>
  <si>
    <t>DAVID MAROA</t>
  </si>
  <si>
    <t>MAINTENANCE MANAGER</t>
  </si>
  <si>
    <t>Susi Marine</t>
  </si>
  <si>
    <t>BC SORONG</t>
  </si>
  <si>
    <t>PRINTER HP LASERJET P1102 - VNF6H48798 - 10062023.jpeg</t>
  </si>
  <si>
    <t>FARIED WIBOWO</t>
  </si>
  <si>
    <t>CHIEF PPC</t>
  </si>
  <si>
    <t>Ticketing Nusawiru</t>
  </si>
  <si>
    <t>HP LASERJET P1102 - VNF6H43758.jpeg</t>
  </si>
  <si>
    <t>DEWI SUSANTI</t>
  </si>
  <si>
    <t>Epson L220</t>
  </si>
  <si>
    <t>013-B/V/2023</t>
  </si>
  <si>
    <t>VGVK081967</t>
  </si>
  <si>
    <t>Timika &gt; Gorontalo</t>
  </si>
  <si>
    <t>PRINTER EPSON L220 - TIMIKA - 15062023.png</t>
  </si>
  <si>
    <t>RIFADIYANTO</t>
  </si>
  <si>
    <t>Merauke</t>
  </si>
  <si>
    <t>PRINTER EPSON L385 - - 11062023.jpg</t>
  </si>
  <si>
    <t>MELINASARY</t>
  </si>
  <si>
    <t>CHIEF OPERASIONAL</t>
  </si>
  <si>
    <t>PRINTER EPSON L360 - X3GW517213 - 11062023.jpg</t>
  </si>
  <si>
    <t>ALL OPS WAINGAPU</t>
  </si>
  <si>
    <t>Banda Aceh</t>
  </si>
  <si>
    <t>PRINTER EPSON L360 - X3GW194089 - 12062023.jpg</t>
  </si>
  <si>
    <t>MT HR</t>
  </si>
  <si>
    <t>EPSON L3120</t>
  </si>
  <si>
    <t>Padang</t>
  </si>
  <si>
    <t>EPSON L3210 - XAGK118374.jpg</t>
  </si>
  <si>
    <t>Malinau</t>
  </si>
  <si>
    <t>PRINTER EPSON IP2770 - - 13062023.jpeg</t>
  </si>
  <si>
    <t>Dabo</t>
  </si>
  <si>
    <t>PRINTER BROTHER DCP T310 - DABO - 06052023.png</t>
  </si>
  <si>
    <t>BC MASAMBA</t>
  </si>
  <si>
    <t>Office Medan</t>
  </si>
  <si>
    <t>PRINTER HP LASERJET P1102 - VNC3C20676 - 22062023.jpeg</t>
  </si>
  <si>
    <t>BC MANADO</t>
  </si>
  <si>
    <t>Hanggar Malinau</t>
  </si>
  <si>
    <t>PRINTER EPSON M129H - NK6F002499 - 13062023 .jpeg</t>
  </si>
  <si>
    <t>Manokwari</t>
  </si>
  <si>
    <t>R9CTA02699W</t>
  </si>
  <si>
    <t>ADMIN MANADO</t>
  </si>
  <si>
    <t>PRINTER CANON MP237 - CN010006121499 - 11062023.jpg</t>
  </si>
  <si>
    <t>Tarakan</t>
  </si>
  <si>
    <t>EPSON L360 - X3GW154660.jpg</t>
  </si>
  <si>
    <t>PRINTER BOARDING PASS - J54F015700.jpg</t>
  </si>
  <si>
    <t>Makasar</t>
  </si>
  <si>
    <t>PRINTER EPSON L3210 - X8HT001352 - 13062023.png</t>
  </si>
  <si>
    <t>BC SURABAYA</t>
  </si>
  <si>
    <t>Wamena</t>
  </si>
  <si>
    <t>PRINTER EPSON L3110 - - 13062023.jpg</t>
  </si>
  <si>
    <t>ADITYA NUGRAHA NUR PRATAMA</t>
  </si>
  <si>
    <t>CHIEF ENGINER FLYING SCHOOL</t>
  </si>
  <si>
    <t>PRINTER CANON PIXMA IP2770 - QC3-5062 - 14062023.jpg</t>
  </si>
  <si>
    <t>Sorong</t>
  </si>
  <si>
    <t>ADMIN FS</t>
  </si>
  <si>
    <t>Kupang</t>
  </si>
  <si>
    <t>EPSON L3216 - X8H5005530.jpeg</t>
  </si>
  <si>
    <t>Halim &gt; Dabo</t>
  </si>
  <si>
    <t>PRINTER EPSON L3256 - X8JW013847 - 15062023.jpg</t>
  </si>
  <si>
    <t>ADMIN MEDAN</t>
  </si>
  <si>
    <t>Halim</t>
  </si>
  <si>
    <t>PRINTER EPSON L3150 - X5EM109457 - 15062023.jpg</t>
  </si>
  <si>
    <t>Rumah Halim</t>
  </si>
  <si>
    <t>PRINTER EPSON L3110 -XAGK291156 - 19072023.jpg</t>
  </si>
  <si>
    <t>Sentani</t>
  </si>
  <si>
    <t>PPC Sentani</t>
  </si>
  <si>
    <t>PRINTER EPSON L3110 - PPC SENTANI - 22062023.jpeg</t>
  </si>
  <si>
    <t>REGYFIN RIYAN YUDHA SAPUTRA</t>
  </si>
  <si>
    <t>TICKETING KEPI</t>
  </si>
  <si>
    <t>2nd Floor</t>
  </si>
  <si>
    <t>PRINTER EPSON L3210 - XAGK485597Q - 22062023 .jpg</t>
  </si>
  <si>
    <t>Dekai</t>
  </si>
  <si>
    <t>Ex Hilman Cafe</t>
  </si>
  <si>
    <t>EX BC DEKAI</t>
  </si>
  <si>
    <t>PRINTER THERMAL PANDA - HILMAN CAFE 2 - 11072023 .jpg</t>
  </si>
  <si>
    <t>PRINTER THERMAL PANDA - HILMAN CAFE 1 - 11072023 .jpg</t>
  </si>
  <si>
    <t>CHIEF PILOT</t>
  </si>
  <si>
    <t>PRINTER EPSON L4260 - X8SS017269 - 14072023.jpg</t>
  </si>
  <si>
    <t>1st Floor</t>
  </si>
  <si>
    <t>PRINTER EPSON L4260 - X8SS917369 - 14072023.jpg</t>
  </si>
  <si>
    <t>SEND TO YOGYA</t>
  </si>
  <si>
    <t>PRINTER EPSON L4260 - X8SS021264 - 18072023.jpg</t>
  </si>
  <si>
    <t>Papua Room</t>
  </si>
  <si>
    <t>Banjarmasin</t>
  </si>
  <si>
    <t>BC DABO</t>
  </si>
  <si>
    <t>PRINTER EPSON L4260 - X8SS027085 - 24072024.jpg</t>
  </si>
  <si>
    <t>PRINTER L3210 - XAGKD50041.jpg</t>
  </si>
  <si>
    <t>REINE PINGKAI GIRI ANJANI</t>
  </si>
  <si>
    <t>Sabu</t>
  </si>
  <si>
    <t>EPSON L3210 - SABU.jpeg</t>
  </si>
  <si>
    <t>TICKETING MALINAU</t>
  </si>
  <si>
    <t>EPSON L3110 - X6NX380353.jpeg</t>
  </si>
  <si>
    <t>ADMIN SORONG</t>
  </si>
  <si>
    <t>PPC Padang</t>
  </si>
  <si>
    <t>Waingapu</t>
  </si>
  <si>
    <t>3rd Floor</t>
  </si>
  <si>
    <t>Office Halim</t>
  </si>
  <si>
    <t>Flying School</t>
  </si>
  <si>
    <t>Purchasing New Store</t>
  </si>
  <si>
    <t>BIMBI LASTRI PRIMA ASIH</t>
  </si>
  <si>
    <t>HP 1102</t>
  </si>
  <si>
    <t>Store Hanggar Baru Nusawiru</t>
  </si>
  <si>
    <t>BC MEDAN</t>
  </si>
  <si>
    <t>HRD Room</t>
  </si>
  <si>
    <t>ASSISTANT MANAGING DIRECTOR</t>
  </si>
  <si>
    <t>BJB Room</t>
  </si>
  <si>
    <t>Legal Room</t>
  </si>
  <si>
    <t>Geoffrey Office</t>
  </si>
  <si>
    <t>Ex Samarinda (at IT Room)</t>
  </si>
  <si>
    <t>PRINTER CANON PIXMA iP2770</t>
  </si>
  <si>
    <t>SEND TO MANADO</t>
  </si>
  <si>
    <t>Timika (Send to Pangandaran)</t>
  </si>
  <si>
    <t>018-B/VI/2021</t>
  </si>
  <si>
    <t>010-B/V/2021</t>
  </si>
  <si>
    <t>FDJTHK3</t>
  </si>
  <si>
    <t>1DJBYH3</t>
  </si>
  <si>
    <t>J67GYH3</t>
  </si>
  <si>
    <t>MT GENERAL</t>
  </si>
  <si>
    <t>Use By</t>
  </si>
  <si>
    <t>14SGYH3</t>
  </si>
  <si>
    <t>3WXMYY2</t>
  </si>
  <si>
    <t>NO</t>
  </si>
  <si>
    <t>ADMIN EXPAT</t>
  </si>
  <si>
    <t>017-B/VI/2021</t>
  </si>
  <si>
    <t>29Z82Z2</t>
  </si>
  <si>
    <t>MT REVENUE</t>
  </si>
  <si>
    <t>008-B/VI/2022</t>
  </si>
  <si>
    <t>JV3T5D3</t>
  </si>
  <si>
    <t>RUMAH HALIM</t>
  </si>
  <si>
    <t>Invent Name</t>
  </si>
  <si>
    <t>PROJECTOR BENQ SVGA</t>
  </si>
  <si>
    <t>PDA2L01005000</t>
  </si>
  <si>
    <t>PIC</t>
  </si>
  <si>
    <t>MONITOR LG</t>
  </si>
  <si>
    <t>001-D/VI/2023</t>
  </si>
  <si>
    <t>9D1INJL8R500</t>
  </si>
  <si>
    <t>002-D/VI/2023</t>
  </si>
  <si>
    <t>112INFBB127</t>
  </si>
  <si>
    <t>link</t>
  </si>
  <si>
    <t>SIM Card Number</t>
  </si>
  <si>
    <t>User By</t>
  </si>
  <si>
    <t>Data Package</t>
  </si>
  <si>
    <t>Domestic Limit</t>
  </si>
  <si>
    <t>Roaming Limit</t>
  </si>
  <si>
    <t>Status</t>
  </si>
  <si>
    <t>62 811 211 365</t>
  </si>
  <si>
    <t>Ibu Susi Pudjiastuti</t>
  </si>
  <si>
    <t>Halo Kick 550rb</t>
  </si>
  <si>
    <t>5.000.000,00</t>
  </si>
  <si>
    <t>5.000.000</t>
  </si>
  <si>
    <t>Active</t>
  </si>
  <si>
    <t>62 812 228 3174</t>
  </si>
  <si>
    <t>flash 150rb</t>
  </si>
  <si>
    <t>62 811 211 1070</t>
  </si>
  <si>
    <t>flash 75rb</t>
  </si>
  <si>
    <t>300.000,00</t>
  </si>
  <si>
    <t>7.500.000</t>
  </si>
  <si>
    <t>62 811 211 1090</t>
  </si>
  <si>
    <t>Call Center - Charter</t>
  </si>
  <si>
    <t>flash150rb</t>
  </si>
  <si>
    <t>200.000,00</t>
  </si>
  <si>
    <t>62 811 211 1080</t>
  </si>
  <si>
    <t>62 811 211 1088</t>
  </si>
  <si>
    <t>Nadine</t>
  </si>
  <si>
    <t>1.000.000,00</t>
  </si>
  <si>
    <t>2.500.000</t>
  </si>
  <si>
    <t>62 811 211 0398</t>
  </si>
  <si>
    <t>Chief Inspector - Tatok</t>
  </si>
  <si>
    <t>62 811 211 1068</t>
  </si>
  <si>
    <t>Adhit</t>
  </si>
  <si>
    <t>62 811 211 1134</t>
  </si>
  <si>
    <t>Ticketing Tanah Merah</t>
  </si>
  <si>
    <t>62 811 211 1135</t>
  </si>
  <si>
    <t>Ticketing Makasar</t>
  </si>
  <si>
    <t>62 811 211 1136</t>
  </si>
  <si>
    <t>DM Sentani</t>
  </si>
  <si>
    <t>flash75rb</t>
  </si>
  <si>
    <t>500.000,00</t>
  </si>
  <si>
    <t>62 811 211 1152</t>
  </si>
  <si>
    <t>DM Biak (Crew : Ahmad)</t>
  </si>
  <si>
    <t>hvc 100rb</t>
  </si>
  <si>
    <t>62 811 211 1153</t>
  </si>
  <si>
    <t xml:space="preserve"> Dekai (BC:wildan)</t>
  </si>
  <si>
    <t>62 811 211 3080</t>
  </si>
  <si>
    <t>Call Center - Pangandaran</t>
  </si>
  <si>
    <t>62 811 211 3081</t>
  </si>
  <si>
    <t>Ticketing Medan</t>
  </si>
  <si>
    <t>Pending</t>
  </si>
  <si>
    <t>62 811 211 3083</t>
  </si>
  <si>
    <t>Santi</t>
  </si>
  <si>
    <t>Flash 150rb</t>
  </si>
  <si>
    <t>62 811 211 3084</t>
  </si>
  <si>
    <t>Yulivia - Santi Treasury</t>
  </si>
  <si>
    <t>Flash 150ribu</t>
  </si>
  <si>
    <t>62 811 211 3085</t>
  </si>
  <si>
    <t>DM Tarakan</t>
  </si>
  <si>
    <t>Halo Kick 100rb</t>
  </si>
  <si>
    <t>62 811 211 3086</t>
  </si>
  <si>
    <t>DM Samarinda ( BC: luky)</t>
  </si>
  <si>
    <t>62 811 211 3087</t>
  </si>
  <si>
    <t>DM Malinau (BM:Agris)</t>
  </si>
  <si>
    <t>62 811 211 3089</t>
  </si>
  <si>
    <t>Korwil Sumatera - ada di ibu</t>
  </si>
  <si>
    <t>Tidak ada Wa / Tidak Aktif</t>
  </si>
  <si>
    <t>62 811 211 3090</t>
  </si>
  <si>
    <t>Tidak ada Wa / Pending / Dialihkan</t>
  </si>
  <si>
    <t>62 811 211 3091</t>
  </si>
  <si>
    <t>Flash 5GB 150rb</t>
  </si>
  <si>
    <t>62 811 211 3092</t>
  </si>
  <si>
    <t>Melinasary</t>
  </si>
  <si>
    <t>Flash 8GB (MF 225rb)</t>
  </si>
  <si>
    <t>62 811 211 3093</t>
  </si>
  <si>
    <t>Yacho</t>
  </si>
  <si>
    <t>62 811 211 3094</t>
  </si>
  <si>
    <t>Gunanjar</t>
  </si>
  <si>
    <t>62 811 211 3095</t>
  </si>
  <si>
    <t>PA ibu - Inan</t>
  </si>
  <si>
    <t>62 811 211 3097</t>
  </si>
  <si>
    <t>Indah MT</t>
  </si>
  <si>
    <t>62 811 211 3098</t>
  </si>
  <si>
    <t>CEO - pak Zulkarnaen ( Di Ibu Susi Pudjiastuti )</t>
  </si>
  <si>
    <t>62 811 211 9888</t>
  </si>
  <si>
    <t>Donny - Melati</t>
  </si>
  <si>
    <t>Not Active</t>
  </si>
  <si>
    <t>62 811 211 6754</t>
  </si>
  <si>
    <t>Tuminah</t>
  </si>
  <si>
    <t>Flash 75ribu</t>
  </si>
  <si>
    <t>62 811 211 6757</t>
  </si>
  <si>
    <t>DM Jakarta - Nurul</t>
  </si>
  <si>
    <t>Tidak ada wa/ tidak aktif</t>
  </si>
  <si>
    <t>62 811 211 6758</t>
  </si>
  <si>
    <t>Nurul ( Korwil Papua )</t>
  </si>
  <si>
    <t>DATA KARTU HALO CORPORATE SUSIAIR</t>
  </si>
  <si>
    <t>62 811 211 6759</t>
  </si>
  <si>
    <t>Flight Following</t>
  </si>
  <si>
    <t>Flash 75rb</t>
  </si>
  <si>
    <t>WA/TLP</t>
  </si>
  <si>
    <t>62 811 211 9801</t>
  </si>
  <si>
    <t>Ticketing Banjarmasin</t>
  </si>
  <si>
    <t>Tidak ada wa / Tidak aktif</t>
  </si>
  <si>
    <t>62 811 211 9802</t>
  </si>
  <si>
    <t>Ticketing Samarinda</t>
  </si>
  <si>
    <t>NOMOR</t>
  </si>
  <si>
    <t>62 811 211 9803</t>
  </si>
  <si>
    <t>Operasional Muarateweh</t>
  </si>
  <si>
    <t>Tidak ada wa/Tidak aktif</t>
  </si>
  <si>
    <t>62 811 211 9804</t>
  </si>
  <si>
    <t>ACCOUNT NUMBER</t>
  </si>
  <si>
    <t>Ticketing Tarakan</t>
  </si>
  <si>
    <t>USER</t>
  </si>
  <si>
    <t>62 811 211 9805</t>
  </si>
  <si>
    <t>Ticketing Longbawan</t>
  </si>
  <si>
    <t>200SMS onnet bulanan</t>
  </si>
  <si>
    <t>Only Phone</t>
  </si>
  <si>
    <t>STATUS</t>
  </si>
  <si>
    <t>62 811 211 3478</t>
  </si>
  <si>
    <t>0,00</t>
  </si>
  <si>
    <t>PAKET AKTIF</t>
  </si>
  <si>
    <t>BC</t>
  </si>
  <si>
    <t>62 811 211 3631</t>
  </si>
  <si>
    <t>Treasury - Neni Octaviani</t>
  </si>
  <si>
    <t>HaloFit MyPlan 150rb P1</t>
  </si>
  <si>
    <t>62 811 212 3910</t>
  </si>
  <si>
    <t>Ticketing Pagerungan</t>
  </si>
  <si>
    <t>Tidak ada wa / Tidak aktfi</t>
  </si>
  <si>
    <t>62 811 212 3915</t>
  </si>
  <si>
    <t xml:space="preserve">Ricardo ( SQS ) </t>
  </si>
  <si>
    <t>Berdering/Pending</t>
  </si>
  <si>
    <t>62 811 212 3916</t>
  </si>
  <si>
    <t>Nabil ( HR Expat) &gt; Nadia (Salary Expat)</t>
  </si>
  <si>
    <t>PALU</t>
  </si>
  <si>
    <t>62 811 212 3918</t>
  </si>
  <si>
    <t>David Marwa</t>
  </si>
  <si>
    <t>IBU (EX PAK ZULKARNAEN)</t>
  </si>
  <si>
    <t>AKTIF</t>
  </si>
  <si>
    <t>62 811 212 3919</t>
  </si>
  <si>
    <t>Unidentified (Unable to receive call)</t>
  </si>
  <si>
    <t>admin expat</t>
  </si>
  <si>
    <t>62 811 212 3920</t>
  </si>
  <si>
    <t>GA Manager</t>
  </si>
  <si>
    <t>IBU</t>
  </si>
  <si>
    <t>SA TIMIKA &gt; IT ROOM</t>
  </si>
  <si>
    <t>62 811 212 3921</t>
  </si>
  <si>
    <t>Khairul ( MT Finance ) ( Account Payable )</t>
  </si>
  <si>
    <t>TICKETING TIMIKA &gt; IT ROOM</t>
  </si>
  <si>
    <t>DM JAKARTA</t>
  </si>
  <si>
    <t>62 811 212 3923</t>
  </si>
  <si>
    <t>HR Manager - Madhe</t>
  </si>
  <si>
    <t>TANAH MERAH &gt; IT ROOM</t>
  </si>
  <si>
    <t>SA NUNUKAN</t>
  </si>
  <si>
    <t>CHIEF PILOT / SERGI</t>
  </si>
  <si>
    <t>62 811 212 3925</t>
  </si>
  <si>
    <t>Ticketing Pangandaran</t>
  </si>
  <si>
    <t>62 811 212 3926</t>
  </si>
  <si>
    <t>Operasional Cilacap</t>
  </si>
  <si>
    <t>62 811 212 3927</t>
  </si>
  <si>
    <t>Fia ( MT Finance )</t>
  </si>
  <si>
    <t>62 811 212 3929</t>
  </si>
  <si>
    <t>Operasional Nusawiru</t>
  </si>
  <si>
    <t>SA SAMARINDA &gt; IT ROOM &gt; MANADO</t>
  </si>
  <si>
    <t>FLASH 75K</t>
  </si>
  <si>
    <t>62 811 212 3930</t>
  </si>
  <si>
    <t>Revenue</t>
  </si>
  <si>
    <t>OPS MARATEWEH</t>
  </si>
  <si>
    <t>FLASH 150</t>
  </si>
  <si>
    <t>Tidak ada wa/Pending</t>
  </si>
  <si>
    <t>62 811 212 3931</t>
  </si>
  <si>
    <t>DM Wamena</t>
  </si>
  <si>
    <t>62 811 212 3932</t>
  </si>
  <si>
    <t>Ticketing Manokwari</t>
  </si>
  <si>
    <t>SA LONGBAWAN</t>
  </si>
  <si>
    <t>REISSUE 03/02/2025 to GEOFFREY</t>
  </si>
  <si>
    <t>MAYANG - KSP</t>
  </si>
  <si>
    <t>62 811 212 3933</t>
  </si>
  <si>
    <t>(OLD OCC ) Ibu Susi Pudjiastuti</t>
  </si>
  <si>
    <t>FLSAH 150</t>
  </si>
  <si>
    <t>CEO AMO</t>
  </si>
  <si>
    <t>62 811 212 3934</t>
  </si>
  <si>
    <t>Ticketing sorong</t>
  </si>
  <si>
    <t>MX AMO</t>
  </si>
  <si>
    <t>RICHARDO - SQS</t>
  </si>
  <si>
    <t>Tidak aktif</t>
  </si>
  <si>
    <t>62 811 212 3935</t>
  </si>
  <si>
    <t>QUALITY AMO</t>
  </si>
  <si>
    <t>DM Merauke</t>
  </si>
  <si>
    <t>PUTRI - SALARY EXPAT</t>
  </si>
  <si>
    <t>62 811 212 3936</t>
  </si>
  <si>
    <t>DM Timika</t>
  </si>
  <si>
    <t>62 811 212 3937</t>
  </si>
  <si>
    <t>DAVID MAROA MWERA - PPC MANAGER</t>
  </si>
  <si>
    <t>Ticketing Timika</t>
  </si>
  <si>
    <t xml:space="preserve">Tidak ada wa/Tidak aktif </t>
  </si>
  <si>
    <t>CEO FLYNG SCHOOL</t>
  </si>
  <si>
    <t>62 811 212 3939</t>
  </si>
  <si>
    <t>BCC - ada di Ibu</t>
  </si>
  <si>
    <t>QUALITY FLYING SCHOOL</t>
  </si>
  <si>
    <t>62 811 212 3942</t>
  </si>
  <si>
    <t>ARIF - MT</t>
  </si>
  <si>
    <t>JIHAN - PLT HR MANAGER</t>
  </si>
  <si>
    <t>62 811 212 8401</t>
  </si>
  <si>
    <t>IT SUPPORT - SIDIQ</t>
  </si>
  <si>
    <t>FLASH 150K</t>
  </si>
  <si>
    <t>TICKETING MERAUKE &gt; ANDRE TAKE IT</t>
  </si>
  <si>
    <t>FIA - FINANCE</t>
  </si>
  <si>
    <t>62 811 212 8402</t>
  </si>
  <si>
    <t>OPS NUSAWIRU</t>
  </si>
  <si>
    <t>62 811 212 8403</t>
  </si>
  <si>
    <t>Travel Department</t>
  </si>
  <si>
    <t>62 811 212 8404</t>
  </si>
  <si>
    <t>DM Bengkulu</t>
  </si>
  <si>
    <t>62 811 212 8405</t>
  </si>
  <si>
    <t>DM Padang</t>
  </si>
  <si>
    <t>62 811 212 8406</t>
  </si>
  <si>
    <t>Bengkulu</t>
  </si>
  <si>
    <t>Pending/Dialihkan</t>
  </si>
  <si>
    <t>62 811 212 8407</t>
  </si>
  <si>
    <t>Ticketing Padang</t>
  </si>
  <si>
    <t>REISSUE 05/05/2025 &gt; GIVE TO IBU SANTI</t>
  </si>
  <si>
    <t>62 811 212 8408</t>
  </si>
  <si>
    <t>Arfin Santos - Engineering Dept Medan</t>
  </si>
  <si>
    <t>TICKETING SORONG</t>
  </si>
  <si>
    <t>62 811 212 8409</t>
  </si>
  <si>
    <t>62 811 212 8410</t>
  </si>
  <si>
    <t>Dedi Ifran</t>
  </si>
  <si>
    <t>EX ADHIT &gt; IT ROOM</t>
  </si>
  <si>
    <t>62 811 212 9909</t>
  </si>
  <si>
    <t>SA MERAUKE</t>
  </si>
  <si>
    <t>62 811 212 9910</t>
  </si>
  <si>
    <t>TICKETING TANAH MERAH &gt; IT ROOM</t>
  </si>
  <si>
    <t>62 811 212 9911</t>
  </si>
  <si>
    <t>BIAK</t>
  </si>
  <si>
    <t>62 811 212 9912</t>
  </si>
  <si>
    <t>Farid Budi Wibowo</t>
  </si>
  <si>
    <t>R</t>
  </si>
  <si>
    <t>62 811 212 9913</t>
  </si>
  <si>
    <t>Expat &amp; Training Departement</t>
  </si>
  <si>
    <t>TIMIKA TIKETING</t>
  </si>
  <si>
    <t>62 811 212 9916</t>
  </si>
  <si>
    <t>Standby Mas Adhit - Armand 24 jan 21</t>
  </si>
  <si>
    <t>Rejected</t>
  </si>
  <si>
    <t>62 811 212 9918</t>
  </si>
  <si>
    <t>62 811 212 4353</t>
  </si>
  <si>
    <t>62 811 207 9595</t>
  </si>
  <si>
    <t xml:space="preserve">DATAH DAWAI &gt; IT ROOM </t>
  </si>
  <si>
    <t>Pilot ernesto 180121</t>
  </si>
  <si>
    <t>OPS MANAGER / LUKE</t>
  </si>
  <si>
    <t>Pilot sho 180121</t>
  </si>
  <si>
    <t>KICK 100K HVC</t>
  </si>
  <si>
    <t>Ibu Susi Pudjiastuti - training dept 240121</t>
  </si>
  <si>
    <t>FLASH 225</t>
  </si>
  <si>
    <t>SQS DEPT</t>
  </si>
  <si>
    <t>Safety Department</t>
  </si>
  <si>
    <t>0811-2124-359 by Amanda</t>
  </si>
  <si>
    <t>GA JAKARTA (HALIM)</t>
  </si>
  <si>
    <t>62 811 212 4361</t>
  </si>
  <si>
    <t>Tick Aero</t>
  </si>
  <si>
    <t>GA PANGANDARAN</t>
  </si>
  <si>
    <t>62 811 212 7140</t>
  </si>
  <si>
    <t>GA Jakarta - rumah Halim</t>
  </si>
  <si>
    <t>ALVY XAVIER</t>
  </si>
  <si>
    <t>62 811 212 7141</t>
  </si>
  <si>
    <t>TERNATE</t>
  </si>
  <si>
    <t>GA Pangandaran</t>
  </si>
  <si>
    <t>62 811 212 7142</t>
  </si>
  <si>
    <t>TICKETING MASAMBA</t>
  </si>
  <si>
    <t>Agustina Budi Astri - Korwil Sulawesi</t>
  </si>
  <si>
    <t>62 811 212 7143</t>
  </si>
  <si>
    <t>Alvy Xavier</t>
  </si>
  <si>
    <t>SIDIQ - IT SUPPORT</t>
  </si>
  <si>
    <t>62 811 212 7144</t>
  </si>
  <si>
    <t>Ticketing Palu</t>
  </si>
  <si>
    <t>62 811 212 7145</t>
  </si>
  <si>
    <t>DM Ternate</t>
  </si>
  <si>
    <t>62 811 212 7146</t>
  </si>
  <si>
    <t>DM Masamba</t>
  </si>
  <si>
    <t>62 811 212 7147</t>
  </si>
  <si>
    <t>Ticketing Masamba</t>
  </si>
  <si>
    <t>tidak ada wa/ tidak aktfi</t>
  </si>
  <si>
    <t>62 811 212 7149</t>
  </si>
  <si>
    <t>Kendari</t>
  </si>
  <si>
    <t>62 811 212 7150</t>
  </si>
  <si>
    <t>Fuji - revenue control finance</t>
  </si>
  <si>
    <t>HR ADMIN</t>
  </si>
  <si>
    <t>62 811 210 3192</t>
  </si>
  <si>
    <t>BM Medan</t>
  </si>
  <si>
    <t>62 811 210 3193</t>
  </si>
  <si>
    <t>BM Jakarta</t>
  </si>
  <si>
    <t>62 811 210 3194</t>
  </si>
  <si>
    <t>BM Kalimantan</t>
  </si>
  <si>
    <t>Susi Watersport</t>
  </si>
  <si>
    <t>62 811 210 3195</t>
  </si>
  <si>
    <t>BM Manokwari/standby</t>
  </si>
  <si>
    <t>MERCH</t>
  </si>
  <si>
    <t>62 811 210 3196</t>
  </si>
  <si>
    <t>BM Sentani, Wamena, Nabire/standby</t>
  </si>
  <si>
    <t>62 811 210 3197</t>
  </si>
  <si>
    <t>BM Merauke</t>
  </si>
  <si>
    <t>ARMAND</t>
  </si>
  <si>
    <t>62 811 207 9591</t>
  </si>
  <si>
    <t>DM Palangkaraya</t>
  </si>
  <si>
    <t>HaloFit 125rb SP</t>
  </si>
  <si>
    <t>62 811 207 9592</t>
  </si>
  <si>
    <t>Ticketing Palangkaraya</t>
  </si>
  <si>
    <t>tidak ada wa/tidak aktif</t>
  </si>
  <si>
    <t>62 811 207 9594</t>
  </si>
  <si>
    <t>Atiqoh-Legal</t>
  </si>
  <si>
    <t>SYAHRICO - LEGAL</t>
  </si>
  <si>
    <t>ex pak sudrajat CEO - Ibu</t>
  </si>
  <si>
    <t>62 811 207 9596</t>
  </si>
  <si>
    <t>Korwil Kalimantan</t>
  </si>
  <si>
    <t>62811 207 9597</t>
  </si>
  <si>
    <t>BUMI SAKTI ANGKASA - PAK MIKO</t>
  </si>
  <si>
    <t>Geoffery</t>
  </si>
  <si>
    <t>62 811 207 9598</t>
  </si>
  <si>
    <t>David Maroa (Deputy Maintenance)</t>
  </si>
  <si>
    <t>62 811 207 9599</t>
  </si>
  <si>
    <t>Victor De La Guardia (Maintenance Manager)</t>
  </si>
  <si>
    <t>REISSUE 03/02/2025</t>
  </si>
  <si>
    <t>62 811 216 3552</t>
  </si>
  <si>
    <t>tidak aktif-rencana terminate</t>
  </si>
  <si>
    <t>10.000.000,00</t>
  </si>
  <si>
    <t>62 811 216 3553</t>
  </si>
  <si>
    <t>pak suhana</t>
  </si>
  <si>
    <t>62 811 216 3554</t>
  </si>
  <si>
    <t>RIFADIANTO CHIEF INSTRUCTOR FLYNG SCHOOL</t>
  </si>
  <si>
    <t>62 811 216 3555</t>
  </si>
  <si>
    <t>Flash Volume 400rb</t>
  </si>
  <si>
    <t>10.000.000</t>
  </si>
  <si>
    <t>62 811 216 3556</t>
  </si>
  <si>
    <t>Flash 250ribu</t>
  </si>
  <si>
    <t>BAWEAN</t>
  </si>
  <si>
    <t>SUMENEP</t>
  </si>
  <si>
    <t>62 811 216 3557</t>
  </si>
  <si>
    <t>Flash 150rib</t>
  </si>
  <si>
    <t>TOKEN MBA TUM</t>
  </si>
  <si>
    <t>IBU (IPAD)</t>
  </si>
  <si>
    <t>62 811 216 3558</t>
  </si>
  <si>
    <t>UNIT KEPI</t>
  </si>
  <si>
    <t>Halo Kick 150rb</t>
  </si>
  <si>
    <t>62 811 216 3559</t>
  </si>
  <si>
    <t>pak taqwa</t>
  </si>
  <si>
    <t>Flash Volume 55rb</t>
  </si>
  <si>
    <t>BINTUNI</t>
  </si>
  <si>
    <t>62 811 216 3560</t>
  </si>
  <si>
    <t>62 811 216 3561</t>
  </si>
  <si>
    <t>tim ksp - Maulana</t>
  </si>
  <si>
    <t>TIKETING GAYO LUWES</t>
  </si>
  <si>
    <t>62 811 212 6866</t>
  </si>
  <si>
    <t>Pesawat (order by meli 021116)</t>
  </si>
  <si>
    <t>Flash Volume 150rb</t>
  </si>
  <si>
    <t>100.000,00</t>
  </si>
  <si>
    <t>TIKETING SIBOLGA</t>
  </si>
  <si>
    <t>62 811 211 1865</t>
  </si>
  <si>
    <t>62 811 211 5422</t>
  </si>
  <si>
    <t>62 811 218 7500</t>
  </si>
  <si>
    <t>TICKETING GUNUNG SITOLI</t>
  </si>
  <si>
    <t>Pesawat caravan di Australia</t>
  </si>
  <si>
    <t>HaloFit MyPlan 150K P</t>
  </si>
  <si>
    <t>TICKETING DABO</t>
  </si>
  <si>
    <t>62 811 225 9029</t>
  </si>
  <si>
    <t>TICKETING JAMBI</t>
  </si>
  <si>
    <t>santi</t>
  </si>
  <si>
    <t>TICKETING BANDA ACEH</t>
  </si>
  <si>
    <t>62 811 227 9611</t>
  </si>
  <si>
    <t>surabaya</t>
  </si>
  <si>
    <t>TANJUNG PINANG</t>
  </si>
  <si>
    <t>TICKETING PEKAN BARU</t>
  </si>
  <si>
    <t>62 811 227 9612</t>
  </si>
  <si>
    <t>Bawean</t>
  </si>
  <si>
    <t>TICKETING TB KARIMUN</t>
  </si>
  <si>
    <t>DM DABO</t>
  </si>
  <si>
    <t>62 811 227 9613</t>
  </si>
  <si>
    <t>Karimun Jawa</t>
  </si>
  <si>
    <t>DERI KSP</t>
  </si>
  <si>
    <t>62 811 227 9615</t>
  </si>
  <si>
    <t>Sumenep</t>
  </si>
  <si>
    <t>62 811 227 9620</t>
  </si>
  <si>
    <t>Token Treasury</t>
  </si>
  <si>
    <t>INAN - MODEM PORTABLE IBU</t>
  </si>
  <si>
    <t>62 811 231 0238</t>
  </si>
  <si>
    <t>PA ibu - Didin</t>
  </si>
  <si>
    <t>62 811 231 0239</t>
  </si>
  <si>
    <t>Legal Departement Ikrama</t>
  </si>
  <si>
    <t>UNIT ROTE</t>
  </si>
  <si>
    <t>62 811 231 0240</t>
  </si>
  <si>
    <t>62 811 231 0241</t>
  </si>
  <si>
    <t>62 811 231 0242</t>
  </si>
  <si>
    <t>MEDIA TEAM</t>
  </si>
  <si>
    <t>62 811 381 3801</t>
  </si>
  <si>
    <t>Ticketing Kupang</t>
  </si>
  <si>
    <t>62 811 381 3810</t>
  </si>
  <si>
    <t>DM Kupang</t>
  </si>
  <si>
    <t>62 811 383 7004</t>
  </si>
  <si>
    <t>Ticketing Waingapu</t>
  </si>
  <si>
    <t>ANDRE - AGM</t>
  </si>
  <si>
    <t>62 811 480 6702</t>
  </si>
  <si>
    <t>Ticketing Dekai</t>
  </si>
  <si>
    <t>GEOFFREY MEYSSIONIER</t>
  </si>
  <si>
    <t>62 811 480 6703</t>
  </si>
  <si>
    <t>TATOK - CHIEF INSPECTOR</t>
  </si>
  <si>
    <t>Ticketing Biak</t>
  </si>
  <si>
    <t>62 811 480 6705</t>
  </si>
  <si>
    <t>DM Manokwari (BC: Alfina Mika Damayanti )</t>
  </si>
  <si>
    <t>62 811 480 6707</t>
  </si>
  <si>
    <t>DM Sorong (BC: Fikri)</t>
  </si>
  <si>
    <t>Halo Play Medium 150rb</t>
  </si>
  <si>
    <t>IBU (EX PAK RUSTAM)</t>
  </si>
  <si>
    <t>62 811 480 6708</t>
  </si>
  <si>
    <t>Ticketing Bintuni</t>
  </si>
  <si>
    <t>NADINE</t>
  </si>
  <si>
    <t>62 811 480 6709</t>
  </si>
  <si>
    <t>Ticketing Kimam</t>
  </si>
  <si>
    <t>62 811 480 6715</t>
  </si>
  <si>
    <t>Ticketing Merauke</t>
  </si>
  <si>
    <t>62 811 480 6717</t>
  </si>
  <si>
    <t>Maintenance Sentani</t>
  </si>
  <si>
    <t>TICKETING MAKASAR &gt; TICKETING MERAUKE</t>
  </si>
  <si>
    <t>62 811 480 6718</t>
  </si>
  <si>
    <t>PIC Maintnance Biak /Mr Phing</t>
  </si>
  <si>
    <t>DM SENTANI</t>
  </si>
  <si>
    <t>62 811 480 6719</t>
  </si>
  <si>
    <t>Operasional Wamena</t>
  </si>
  <si>
    <t>62 811 480 5924</t>
  </si>
  <si>
    <t>Operasional unit Kepi - Merauke</t>
  </si>
  <si>
    <t>Voice-SMS 100k</t>
  </si>
  <si>
    <t>DEKAI</t>
  </si>
  <si>
    <t>62 811 480 5925</t>
  </si>
  <si>
    <t>Ticketing Sentani</t>
  </si>
  <si>
    <t>Halo Kick 150rb HVC Bank</t>
  </si>
  <si>
    <t>CALL CENTER PANGANDARAN</t>
  </si>
  <si>
    <t>62 811 480 5926</t>
  </si>
  <si>
    <t>TICKETING MEDAN</t>
  </si>
  <si>
    <t>Operasional unit Tanah Merah - Merauke</t>
  </si>
  <si>
    <t>62 811 480 5927</t>
  </si>
  <si>
    <t>SANTI</t>
  </si>
  <si>
    <t>Ticketing Wamena</t>
  </si>
  <si>
    <t>Voice-SMS 50k</t>
  </si>
  <si>
    <t>62 811 542 899</t>
  </si>
  <si>
    <t>Ticketing Malinau</t>
  </si>
  <si>
    <t>700.000,00</t>
  </si>
  <si>
    <t>62 811 584 2990</t>
  </si>
  <si>
    <t>Operasional Samarinda</t>
  </si>
  <si>
    <t>DM SAMARINDA &gt; MANADO</t>
  </si>
  <si>
    <t>62 812 600 7137</t>
  </si>
  <si>
    <t>Manager Oprs Sumatera</t>
  </si>
  <si>
    <t>DM MALINAU</t>
  </si>
  <si>
    <t>62 811 613 8333</t>
  </si>
  <si>
    <t>Ticketing Banda Aceh</t>
  </si>
  <si>
    <t>IBU (EX INDAH KORWIL)</t>
  </si>
  <si>
    <t>62 811 613 8222</t>
  </si>
  <si>
    <t>DM Banda Aceh</t>
  </si>
  <si>
    <t>62 811 613 5282</t>
  </si>
  <si>
    <t>Ticketing Gayo Lues</t>
  </si>
  <si>
    <t>Hybrid Voice&amp;SMS 50K</t>
  </si>
  <si>
    <t>62 811 613 5283</t>
  </si>
  <si>
    <t>YACHO</t>
  </si>
  <si>
    <t>Ticketing Enggano</t>
  </si>
  <si>
    <t>62 811 613 8301</t>
  </si>
  <si>
    <t>Ticketing Sibolga</t>
  </si>
  <si>
    <t>IBU (EX GUNANJAR)</t>
  </si>
  <si>
    <t>62 811 613 8302</t>
  </si>
  <si>
    <t>Operasional Kutacane</t>
  </si>
  <si>
    <t>INAN</t>
  </si>
  <si>
    <t>62 811 613 8303</t>
  </si>
  <si>
    <t>Ticketing Takengon</t>
  </si>
  <si>
    <t>PERINTIS - WINARTI</t>
  </si>
  <si>
    <t>62 811 613 8304</t>
  </si>
  <si>
    <t>Ticketing Blangpidie</t>
  </si>
  <si>
    <t>LEGAL IKRAMA</t>
  </si>
  <si>
    <t>62 811 613 8305</t>
  </si>
  <si>
    <t>Ticketing Tapaktuan</t>
  </si>
  <si>
    <t>62 811 613 8306</t>
  </si>
  <si>
    <t>Ticketing Gunung Sitoli</t>
  </si>
  <si>
    <t>62 811 613 8310</t>
  </si>
  <si>
    <t>Ticketing Kerinci</t>
  </si>
  <si>
    <t>TELLO</t>
  </si>
  <si>
    <t>62 811 613 8313</t>
  </si>
  <si>
    <t>Ticketing Dabo</t>
  </si>
  <si>
    <t>62 811 613 8314</t>
  </si>
  <si>
    <t>Ticketing Murabungo</t>
  </si>
  <si>
    <t>PALEMBANG</t>
  </si>
  <si>
    <t>62 811 613 8315</t>
  </si>
  <si>
    <t>Ticketing Jambi</t>
  </si>
  <si>
    <t>SURABAYA TIKETING</t>
  </si>
  <si>
    <t>62 811 617 7701</t>
  </si>
  <si>
    <t>Ticketing Tanjung Pinang</t>
  </si>
  <si>
    <t>TANJUNG SELOR</t>
  </si>
  <si>
    <t>62 811 617 7702</t>
  </si>
  <si>
    <t>Ticketing Pekanbaru</t>
  </si>
  <si>
    <t>LONG APUNG</t>
  </si>
  <si>
    <t>62 811 617 7703</t>
  </si>
  <si>
    <t>WAMENA TIKETING</t>
  </si>
  <si>
    <t>Ticketing Pangaraian</t>
  </si>
  <si>
    <t>FAK FAK TIKETING &gt; MANOKWARI</t>
  </si>
  <si>
    <t>62 811 617 7704</t>
  </si>
  <si>
    <t>Ticketing TB Karimun</t>
  </si>
  <si>
    <t>TIMIKA TIKETING &gt; IT ROOM</t>
  </si>
  <si>
    <t>62 811 617 7706</t>
  </si>
  <si>
    <t>DM Dabo</t>
  </si>
  <si>
    <t>LEGAL EX ZATI</t>
  </si>
  <si>
    <t>LEGAL FEBRI</t>
  </si>
  <si>
    <t>ALEX - REVENUE</t>
  </si>
  <si>
    <t>62 811 617 7718</t>
  </si>
  <si>
    <t>Ticketing Pasaman Barat</t>
  </si>
  <si>
    <t>SECURITY CLEARANCE</t>
  </si>
  <si>
    <t>62 811 631 632</t>
  </si>
  <si>
    <t>Check In KNO Medan</t>
  </si>
  <si>
    <t>62 811 744 1523</t>
  </si>
  <si>
    <t>Ticketing Palembang</t>
  </si>
  <si>
    <t>DEKAI TICKETING</t>
  </si>
  <si>
    <t>62 811 744 1524</t>
  </si>
  <si>
    <t>Ticketing Pagar Alam</t>
  </si>
  <si>
    <t>62 811 2021 1959</t>
  </si>
  <si>
    <t>SA MEDIA</t>
  </si>
  <si>
    <t>DTU PPC NUSAWIRU</t>
  </si>
  <si>
    <t>62 811 2001 1913</t>
  </si>
  <si>
    <t>BC Makasar</t>
  </si>
  <si>
    <t>62 811 2001 1914</t>
  </si>
  <si>
    <t>Inan - Portable Modem</t>
  </si>
  <si>
    <t>Reissue</t>
  </si>
  <si>
    <t>62 811 2001 1915</t>
  </si>
  <si>
    <t>PAK DADANG KOMISARIS</t>
  </si>
  <si>
    <t>62 811 2001 1916</t>
  </si>
  <si>
    <t>AP - ARIE</t>
  </si>
  <si>
    <t>62 8112 001 1917</t>
  </si>
  <si>
    <t>Resky  kupang (Unit Rote)</t>
  </si>
  <si>
    <t>62 8112 001 1918</t>
  </si>
  <si>
    <t>AP - SENI</t>
  </si>
  <si>
    <t>62 8112 001 1919</t>
  </si>
  <si>
    <t>AP - RISMA</t>
  </si>
  <si>
    <t>62 8112 021 1745</t>
  </si>
  <si>
    <t>62 8112 2300 611</t>
  </si>
  <si>
    <t>HILMAN CAFE &gt; IT</t>
  </si>
  <si>
    <t>PAK MIKO</t>
  </si>
  <si>
    <t>PALANGKARAYA</t>
  </si>
  <si>
    <t>KUALAPAMBUANG</t>
  </si>
  <si>
    <t>RAMPI</t>
  </si>
  <si>
    <t>MEKANIK</t>
  </si>
  <si>
    <t>RAISA</t>
  </si>
  <si>
    <t>FAREL - DATA ANALYST</t>
  </si>
  <si>
    <t>Legal Dept (Bella)</t>
  </si>
  <si>
    <t>ALFIN - REVENUE</t>
  </si>
  <si>
    <t>PHILIP - MT VET</t>
  </si>
  <si>
    <t>ASISTANT GM - ANDRE</t>
  </si>
  <si>
    <t>ZULFA - MT AR</t>
  </si>
  <si>
    <t>OCC (WA)</t>
  </si>
  <si>
    <t>PAK TAQWA (Pandulaut)</t>
  </si>
  <si>
    <t>NENI TREASURY</t>
  </si>
  <si>
    <t>MAULANA</t>
  </si>
  <si>
    <t>NENI</t>
  </si>
  <si>
    <t>PURCHASING NSW</t>
  </si>
  <si>
    <t>HUSNI - RECEIVING INSPECTOR</t>
  </si>
  <si>
    <t>DICKY - LOGISTIC NUSAWIRU</t>
  </si>
  <si>
    <t>DEWI - PPC NSW</t>
  </si>
  <si>
    <t>FARIED - CHIEF PPC</t>
  </si>
  <si>
    <t>TICKETING WAINGAPU</t>
  </si>
  <si>
    <t>HR AUDREY</t>
  </si>
  <si>
    <t>HR NABILA</t>
  </si>
  <si>
    <t>HR PAYROLL - TATI</t>
  </si>
  <si>
    <t>ADMIN LOGISTIK</t>
  </si>
  <si>
    <t>MSISDN</t>
  </si>
  <si>
    <t>Position - Department</t>
  </si>
  <si>
    <t>Package</t>
  </si>
  <si>
    <t>YULIANTI PURNAMASARI</t>
  </si>
  <si>
    <t>AZRA</t>
  </si>
  <si>
    <t>GEOFFREY</t>
  </si>
  <si>
    <t>NADINE PASCALE KAISER</t>
  </si>
  <si>
    <t>SHANDY BAYU ERLANGGA</t>
  </si>
  <si>
    <t>YUSNAEDAR OKKY</t>
  </si>
  <si>
    <t>ISMI HIDAYATUR RAHMA</t>
  </si>
  <si>
    <t>EX TREASURY YULIVIA</t>
  </si>
  <si>
    <t>IQBAL ACHMAD SHALEH</t>
  </si>
  <si>
    <t>MUHAMMAD IBRAHIM KHULUQIN ADZIM</t>
  </si>
  <si>
    <t>OBET SIMON</t>
  </si>
  <si>
    <t>GC MALINAU</t>
  </si>
  <si>
    <t>YACHO HARMAS SINAGA</t>
  </si>
  <si>
    <t>PERSONAL ASSISTANT IBU</t>
  </si>
  <si>
    <t>DUSTIN GUNAWAN SITOMPUL</t>
  </si>
  <si>
    <t>SILVIA IZZA NABILA</t>
  </si>
  <si>
    <t>WEALA DESSY</t>
  </si>
  <si>
    <t>MELANI WAHYU DIANA</t>
  </si>
  <si>
    <t>MUHAMAD RIDWAN ASSIDIQ</t>
  </si>
  <si>
    <t>RICHARDO</t>
  </si>
  <si>
    <t>SQS MANAGER</t>
  </si>
  <si>
    <t>AUDREY</t>
  </si>
  <si>
    <t>SAMUEL JUNIUS</t>
  </si>
  <si>
    <t>ACCOUNTING KAS DAN BANK</t>
  </si>
  <si>
    <t>LITA NUR HARTIKA DUWILA</t>
  </si>
  <si>
    <t>SUCI AZ-ZAHRA PARIOSA</t>
  </si>
  <si>
    <t>WILDAN</t>
  </si>
  <si>
    <t>LUKE</t>
  </si>
  <si>
    <t>GALAND</t>
  </si>
  <si>
    <t>OPS HALIM JAKARTA</t>
  </si>
  <si>
    <t>AGRECIA SURAPANA BR SITEPU</t>
  </si>
  <si>
    <t>MELANI AYU PERMATA SARI</t>
  </si>
  <si>
    <t>NAYLA ZAHRA NAKEISHA</t>
  </si>
  <si>
    <t>Halo+</t>
  </si>
  <si>
    <t>GIFFARI</t>
  </si>
  <si>
    <t>PUTRI ANGGRIANA</t>
  </si>
  <si>
    <t>SEKAR GADING</t>
  </si>
  <si>
    <t>HR RECRUITMENT</t>
  </si>
  <si>
    <t>FAZA</t>
  </si>
  <si>
    <t>MT GENERAL - WATERSPORT</t>
  </si>
  <si>
    <t>MERCHANDISE</t>
  </si>
  <si>
    <t>TIKA MUSTIKA</t>
  </si>
  <si>
    <t>ISNA PUTRI</t>
  </si>
  <si>
    <t>ENOK</t>
  </si>
  <si>
    <t>ADMIN CV BAS</t>
  </si>
  <si>
    <t>WANTORO</t>
  </si>
  <si>
    <t>TOKEN BANK</t>
  </si>
  <si>
    <t>VINSENSIA AMITA INVIOLA MEO DUE</t>
  </si>
  <si>
    <t>NUR YAFI NAUFAL</t>
  </si>
  <si>
    <t>JUAN HARRIS YEDIDJA MALEGA</t>
  </si>
  <si>
    <t>ABDAN SHAKUR SURYANA</t>
  </si>
  <si>
    <t>Compack Enterprise Silver Granular</t>
  </si>
  <si>
    <t>ADYAN MUHAMMAD HASBY</t>
  </si>
  <si>
    <t>Halo+ 250K</t>
  </si>
  <si>
    <t>NIKO REYHAN PUTRA</t>
  </si>
  <si>
    <t>GC GUNUNG SITOLI</t>
  </si>
  <si>
    <t>ROHMAT YULIARDI</t>
  </si>
  <si>
    <t>Halo+ bold 80K</t>
  </si>
  <si>
    <t>DERI</t>
  </si>
  <si>
    <t>LULU HASNA SAFINATUNNAZAH</t>
  </si>
  <si>
    <t>012-B/VI/2022</t>
  </si>
  <si>
    <t>5CD1379V63</t>
  </si>
  <si>
    <t>MODEM PORTABLE</t>
  </si>
  <si>
    <t>ADMIN  TERNATE</t>
  </si>
  <si>
    <t>SAIF AL DAFFA</t>
  </si>
  <si>
    <t>RAUL HENRYAWAN</t>
  </si>
  <si>
    <t>MUHAMMAD SETIAWAN GUSMI</t>
  </si>
  <si>
    <t>MUHAMMAD FAHRI PRATAMA</t>
  </si>
  <si>
    <t xml:space="preserve">ALL OPS TELLO </t>
  </si>
  <si>
    <t>ISAH RATNASARI</t>
  </si>
  <si>
    <t>HAFIZ AL AMIN</t>
  </si>
  <si>
    <t>DWI INDRA</t>
  </si>
  <si>
    <t>GORONTALO</t>
  </si>
  <si>
    <t>AGSELLA RUTH RADIANTIKA</t>
  </si>
  <si>
    <t>EX ZATI &gt; ICHRAMA</t>
  </si>
  <si>
    <t>FR1D9Y2</t>
  </si>
  <si>
    <t>MUHAMAD RAZIB</t>
  </si>
  <si>
    <t xml:space="preserve">DTU </t>
  </si>
  <si>
    <t>ANNISA ZATA</t>
  </si>
  <si>
    <t>MUHAMMAD BAMBANG KURNIAWAN</t>
  </si>
  <si>
    <t>SELVI</t>
  </si>
  <si>
    <t>RAISANAYA</t>
  </si>
  <si>
    <t>FARREL ABYASNSAH</t>
  </si>
  <si>
    <t>VANNESA WUWUNG</t>
  </si>
  <si>
    <t>RAHULTRI PRATAMA YARWAN</t>
  </si>
  <si>
    <t>ALFYANDA FAHREZA</t>
  </si>
  <si>
    <t>MT - ACCOUNT RECEIVABLE</t>
  </si>
  <si>
    <t>R9CTB0432CN</t>
  </si>
  <si>
    <t>COORDINATOR PPC</t>
  </si>
  <si>
    <t>LEONY EKA PRAKASA &gt; AZRIEL</t>
  </si>
  <si>
    <t>WINDA PARWATI</t>
  </si>
  <si>
    <t>M JULIO ALKINDY</t>
  </si>
  <si>
    <t>PAK DADANG</t>
  </si>
  <si>
    <t>KOMISARIS</t>
  </si>
  <si>
    <t>PUPU</t>
  </si>
  <si>
    <t>SECURITY CLEARANCE JAKARTA</t>
  </si>
  <si>
    <t>CHARTER PADANG/BC PADANG</t>
  </si>
  <si>
    <t>ADMIN AMO</t>
  </si>
  <si>
    <t>C02M61W7FD59</t>
  </si>
  <si>
    <t>INSTRUCTOR FLYING SCHOOL</t>
  </si>
  <si>
    <t>AHMAD INSAN FAZA</t>
  </si>
  <si>
    <t>QUALITY FS</t>
  </si>
  <si>
    <t>HR MAINTENANCE</t>
  </si>
  <si>
    <t>Category</t>
  </si>
  <si>
    <t>Iphone 7 - Black</t>
  </si>
  <si>
    <t>FYQX66F3HG04</t>
  </si>
  <si>
    <t>PAK TAQWA</t>
  </si>
  <si>
    <t>PANDULAUT</t>
  </si>
  <si>
    <t>CC BUMI PAKIDULAN</t>
  </si>
  <si>
    <t xml:space="preserve">CALL CENTER </t>
  </si>
  <si>
    <t>FFMDFPJ6PLJR</t>
  </si>
  <si>
    <t>PURCHASING</t>
  </si>
  <si>
    <t>3W4FJW1</t>
  </si>
  <si>
    <t>HARY / BU SANTI KUMALA</t>
  </si>
  <si>
    <t>RIFDAH</t>
  </si>
  <si>
    <t>MUHAMMAD IHSAN BASMIL</t>
  </si>
  <si>
    <t>ALL OPS SINABANG</t>
  </si>
  <si>
    <t>BC YOGYAKARTA</t>
  </si>
  <si>
    <t>MUHAMMAD FATHUR RAHMAN</t>
  </si>
  <si>
    <t>Layanan 75K ESC MVPN</t>
  </si>
  <si>
    <t>BATAM</t>
  </si>
  <si>
    <t>SUSI ENVIRONMENTAL SCHOOL</t>
  </si>
  <si>
    <t>DIVA</t>
  </si>
  <si>
    <t>AVALILABLE IT ROOM</t>
  </si>
  <si>
    <t>v</t>
  </si>
  <si>
    <t>DM JAKARTA (?)</t>
  </si>
  <si>
    <t>v sdk</t>
  </si>
  <si>
    <t>EX ADHITAMA HARYA</t>
  </si>
  <si>
    <t>NO CONTACT AT HR / RESIGN</t>
  </si>
  <si>
    <t>EX OCC</t>
  </si>
  <si>
    <t>014-B/VI/2022</t>
  </si>
  <si>
    <t>5CD1379V5K</t>
  </si>
  <si>
    <t>EX KOPERASI</t>
  </si>
  <si>
    <t>apn</t>
  </si>
  <si>
    <t>EX DATAHDAWAI</t>
  </si>
  <si>
    <t>EX TICKETING TIMIKA</t>
  </si>
  <si>
    <t>bgs</t>
  </si>
  <si>
    <t>EX TANAH MERAH</t>
  </si>
  <si>
    <t>HP IPHONE 8 - BLACK</t>
  </si>
  <si>
    <t>EX BC TIMIKA</t>
  </si>
  <si>
    <t>C8QX9K1UJC67</t>
  </si>
  <si>
    <t>EX TICKETING TANAH MERAH</t>
  </si>
  <si>
    <t>ADMIN DEKAI</t>
  </si>
  <si>
    <t>ALL OPS PEKANBARU</t>
  </si>
  <si>
    <t>GC FAK FAK</t>
  </si>
  <si>
    <t>recreate</t>
  </si>
  <si>
    <t>IBU (EX BCC)</t>
  </si>
  <si>
    <t>015-C/VI/2021</t>
  </si>
  <si>
    <t>JLW5863</t>
  </si>
  <si>
    <t>IBU (EX GA JAJAT)</t>
  </si>
  <si>
    <t>IBU (EX LEONEL)</t>
  </si>
  <si>
    <t>IBU (EX OCC)</t>
  </si>
  <si>
    <t>HL06863</t>
  </si>
  <si>
    <t xml:space="preserve"> TANAH MERAH</t>
  </si>
  <si>
    <t>IBU (EX WAHYUDI DIR KEUANGAN)</t>
  </si>
  <si>
    <t>IBU (EX RUSTAM)</t>
  </si>
  <si>
    <t>032-B/V/2022</t>
  </si>
  <si>
    <t>FX6GKW1</t>
  </si>
  <si>
    <t>Nomor</t>
  </si>
  <si>
    <t>Paket</t>
  </si>
  <si>
    <t>name</t>
  </si>
  <si>
    <t>Compack Enterprise Diamond Granular</t>
  </si>
  <si>
    <t>Ekstra Kuota B2B13</t>
  </si>
  <si>
    <t>Halo+_Device_Bold_Kontrak_100K</t>
  </si>
  <si>
    <t>Ekstra_Kuota_Combo</t>
  </si>
  <si>
    <t>MP1DT7T5</t>
  </si>
  <si>
    <t>Ekstra Kuota Data 40K</t>
  </si>
  <si>
    <t>Ekstra_Kuota_Berlangganan</t>
  </si>
  <si>
    <t>Halo_Diaspora_Western_-_Roaming</t>
  </si>
  <si>
    <t>Compack Enterprise Bronze Granular</t>
  </si>
  <si>
    <t>003-B/VI/2023</t>
  </si>
  <si>
    <t>RR8R709Z4QF</t>
  </si>
  <si>
    <t>Ekstra_Kuota_Data</t>
  </si>
  <si>
    <t>HP SAMSUNG GALAXY A10S</t>
  </si>
  <si>
    <t>R9CR102M2BJ</t>
  </si>
  <si>
    <t>VPN Mobile PBX Pack 4</t>
  </si>
  <si>
    <t>014-C/VI/2021</t>
  </si>
  <si>
    <t>6W06863</t>
  </si>
  <si>
    <t>HP SAMSUNG GALAXY A02</t>
  </si>
  <si>
    <t>RR8R90951LF</t>
  </si>
  <si>
    <t>Ekstra Kuota Data 120K</t>
  </si>
  <si>
    <t>Compack Enterprise Platinum Granular</t>
  </si>
  <si>
    <t>HP SAMSUNG GALAXY A10</t>
  </si>
  <si>
    <t>New Ekstra Kuota 10GB</t>
  </si>
  <si>
    <t>RR8M410TWYA</t>
  </si>
  <si>
    <t>HP SAMSUNG GALAXY A01</t>
  </si>
  <si>
    <t>RR8R404590T</t>
  </si>
  <si>
    <t>Ekstra Kuota Data 10GB RC</t>
  </si>
  <si>
    <t>R9CW4015JST</t>
  </si>
  <si>
    <t>RR8M40RV9PY</t>
  </si>
  <si>
    <t>Ekstra Kuota 10GB 4G</t>
  </si>
  <si>
    <t>Compack Enterprise Gold Granular</t>
  </si>
  <si>
    <t>TABLET ASUS FONEPAD 8</t>
  </si>
  <si>
    <t>EAOKBC108067</t>
  </si>
  <si>
    <t>FFMZC7DMN1N1</t>
  </si>
  <si>
    <t>Ekstra Kuota Data 20GB 80rb RC</t>
  </si>
  <si>
    <t>011-B/VI/2023</t>
  </si>
  <si>
    <t>RR8T407PAMY</t>
  </si>
  <si>
    <t>Add On Voice B2B All 500 min net 100K</t>
  </si>
  <si>
    <t>R9CNB00AHLJ</t>
  </si>
  <si>
    <t>RR8M512RDBJ</t>
  </si>
  <si>
    <t>R9CN9001DWJ</t>
  </si>
  <si>
    <t>RR8M512RWBL</t>
  </si>
  <si>
    <t>Ekstra Kuota Data 200K</t>
  </si>
  <si>
    <t>F4HVK6B1JC67</t>
  </si>
  <si>
    <t>Halo+_120K</t>
  </si>
  <si>
    <t>PC</t>
  </si>
  <si>
    <t>Need Repaired</t>
  </si>
  <si>
    <t>CNC75GODS</t>
  </si>
  <si>
    <t>GEDUNG</t>
  </si>
  <si>
    <t>LOKASI</t>
  </si>
  <si>
    <t>IP CAMERA LAMA</t>
  </si>
  <si>
    <t>IP CAMERA BARU</t>
  </si>
  <si>
    <t>010-B/VI/2023</t>
  </si>
  <si>
    <t>M1903C3EG</t>
  </si>
  <si>
    <t>MacBook Pro 13.3 SL/8C CPU/ 1UC GPU/8G8/512G8-ITP</t>
  </si>
  <si>
    <t>003-B/III/2023</t>
  </si>
  <si>
    <t>V92XVIHYYN</t>
  </si>
  <si>
    <t>ASKING TO INAN</t>
  </si>
  <si>
    <t>INAN DONT KNOW</t>
  </si>
  <si>
    <t>005-B/III/2023</t>
  </si>
  <si>
    <t>M4GYXsWTYC</t>
  </si>
  <si>
    <t>MacBook Pro 16 SL/12C/19C GPU/16G/512G ITP</t>
  </si>
  <si>
    <t>F446T9QQWL</t>
  </si>
  <si>
    <t>R9CR202B8PJ</t>
  </si>
  <si>
    <t>MacBook Air 13.6 STL/8C GPU/8GB/256GB ITP</t>
  </si>
  <si>
    <t>001-B/III/2023</t>
  </si>
  <si>
    <t>GK607MRW9X</t>
  </si>
  <si>
    <t>MACKBOOK AIR 2022 - M2 - NFJDGVX42C</t>
  </si>
  <si>
    <t>MacBook Pro 2019 16" Inch I9 2,3Ghz 16GB 1TB MVVK2 Gray MVVM2 Silver - MVVK2 Gray</t>
  </si>
  <si>
    <t>001-A/V/2020</t>
  </si>
  <si>
    <t>MacBook Pro 2019 16" Inch I9 2,3Ghz 16GB 1TB MVVK2 Gray MVVM2 Silver - MVVM2 Silver</t>
  </si>
  <si>
    <t>002-A/V/2020</t>
  </si>
  <si>
    <t>Armand Hilmansyah</t>
  </si>
  <si>
    <t>004-B/III/2023</t>
  </si>
  <si>
    <t>FQQCGJJKDF</t>
  </si>
  <si>
    <t>RUMAH JAKARTA</t>
  </si>
  <si>
    <t>Ipad 7 2019 - Space Grey</t>
  </si>
  <si>
    <t>Mba Melly</t>
  </si>
  <si>
    <t>PHONE IS NOT AT MELLY</t>
  </si>
  <si>
    <t>PHONE IS NOT AT SENTANI</t>
  </si>
  <si>
    <t xml:space="preserve">Nurul </t>
  </si>
  <si>
    <t>Email &amp; 1stDibs</t>
  </si>
  <si>
    <t>EMAIL ?</t>
  </si>
  <si>
    <t>Pak Budi (Kontraktor)</t>
  </si>
  <si>
    <t>NO CONTACT AT HR</t>
  </si>
  <si>
    <t>Pak Budi ( Ocean Wealth )</t>
  </si>
  <si>
    <t>067-B/VI/2023</t>
  </si>
  <si>
    <t>R9CW6025WEB</t>
  </si>
  <si>
    <t>HP SAMSUNG GALAXY A04 - R9CW6025WEB - 24072023.jpg</t>
  </si>
  <si>
    <t>Existence</t>
  </si>
  <si>
    <t>LAPTOP DELL VOSTRO 14 - R5 - 8GB</t>
  </si>
  <si>
    <t>SIGIT - OCC</t>
  </si>
  <si>
    <t>10 Juni 2023</t>
  </si>
  <si>
    <t>FLIGHT FOLLOWING - OCC</t>
  </si>
  <si>
    <t>HP REALME C2 - BLACK</t>
  </si>
  <si>
    <t>PURCHASE REQUISITION LIST</t>
  </si>
  <si>
    <t>Prepared By</t>
  </si>
  <si>
    <t>Description</t>
  </si>
  <si>
    <t>QTY</t>
  </si>
  <si>
    <t>Usage</t>
  </si>
  <si>
    <t>HR DEPARTMENT</t>
  </si>
  <si>
    <t>Madhe Yanti</t>
  </si>
  <si>
    <t>LAPTOP</t>
  </si>
  <si>
    <t>HR Generalis</t>
  </si>
  <si>
    <t>21/06/2023</t>
  </si>
  <si>
    <t>NEW LAPTOP</t>
  </si>
  <si>
    <t>HP</t>
  </si>
  <si>
    <t>HR Customer Service &amp; HR Recruitment</t>
  </si>
  <si>
    <t>NEW HP</t>
  </si>
  <si>
    <t>REISSUE 9909</t>
  </si>
  <si>
    <t>HR Recruitment</t>
  </si>
  <si>
    <t>old pc HR</t>
  </si>
  <si>
    <t>Mochamad Syidiq Fahrul</t>
  </si>
  <si>
    <t>THERMAL PASTE</t>
  </si>
  <si>
    <t>Maintenance</t>
  </si>
  <si>
    <t>15/06/2023</t>
  </si>
  <si>
    <t>SCREWDRIVER SET</t>
  </si>
  <si>
    <t xml:space="preserve"> MANOKWARI</t>
  </si>
  <si>
    <t>Ananda Cahya Kamila Aviasi</t>
  </si>
  <si>
    <t xml:space="preserve"> Coordinator</t>
  </si>
  <si>
    <t>Alfina Mika Damayanti</t>
  </si>
  <si>
    <t>Repairing List</t>
  </si>
  <si>
    <t>Ticketing</t>
  </si>
  <si>
    <t>14/06/2023</t>
  </si>
  <si>
    <t>Invent</t>
  </si>
  <si>
    <t>Invent Code / SN</t>
  </si>
  <si>
    <t>Action</t>
  </si>
  <si>
    <t xml:space="preserve">KEYBOARD SPAREPART </t>
  </si>
  <si>
    <t>General Affair</t>
  </si>
  <si>
    <t>Slow PC, Fan Noisy</t>
  </si>
  <si>
    <t>for Laptop Surabaya</t>
  </si>
  <si>
    <t>SA-PND-IT/001/0051</t>
  </si>
  <si>
    <t>DONE</t>
  </si>
  <si>
    <t>GA</t>
  </si>
  <si>
    <t>19/07/2023</t>
  </si>
  <si>
    <t xml:space="preserve">ADMIN </t>
  </si>
  <si>
    <t xml:space="preserve">Accounting </t>
  </si>
  <si>
    <t>24/06/2023</t>
  </si>
  <si>
    <t>Cant Connect Outlook Account</t>
  </si>
  <si>
    <t xml:space="preserve"> TARAKAN</t>
  </si>
  <si>
    <t>Nur Sayidah Rifqoh</t>
  </si>
  <si>
    <t>ANIDA</t>
  </si>
  <si>
    <t>TANJUNG SELOR &amp; LONG APUNG</t>
  </si>
  <si>
    <t>30/06/2023</t>
  </si>
  <si>
    <t>Slow PC</t>
  </si>
  <si>
    <t>ORBIT</t>
  </si>
  <si>
    <t>TICKETING &amp; MESS</t>
  </si>
  <si>
    <t>TIMIKA ORBIT?</t>
  </si>
  <si>
    <t xml:space="preserve"> DABO</t>
  </si>
  <si>
    <t>Marfina Agustianis</t>
  </si>
  <si>
    <t>SERVICE COMPUTER</t>
  </si>
  <si>
    <t>Install E Faktur menjadi server</t>
  </si>
  <si>
    <t>PROJEKTOR</t>
  </si>
  <si>
    <t>YUNI</t>
  </si>
  <si>
    <t>Nadine Office</t>
  </si>
  <si>
    <t>13/07/2023</t>
  </si>
  <si>
    <t xml:space="preserve">PRINTER </t>
  </si>
  <si>
    <t>Simulator &amp; OCC</t>
  </si>
  <si>
    <t>HP + SIM Card</t>
  </si>
  <si>
    <t xml:space="preserve"> Unit</t>
  </si>
  <si>
    <t>18/07/2023</t>
  </si>
  <si>
    <t>Request ke mba Nadine</t>
  </si>
  <si>
    <t>14/07/2023</t>
  </si>
  <si>
    <t>1 for SC, 1 for Rumah Tangga</t>
  </si>
  <si>
    <t xml:space="preserve"> MAKASAR</t>
  </si>
  <si>
    <t>Jeremy Jordan Rumi</t>
  </si>
  <si>
    <t>31/07/2023</t>
  </si>
  <si>
    <t>ROUTER</t>
  </si>
  <si>
    <t xml:space="preserve">TAPE LABEL </t>
  </si>
  <si>
    <t>USB HUB Converter</t>
  </si>
  <si>
    <t>Dell XPS</t>
  </si>
  <si>
    <t>LIDYA</t>
  </si>
  <si>
    <t>ENDAH</t>
  </si>
  <si>
    <t>Indah</t>
  </si>
  <si>
    <t>Charger</t>
  </si>
  <si>
    <t>FLIGHT SECURITY</t>
  </si>
  <si>
    <t>Jodia</t>
  </si>
  <si>
    <t>Phone</t>
  </si>
  <si>
    <t>Stock</t>
  </si>
  <si>
    <t>MUTIA MAULIDA - ADMIN EXPAT</t>
  </si>
  <si>
    <t xml:space="preserve">PUTRI RISDYA - ADMIN TRAINING </t>
  </si>
  <si>
    <t>CICIN - ADMIN TRAINING</t>
  </si>
  <si>
    <t>EX DIKRI - ADMIN TRAINING (NO USER)</t>
  </si>
  <si>
    <t>Need Upgrade RAM</t>
  </si>
  <si>
    <t>PRINTER EPSON L4260</t>
  </si>
  <si>
    <t>SAMSUNG GALAXY A04 4/64 - COPPER</t>
  </si>
  <si>
    <t>REZKY ARYANI PUTRI - TRAVEL</t>
  </si>
  <si>
    <t>MARISA HERDIANTO - CHARTER</t>
  </si>
  <si>
    <t>ONLY CHARGER</t>
  </si>
  <si>
    <t>LAPTOP Dell Vostro 3405 AMD R5 - 512GB - 8GB RAM</t>
  </si>
  <si>
    <t>TAS + CHARGER</t>
  </si>
  <si>
    <t>LAPTOP HP PAVILION 14-DV0517</t>
  </si>
  <si>
    <t>NADIA WINDA DAMARANTI - HR EXPAT</t>
  </si>
  <si>
    <t>ICHRAMA RENGGITA EKHANANTA - COMPANY LAWYER</t>
  </si>
  <si>
    <t>HP IPHONE X - BLACK</t>
  </si>
  <si>
    <t>NO CHARGER</t>
  </si>
  <si>
    <t>HP IPHONE 8 - WHITE</t>
  </si>
  <si>
    <t>HO LT3</t>
  </si>
  <si>
    <t>LAPTOP DELL XPS 13 7390 - I5 11210 - 8GB</t>
  </si>
  <si>
    <t>NUR HASAN ASYIKARI - ACCOUNTING</t>
  </si>
  <si>
    <t>LENGKAP</t>
  </si>
  <si>
    <t>SENI JUNIARTI - ACCOUNT PAYABLE</t>
  </si>
  <si>
    <t>66q33p1</t>
  </si>
  <si>
    <t>mouse kadang error</t>
  </si>
  <si>
    <t>ANIDA RACHMAWATI - ACCOUNTING</t>
  </si>
  <si>
    <t>DEDE HANI FITRIANI - ACCOUNTING</t>
  </si>
  <si>
    <t>NITA MAWADAH - CHASER</t>
  </si>
  <si>
    <t>NO USER (FOR BACKUP)</t>
  </si>
  <si>
    <t>RISMA DEWI - ACCOUNT PAYABLE</t>
  </si>
  <si>
    <t>VS80472142</t>
  </si>
  <si>
    <t>VINDI AINUN AMALIASARI - ACCOUNTING</t>
  </si>
  <si>
    <t>SUJIUN - MARINE</t>
  </si>
  <si>
    <t>YUNI KURNAESIH - ACCOUNTING AND TAX</t>
  </si>
  <si>
    <t>YANTI MULYANTI - ACCOUNTING</t>
  </si>
  <si>
    <t>PUJI HANIFAH - CHASER</t>
  </si>
  <si>
    <t>RENI - CHASER</t>
  </si>
  <si>
    <t>007/B/XI/2020</t>
  </si>
  <si>
    <t>INDAH KURNIASARI - PERINTIS</t>
  </si>
  <si>
    <t>WINARTI - PERINTIS</t>
  </si>
  <si>
    <t>LAPTOP DELL VOSTRO 3405 AMD R5 - 512GB - 8GB RAM</t>
  </si>
  <si>
    <t>NENI OKTAVIANI - TREASURY</t>
  </si>
  <si>
    <t>LAPTOP DELL INSPIRON 15 3000 - i5 - 16GB RAM</t>
  </si>
  <si>
    <t>MIKO YULIANTO SUJATMIKO - ADMINISTRATOR CV BAS</t>
  </si>
  <si>
    <t>NO USER</t>
  </si>
  <si>
    <t>HP NOKIA 105</t>
  </si>
  <si>
    <t>LAPTOP DELL INSPIRON 15 3521 - i3 - 4GB</t>
  </si>
  <si>
    <t>FITRI NUR LATIFAH RUSWANDI - RECRUITING OFFICER</t>
  </si>
  <si>
    <t>TATI SURYATI - ADMIN HR</t>
  </si>
  <si>
    <t>HR ROOM</t>
  </si>
  <si>
    <t>MADE - HRD MANAGER</t>
  </si>
  <si>
    <t>09 Juni 2023</t>
  </si>
  <si>
    <t>LAPTOP DELL XPS 13 - i5 - 8GB</t>
  </si>
  <si>
    <t xml:space="preserve"> NUSAWIRU</t>
  </si>
  <si>
    <t>HP SAMSUNG GALAXY A10s - Black</t>
  </si>
  <si>
    <t>PRINTER HP LASERJET P1102</t>
  </si>
  <si>
    <t>PRINTER EPSON L385</t>
  </si>
  <si>
    <t>LAPTOP DELL VOSTRO 3405 AMD R5-512 GB - 8GB RAM</t>
  </si>
  <si>
    <t>HP SAMSUNG GALAXY A04 - Black</t>
  </si>
  <si>
    <t>SPEAKER RUSAK</t>
  </si>
  <si>
    <t>006/0004 SA - TRK - IT</t>
  </si>
  <si>
    <t>LAPTOP DELL INSPIRON 15 3421 - i3 - 4GB</t>
  </si>
  <si>
    <t>NEED REPLACE BATTERY</t>
  </si>
  <si>
    <t>COUNTER TICKET</t>
  </si>
  <si>
    <t>DESKTOP PC ALL IN ONE - i7 - 12GB</t>
  </si>
  <si>
    <t>HP SAMSUNG GALAXY A13</t>
  </si>
  <si>
    <t xml:space="preserve">LAPTOP DELL XPS 13 7390 - i5 - 8GB </t>
  </si>
  <si>
    <t>SEKAR - MEDIA</t>
  </si>
  <si>
    <t>025-B-VI-2022</t>
  </si>
  <si>
    <t>03 Juni 2023</t>
  </si>
  <si>
    <t>EX NANTA</t>
  </si>
  <si>
    <t>LAPTOP MACKBOOK PRO 2021 - M1 PRO - 16GB</t>
  </si>
  <si>
    <t>GUSTI BAGUS - MEDIA</t>
  </si>
  <si>
    <t>PRINTER INK TANK 315</t>
  </si>
  <si>
    <t>LAPTOP MACKBOOK PRO 2019 - i7 - 16GB</t>
  </si>
  <si>
    <t>YUDA SETIAWAN - MEDIA</t>
  </si>
  <si>
    <t>LAPTOP DELL LATITUDE 15 - 4GB</t>
  </si>
  <si>
    <t>SEKAR RAHMADANI KUMORONINGRUM</t>
  </si>
  <si>
    <t xml:space="preserve">LAPTOP LENOVO IDEAPAD 320S - i5 </t>
  </si>
  <si>
    <t>023-B-VI-2022</t>
  </si>
  <si>
    <t>IMAC 24 SLV/8C CPU/8C GPU/8GB/512GB-ITP</t>
  </si>
  <si>
    <t>C02JN1RRQ6W2</t>
  </si>
  <si>
    <t>SEKAR MEDIA TEAM</t>
  </si>
  <si>
    <t>PC RAKITAN</t>
  </si>
  <si>
    <t>ZTTPHMAC504752P</t>
  </si>
  <si>
    <t>HP SAMSUNG A10 - BLUE</t>
  </si>
  <si>
    <t>099-B/VI/2023</t>
  </si>
  <si>
    <t>HP REDMI 7A - BLACK</t>
  </si>
  <si>
    <t>LAPTOP DELL INSPIRON 15 3521 - INTEL CELERON  - 2GB</t>
  </si>
  <si>
    <t>PRINTER CANON IP 2770</t>
  </si>
  <si>
    <t>LAPTOP DELL VOSTRO 3405 - AMD RYZEN 5 - 8GB</t>
  </si>
  <si>
    <t xml:space="preserve"> WAMENA</t>
  </si>
  <si>
    <t>7KLGHY3</t>
  </si>
  <si>
    <t>HP SAMSUNG GALAXY A10S - BLACK</t>
  </si>
  <si>
    <t>LAPTOP DELL LATITUDE 15 - i3 - 4GB</t>
  </si>
  <si>
    <t>14 Juni 2023</t>
  </si>
  <si>
    <t xml:space="preserve"> SORONG</t>
  </si>
  <si>
    <t>HP SAMSUNG GALAXY A04 - BLACK</t>
  </si>
  <si>
    <t>LAPTOP DELL VOSTRO 14 3000 - R5 - 8GB</t>
  </si>
  <si>
    <t>PRINTER EPSON L220</t>
  </si>
  <si>
    <t xml:space="preserve"> KUPANG</t>
  </si>
  <si>
    <t>PC DELL - INTEL COR2DUO - 4 GB</t>
  </si>
  <si>
    <t xml:space="preserve">LAPTOP DELL INSPIRON 3421 </t>
  </si>
  <si>
    <t>028-B-VI-2022</t>
  </si>
  <si>
    <t>HP SAMSUNG GALAXY A10 - BLUE</t>
  </si>
  <si>
    <t>PC Lenovo V530-22ICB AIO - i7, 8th Gen - 8GB</t>
  </si>
  <si>
    <t>MP1FQB2W</t>
  </si>
  <si>
    <t>LAPTOP DELL VOSTRO 3405 - R5 - 512GB - 8GB RAM</t>
  </si>
  <si>
    <t>M. SYIDIQ FAHRUL - IT SUPPORT</t>
  </si>
  <si>
    <t xml:space="preserve">LAPTOP MACKBOOK PRO 2013 - i7 - 8GB </t>
  </si>
  <si>
    <t>WIAN AGUS - IT DEVELOPMENT</t>
  </si>
  <si>
    <t>ANDRE - MT IT</t>
  </si>
  <si>
    <t>HP BARU</t>
  </si>
  <si>
    <t>HP SAMSUNG GALAXY A04 - GREEN</t>
  </si>
  <si>
    <t>YOYO KUSWOYO - CALL CENTER</t>
  </si>
  <si>
    <t>NUR ALMAIDA MORREIRA / STEVANI AMALIA - CALL CENTER</t>
  </si>
  <si>
    <t>ANANG DARMAWI - CALL CENTER</t>
  </si>
  <si>
    <t>PWGBE0200612900C223000</t>
  </si>
  <si>
    <t>HP IPHONE SE - WHITE</t>
  </si>
  <si>
    <t>HP IPHONE 7 PLUS - BLACK</t>
  </si>
  <si>
    <t>HP SAMSUNG A13 - 4/128GB</t>
  </si>
  <si>
    <t>EX ADMIN EXPAT</t>
  </si>
  <si>
    <t>NADYA UMAROH / LESTI - STAF GA</t>
  </si>
  <si>
    <t>ALVIN PURNAMA DIHAR - DATA ANALYST</t>
  </si>
  <si>
    <t>WAHYU DWI SAPUTRA - DATA ANALIYST</t>
  </si>
  <si>
    <t>DESKTOP LENOVO B320 - i3 - 4GB</t>
  </si>
  <si>
    <t>PUSPUTA NURLAILA AP - DATA ANALIYST</t>
  </si>
  <si>
    <t>DIAN MARKUCI - DATA ANALYST</t>
  </si>
  <si>
    <t>SAMSUNG GALAXY A04</t>
  </si>
  <si>
    <t>026-B-VI-2022</t>
  </si>
  <si>
    <t>AMANDA  - SAFETY</t>
  </si>
  <si>
    <t>Amanda (Safety)</t>
  </si>
  <si>
    <t>HILMAN - SAFETY</t>
  </si>
  <si>
    <t>Asset Entry &amp; Update</t>
  </si>
  <si>
    <t>Today's Date</t>
  </si>
  <si>
    <t>Building</t>
  </si>
  <si>
    <t>Floor</t>
  </si>
  <si>
    <t>Office/Room</t>
  </si>
  <si>
    <t>AC Type</t>
  </si>
  <si>
    <t>Alvy</t>
  </si>
  <si>
    <t>Lantai 1</t>
  </si>
  <si>
    <t>Dining Room B</t>
  </si>
  <si>
    <t>AC Central</t>
  </si>
  <si>
    <t>Panas</t>
  </si>
  <si>
    <t>Last Updated</t>
  </si>
  <si>
    <t>Timestamp</t>
  </si>
  <si>
    <t>Head Office</t>
  </si>
  <si>
    <t>Ruang SQS Dept</t>
  </si>
  <si>
    <t>AC Central Daikin</t>
  </si>
  <si>
    <t>Ruang Chief Operation &amp; Chief Pilot</t>
  </si>
  <si>
    <t>AC Split Panasonic 1 Pk</t>
  </si>
  <si>
    <t>Ruang FF &amp; OCC Dept</t>
  </si>
  <si>
    <t>Ruang Call Centre &amp; Data Analis Dept</t>
  </si>
  <si>
    <t>Sudah agak dingin tapi masih panas</t>
  </si>
  <si>
    <t>Ruang GA Dept</t>
  </si>
  <si>
    <t>AC Split Panasonic 1,5 Pk</t>
  </si>
  <si>
    <t>Berfungsi tapi timer terus menyala</t>
  </si>
  <si>
    <t>Lantai 2</t>
  </si>
  <si>
    <t>Ruang HRD Dept</t>
  </si>
  <si>
    <t>AC Split Panasonic 3/4 Pk</t>
  </si>
  <si>
    <t>Ruang Mba Nadine</t>
  </si>
  <si>
    <t>Ruang Perintis, Finance, Accounting A</t>
  </si>
  <si>
    <t>Ruang Perintis, Finance, Accounting B</t>
  </si>
  <si>
    <t>Outdoornya tidak ada</t>
  </si>
  <si>
    <t>Ruang GA Storage</t>
  </si>
  <si>
    <t>Lantai 3</t>
  </si>
  <si>
    <t>Ruang Meeting</t>
  </si>
  <si>
    <t>AC Split Panasonic 2 Pk</t>
  </si>
  <si>
    <t>Ruang Legal, travel, Charter, Secretary</t>
  </si>
  <si>
    <t>Ruang Pak Geoffrey</t>
  </si>
  <si>
    <t>Ruang Training Dept</t>
  </si>
  <si>
    <t>Ruang Batch 4</t>
  </si>
  <si>
    <t>Berfungsi tapi kurang dingin</t>
  </si>
  <si>
    <t>Ruang Kelas Pilot</t>
  </si>
  <si>
    <t>PH</t>
  </si>
  <si>
    <t>Ruang Simulator A</t>
  </si>
  <si>
    <t>Outdoor perlu diganti</t>
  </si>
  <si>
    <t>Ruang Simulator B</t>
  </si>
  <si>
    <t>Ruang Papua (Media)</t>
  </si>
  <si>
    <t>AC Split Daikin</t>
  </si>
  <si>
    <t>Ruang Kalimantan</t>
  </si>
  <si>
    <t>AC Split</t>
  </si>
  <si>
    <t>Ruang Gudang Ibu A</t>
  </si>
  <si>
    <t>Ruang Gudang Ibu B</t>
  </si>
  <si>
    <t>Lantai 4</t>
  </si>
  <si>
    <t>Ruang Gudang Ibu C</t>
  </si>
  <si>
    <t>Ruang Brefing di Simulator A</t>
  </si>
  <si>
    <t>AC kurang dingin</t>
  </si>
  <si>
    <t>Ruang Brefing di Simulator B</t>
  </si>
  <si>
    <t>Armand</t>
  </si>
  <si>
    <t>Kamar Nomor 1</t>
  </si>
  <si>
    <t>Kamar Nomor 2</t>
  </si>
  <si>
    <t>Kamar Nomor 3</t>
  </si>
  <si>
    <t>Kamar Nomor 4</t>
  </si>
  <si>
    <t>Suka bocor dan kurang dingin</t>
  </si>
  <si>
    <t>Kamar Nomor 7</t>
  </si>
  <si>
    <t>Kamar Nomor 9</t>
  </si>
  <si>
    <t>Kamar Nomor 11</t>
  </si>
  <si>
    <t>Kamar Nomor 12</t>
  </si>
  <si>
    <t>Kamar Nomor 19</t>
  </si>
  <si>
    <t>Kurang dingin</t>
  </si>
  <si>
    <t>Kamar Nomor 20</t>
  </si>
  <si>
    <t>AC panas dan suka bocor</t>
  </si>
  <si>
    <t>Kamar Nomor 21</t>
  </si>
  <si>
    <t>Sering mati nyala &amp; ga dingin</t>
  </si>
  <si>
    <t>Kamar Nomor 25</t>
  </si>
  <si>
    <t>Ga dingin sering mati nyala</t>
  </si>
  <si>
    <t>Kamar Nomor 30</t>
  </si>
  <si>
    <t>Ga dingin</t>
  </si>
  <si>
    <t>Kamar Nomor 31</t>
  </si>
  <si>
    <t>Kamar Nomor 33</t>
  </si>
  <si>
    <t>Kamar Nomor 36</t>
  </si>
  <si>
    <t>Suka kurang dingin</t>
  </si>
  <si>
    <t>Kamar Nomor 5</t>
  </si>
  <si>
    <t>Kamar Nomor 6</t>
  </si>
  <si>
    <t>Kamar Nomor 8</t>
  </si>
  <si>
    <t>Kamar Nomor 10</t>
  </si>
  <si>
    <t>Kamar Nomor 13</t>
  </si>
  <si>
    <t>Kamar Nomor 14</t>
  </si>
  <si>
    <t>Kamar Nomor 15</t>
  </si>
  <si>
    <t>Kamar Nomor 16</t>
  </si>
  <si>
    <t>Kamar Nomor 17</t>
  </si>
  <si>
    <t>Kamar Nomor 18</t>
  </si>
  <si>
    <t>Kamar Nomor 22</t>
  </si>
  <si>
    <t>Kamar Nomor 23</t>
  </si>
  <si>
    <t>Kamar Nomor 24</t>
  </si>
  <si>
    <t>Kamar Nomor 26</t>
  </si>
  <si>
    <t>Kamar Nomor 27</t>
  </si>
  <si>
    <t>Kamar Nomor 28</t>
  </si>
  <si>
    <t>Kamar Nomor 29</t>
  </si>
  <si>
    <t>Kamar Nomor 32</t>
  </si>
  <si>
    <t>Kamar Nomor 34</t>
  </si>
  <si>
    <t>Kamar Nomor 35</t>
  </si>
  <si>
    <t>Meeting Room A</t>
  </si>
  <si>
    <t>Meeting Room B</t>
  </si>
  <si>
    <t>Dining Room A</t>
  </si>
  <si>
    <t>Timer nyala AC mati sendiri</t>
  </si>
  <si>
    <t>Sering timer kedip</t>
  </si>
  <si>
    <t>Bocor AC</t>
  </si>
  <si>
    <t>Kamar Nomor 38</t>
  </si>
  <si>
    <t>Kamar Nomor 40</t>
  </si>
  <si>
    <t>Kamar Nomor 42</t>
  </si>
  <si>
    <t>Kamar Nomor 44</t>
  </si>
  <si>
    <t>AC panas</t>
  </si>
  <si>
    <t>Kamar Nomor 46</t>
  </si>
  <si>
    <t>AC suka panas</t>
  </si>
  <si>
    <t>Kamar Nomor 48</t>
  </si>
  <si>
    <t>Kamar Nomor 50</t>
  </si>
  <si>
    <t>Kamar Nomor 52</t>
  </si>
  <si>
    <t>Kamar Nomor 54</t>
  </si>
  <si>
    <t>Ibu House</t>
  </si>
  <si>
    <t>Kamar 1</t>
  </si>
  <si>
    <t>Gudang</t>
  </si>
  <si>
    <t>Ruang Tamu A</t>
  </si>
  <si>
    <t>Ruang Tamu B</t>
  </si>
  <si>
    <t>Kamar Mateo</t>
  </si>
  <si>
    <t>Kamar Alvy</t>
  </si>
  <si>
    <t>Kamar Ibu</t>
  </si>
  <si>
    <t>Kamar Malika</t>
  </si>
  <si>
    <t>Wardobe</t>
  </si>
  <si>
    <t>Center Attic</t>
  </si>
  <si>
    <t>Left Attic</t>
  </si>
  <si>
    <t>Right Attic</t>
  </si>
  <si>
    <t>Nadine's</t>
  </si>
  <si>
    <t>Kamar Depan</t>
  </si>
  <si>
    <t>Kamar Belakang</t>
  </si>
  <si>
    <t>Ruang Tamu</t>
  </si>
  <si>
    <t>Kamar 2</t>
  </si>
  <si>
    <t>Kamar 3</t>
  </si>
  <si>
    <t>Kamar 4</t>
  </si>
  <si>
    <t>Resepsionis</t>
  </si>
  <si>
    <t>Dining Room</t>
  </si>
  <si>
    <t>Front House</t>
  </si>
  <si>
    <t>Gym</t>
  </si>
  <si>
    <t>Ruang Sepeda</t>
  </si>
  <si>
    <t>Ruang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</si>
</sst>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"/>
    <numFmt numFmtId="166" formatCode="dd&quot;/&quot;mm&quot;/&quot;yyyy"/>
    <numFmt numFmtId="167" formatCode="mm/dd/yyyy"/>
    <numFmt numFmtId="169" formatCode="m/d/yyyy\ h:mm:ss"/>
  </numFmts>
  <fonts count="64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000000"/>
      <name val="Titillium Web"/>
    </font>
    <font>
      <sz val="10"/>
      <color theme="1"/>
      <name val="Arial"/>
    </font>
    <font>
      <sz val="10"/>
      <color theme="1"/>
      <name val="Titillium Web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</font>
    <font>
      <sz val="10"/>
      <color rgb="FF1F1F1F"/>
      <name val="Arial"/>
      <scheme val="minor"/>
    </font>
    <font>
      <sz val="11"/>
      <color rgb="FF000000"/>
      <name val="Calibri"/>
    </font>
    <font>
      <sz val="10"/>
      <color rgb="FF202124"/>
      <name val="Arial"/>
    </font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1"/>
      <color rgb="FF202124"/>
      <name val="Roboto"/>
    </font>
    <font>
      <sz val="10"/>
      <color theme="1"/>
      <name val="Titillium Web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Calibri"/>
    </font>
    <font>
      <sz val="10"/>
      <color rgb="FF1F1F1F"/>
      <name val="&quot;Google Sans&quot;"/>
    </font>
    <font>
      <u/>
      <sz val="10"/>
      <color rgb="FF0000FF"/>
      <name val="Arial"/>
    </font>
    <font>
      <sz val="10"/>
      <color theme="1"/>
      <name val="Calibri"/>
    </font>
    <font>
      <sz val="10"/>
      <color rgb="FFFFFFFF"/>
      <name val="Arial"/>
    </font>
    <font>
      <b/>
      <sz val="10"/>
      <color rgb="FF000000"/>
      <name val="&quot;Titillium Web&quot;"/>
    </font>
    <font>
      <b/>
      <sz val="10"/>
      <color theme="1"/>
      <name val="&quot;Titillium Web&quot;"/>
    </font>
    <font>
      <b/>
      <sz val="10"/>
      <color rgb="FFFFFFFF"/>
      <name val="Titillium Web"/>
    </font>
    <font>
      <b/>
      <sz val="10"/>
      <color rgb="FFFFFFFF"/>
      <name val="Arial"/>
      <scheme val="minor"/>
    </font>
    <font>
      <sz val="10"/>
      <color rgb="FF000000"/>
      <name val="&quot;Titillium Web&quot;"/>
    </font>
    <font>
      <sz val="10"/>
      <color rgb="FF000000"/>
      <name val="Titillium Web"/>
    </font>
    <font>
      <sz val="9"/>
      <color rgb="FF161A27"/>
      <name val="&quot;Open Sans&quot;"/>
    </font>
    <font>
      <sz val="10"/>
      <color rgb="FF500050"/>
      <name val="Titillium Web"/>
    </font>
    <font>
      <sz val="10"/>
      <color rgb="FF222222"/>
      <name val="Titillium Web"/>
    </font>
    <font>
      <sz val="10"/>
      <color rgb="FF161A27"/>
      <name val="Arial"/>
    </font>
    <font>
      <b/>
      <sz val="10"/>
      <color rgb="FFFFFFFF"/>
      <name val="Arial"/>
    </font>
    <font>
      <sz val="10"/>
      <color rgb="FF500050"/>
      <name val="Arial"/>
    </font>
    <font>
      <sz val="10"/>
      <color rgb="FF222222"/>
      <name val="Arial"/>
    </font>
    <font>
      <sz val="10"/>
      <color rgb="FFFFFFFF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rgb="FF1F1F1F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000000"/>
      <name val="Docs-Calibri"/>
    </font>
    <font>
      <u/>
      <sz val="10"/>
      <color rgb="FF0000FF"/>
      <name val="Arial"/>
    </font>
    <font>
      <u/>
      <sz val="10"/>
      <color rgb="FF0000FF"/>
      <name val="Arial"/>
    </font>
    <font>
      <b/>
      <sz val="18"/>
      <color rgb="FFFFFFFF"/>
      <name val="Roboto"/>
    </font>
    <font>
      <b/>
      <sz val="12"/>
      <color rgb="FFFFFFFF"/>
      <name val="Roboto"/>
    </font>
    <font>
      <sz val="11"/>
      <color rgb="FFFFFFFF"/>
      <name val="Roboto"/>
    </font>
    <font>
      <sz val="12"/>
      <color rgb="FFFFFFFF"/>
      <name val="Roboto"/>
    </font>
    <font>
      <sz val="11"/>
      <color theme="1"/>
      <name val="Arial"/>
    </font>
    <font>
      <sz val="11"/>
      <color theme="1"/>
      <name val="Roboto"/>
    </font>
    <font>
      <sz val="10"/>
      <color rgb="FFFFFFFF"/>
      <name val="Roboto"/>
    </font>
    <font>
      <sz val="10"/>
      <color rgb="FF00FF00"/>
      <name val="Roboto"/>
    </font>
    <font>
      <b/>
      <i/>
      <sz val="12"/>
      <color rgb="FFFFFFFF"/>
      <name val="Roboto"/>
    </font>
    <font>
      <b/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EA4335"/>
        <bgColor rgb="FFEA4335"/>
      </patternFill>
    </fill>
    <fill>
      <patternFill patternType="solid">
        <fgColor rgb="FFEAEDF1"/>
        <bgColor rgb="FFEAEDF1"/>
      </patternFill>
    </fill>
    <fill>
      <patternFill patternType="solid">
        <fgColor rgb="FFF9F9F9"/>
        <bgColor rgb="FFF9F9F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4C1130"/>
        <bgColor rgb="FF4C113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3" fontId="6" fillId="3" borderId="3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2" xfId="0" applyFont="1" applyFill="1" applyBorder="1" applyAlignment="1"/>
    <xf numFmtId="0" fontId="6" fillId="3" borderId="2" xfId="0" applyFont="1" applyFill="1" applyBorder="1" applyAlignment="1"/>
    <xf numFmtId="0" fontId="6" fillId="3" borderId="1" xfId="0" applyFont="1" applyFill="1" applyBorder="1" applyAlignment="1"/>
    <xf numFmtId="0" fontId="9" fillId="3" borderId="0" xfId="0" applyFont="1" applyFill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6" fontId="3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14" fontId="3" fillId="3" borderId="1" xfId="0" applyNumberFormat="1" applyFont="1" applyFill="1" applyBorder="1" applyAlignment="1"/>
    <xf numFmtId="0" fontId="9" fillId="3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14" fontId="9" fillId="3" borderId="1" xfId="0" applyNumberFormat="1" applyFont="1" applyFill="1" applyBorder="1" applyAlignment="1"/>
    <xf numFmtId="0" fontId="3" fillId="3" borderId="0" xfId="0" applyFont="1" applyFill="1"/>
    <xf numFmtId="0" fontId="9" fillId="3" borderId="0" xfId="0" applyFont="1" applyFill="1" applyAlignment="1"/>
    <xf numFmtId="0" fontId="1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2" fillId="3" borderId="1" xfId="0" applyFont="1" applyFill="1" applyBorder="1" applyAlignment="1"/>
    <xf numFmtId="0" fontId="13" fillId="3" borderId="1" xfId="0" applyFont="1" applyFill="1" applyBorder="1" applyAlignment="1"/>
    <xf numFmtId="0" fontId="6" fillId="3" borderId="1" xfId="0" applyFont="1" applyFill="1" applyBorder="1" applyAlignment="1"/>
    <xf numFmtId="0" fontId="8" fillId="3" borderId="1" xfId="0" applyFont="1" applyFill="1" applyBorder="1" applyAlignment="1"/>
    <xf numFmtId="0" fontId="6" fillId="3" borderId="1" xfId="0" applyFont="1" applyFill="1" applyBorder="1" applyAlignment="1"/>
    <xf numFmtId="0" fontId="9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6" fillId="3" borderId="3" xfId="0" applyFont="1" applyFill="1" applyBorder="1" applyAlignment="1"/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 applyAlignment="1"/>
    <xf numFmtId="0" fontId="6" fillId="3" borderId="0" xfId="0" applyFont="1" applyFill="1" applyAlignment="1"/>
    <xf numFmtId="0" fontId="16" fillId="3" borderId="1" xfId="0" applyFont="1" applyFill="1" applyBorder="1" applyAlignment="1"/>
    <xf numFmtId="0" fontId="6" fillId="3" borderId="4" xfId="0" applyFont="1" applyFill="1" applyBorder="1" applyAlignment="1"/>
    <xf numFmtId="0" fontId="6" fillId="3" borderId="2" xfId="0" applyFont="1" applyFill="1" applyBorder="1" applyAlignment="1"/>
    <xf numFmtId="0" fontId="9" fillId="0" borderId="1" xfId="0" applyFont="1" applyBorder="1"/>
    <xf numFmtId="0" fontId="9" fillId="0" borderId="1" xfId="0" applyFont="1" applyBorder="1" applyAlignment="1"/>
    <xf numFmtId="3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4" borderId="1" xfId="0" applyFont="1" applyFill="1" applyBorder="1"/>
    <xf numFmtId="0" fontId="9" fillId="4" borderId="0" xfId="0" applyFont="1" applyFill="1"/>
    <xf numFmtId="0" fontId="6" fillId="3" borderId="3" xfId="0" applyFont="1" applyFill="1" applyBorder="1" applyAlignment="1"/>
    <xf numFmtId="0" fontId="0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0" xfId="0" applyNumberFormat="1" applyFont="1" applyFill="1" applyAlignment="1"/>
    <xf numFmtId="14" fontId="3" fillId="3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3" fillId="5" borderId="0" xfId="0" applyFont="1" applyFill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/>
    <xf numFmtId="0" fontId="3" fillId="5" borderId="1" xfId="0" applyFont="1" applyFill="1" applyBorder="1" applyAlignment="1">
      <alignment horizontal="left"/>
    </xf>
    <xf numFmtId="0" fontId="13" fillId="5" borderId="1" xfId="0" applyFont="1" applyFill="1" applyBorder="1" applyAlignment="1"/>
    <xf numFmtId="0" fontId="3" fillId="5" borderId="1" xfId="0" applyFont="1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3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16" fillId="3" borderId="0" xfId="0" applyFont="1" applyFill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3" fillId="5" borderId="1" xfId="0" applyFont="1" applyFill="1" applyBorder="1" applyAlignme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0" fontId="6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5" fillId="0" borderId="1" xfId="0" applyFont="1" applyBorder="1" applyAlignment="1">
      <alignment horizontal="left"/>
    </xf>
    <xf numFmtId="0" fontId="3" fillId="5" borderId="1" xfId="0" applyFont="1" applyFill="1" applyBorder="1" applyAlignment="1"/>
    <xf numFmtId="0" fontId="13" fillId="5" borderId="1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3" fillId="3" borderId="1" xfId="0" applyFont="1" applyFill="1" applyBorder="1" applyAlignme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0" xfId="0" applyNumberFormat="1" applyFont="1" applyAlignment="1"/>
    <xf numFmtId="0" fontId="5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13" fillId="5" borderId="1" xfId="0" applyFont="1" applyFill="1" applyBorder="1" applyAlignment="1"/>
    <xf numFmtId="0" fontId="20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4" fontId="3" fillId="5" borderId="0" xfId="0" applyNumberFormat="1" applyFont="1" applyFill="1" applyAlignment="1"/>
    <xf numFmtId="0" fontId="5" fillId="5" borderId="1" xfId="0" applyFont="1" applyFill="1" applyBorder="1" applyAlignment="1">
      <alignment horizontal="left"/>
    </xf>
    <xf numFmtId="0" fontId="3" fillId="0" borderId="4" xfId="0" applyFont="1" applyBorder="1" applyAlignment="1"/>
    <xf numFmtId="0" fontId="13" fillId="3" borderId="4" xfId="0" applyFont="1" applyFill="1" applyBorder="1" applyAlignment="1"/>
    <xf numFmtId="0" fontId="13" fillId="3" borderId="1" xfId="0" applyFont="1" applyFill="1" applyBorder="1" applyAlignment="1"/>
    <xf numFmtId="0" fontId="6" fillId="3" borderId="4" xfId="0" applyFont="1" applyFill="1" applyBorder="1" applyAlignment="1"/>
    <xf numFmtId="0" fontId="9" fillId="0" borderId="4" xfId="0" applyFont="1" applyBorder="1"/>
    <xf numFmtId="0" fontId="9" fillId="0" borderId="0" xfId="0" applyFont="1" applyAlignment="1"/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9" fillId="0" borderId="8" xfId="0" applyFont="1" applyBorder="1"/>
    <xf numFmtId="0" fontId="6" fillId="3" borderId="1" xfId="0" applyFont="1" applyFill="1" applyBorder="1" applyAlignment="1">
      <alignment horizontal="left"/>
    </xf>
    <xf numFmtId="0" fontId="9" fillId="5" borderId="1" xfId="0" applyFont="1" applyFill="1" applyBorder="1" applyAlignment="1"/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9" fillId="5" borderId="0" xfId="0" applyFont="1" applyFill="1"/>
    <xf numFmtId="0" fontId="9" fillId="5" borderId="8" xfId="0" applyFont="1" applyFill="1" applyBorder="1"/>
    <xf numFmtId="0" fontId="22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3" fillId="5" borderId="7" xfId="0" applyNumberFormat="1" applyFont="1" applyFill="1" applyBorder="1" applyAlignment="1">
      <alignment horizontal="center"/>
    </xf>
    <xf numFmtId="0" fontId="3" fillId="5" borderId="7" xfId="0" applyFont="1" applyFill="1" applyBorder="1"/>
    <xf numFmtId="14" fontId="3" fillId="0" borderId="7" xfId="0" applyNumberFormat="1" applyFont="1" applyBorder="1" applyAlignment="1">
      <alignment horizontal="center"/>
    </xf>
    <xf numFmtId="0" fontId="3" fillId="0" borderId="7" xfId="0" applyFont="1" applyBorder="1"/>
    <xf numFmtId="0" fontId="5" fillId="3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6" fillId="3" borderId="2" xfId="0" applyNumberFormat="1" applyFont="1" applyFill="1" applyBorder="1" applyAlignment="1"/>
    <xf numFmtId="0" fontId="6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/>
    <xf numFmtId="0" fontId="8" fillId="0" borderId="1" xfId="0" applyFont="1" applyBorder="1" applyAlignment="1"/>
    <xf numFmtId="14" fontId="8" fillId="0" borderId="1" xfId="0" applyNumberFormat="1" applyFont="1" applyBorder="1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167" fontId="8" fillId="0" borderId="1" xfId="0" applyNumberFormat="1" applyFont="1" applyBorder="1" applyAlignment="1"/>
    <xf numFmtId="0" fontId="27" fillId="0" borderId="1" xfId="0" applyFont="1" applyBorder="1" applyAlignment="1"/>
    <xf numFmtId="0" fontId="27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27" fillId="0" borderId="1" xfId="0" applyFont="1" applyBorder="1" applyAlignme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/>
    <xf numFmtId="14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" fillId="8" borderId="1" xfId="0" applyFont="1" applyFill="1" applyBorder="1"/>
    <xf numFmtId="0" fontId="9" fillId="8" borderId="0" xfId="0" applyFont="1" applyFill="1"/>
    <xf numFmtId="0" fontId="30" fillId="3" borderId="0" xfId="0" applyFont="1" applyFill="1" applyAlignment="1">
      <alignment horizontal="center"/>
    </xf>
    <xf numFmtId="0" fontId="31" fillId="9" borderId="1" xfId="0" applyFont="1" applyFill="1" applyBorder="1" applyAlignment="1">
      <alignment horizontal="center"/>
    </xf>
    <xf numFmtId="0" fontId="31" fillId="9" borderId="1" xfId="0" applyFont="1" applyFill="1" applyBorder="1" applyAlignment="1">
      <alignment horizontal="right"/>
    </xf>
    <xf numFmtId="0" fontId="31" fillId="9" borderId="1" xfId="0" applyFont="1" applyFill="1" applyBorder="1" applyAlignment="1">
      <alignment horizontal="center" vertical="top"/>
    </xf>
    <xf numFmtId="0" fontId="31" fillId="9" borderId="1" xfId="0" applyFont="1" applyFill="1" applyBorder="1" applyAlignment="1">
      <alignment horizontal="center"/>
    </xf>
    <xf numFmtId="0" fontId="32" fillId="9" borderId="1" xfId="0" applyFont="1" applyFill="1" applyBorder="1" applyAlignment="1">
      <alignment horizontal="center"/>
    </xf>
    <xf numFmtId="14" fontId="3" fillId="8" borderId="2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7" fontId="3" fillId="3" borderId="2" xfId="0" applyNumberFormat="1" applyFont="1" applyFill="1" applyBorder="1" applyAlignment="1">
      <alignment horizontal="center"/>
    </xf>
    <xf numFmtId="167" fontId="3" fillId="8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14" fontId="3" fillId="0" borderId="2" xfId="0" applyNumberFormat="1" applyFont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/>
    <xf numFmtId="0" fontId="2" fillId="3" borderId="3" xfId="0" applyFont="1" applyFill="1" applyBorder="1" applyAlignment="1">
      <alignment horizontal="left" vertical="top"/>
    </xf>
    <xf numFmtId="3" fontId="3" fillId="8" borderId="1" xfId="0" applyNumberFormat="1" applyFont="1" applyFill="1" applyBorder="1" applyAlignment="1">
      <alignment horizontal="center"/>
    </xf>
    <xf numFmtId="14" fontId="3" fillId="8" borderId="1" xfId="0" applyNumberFormat="1" applyFont="1" applyFill="1" applyBorder="1" applyAlignment="1"/>
    <xf numFmtId="0" fontId="2" fillId="3" borderId="2" xfId="0" applyFont="1" applyFill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3" fillId="8" borderId="2" xfId="0" applyFont="1" applyFill="1" applyBorder="1" applyAlignment="1">
      <alignment horizontal="center"/>
    </xf>
    <xf numFmtId="0" fontId="3" fillId="8" borderId="1" xfId="0" applyFont="1" applyFill="1" applyBorder="1" applyAlignment="1"/>
    <xf numFmtId="0" fontId="3" fillId="3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5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center"/>
    </xf>
    <xf numFmtId="0" fontId="33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11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3" fillId="3" borderId="2" xfId="0" applyFont="1" applyFill="1" applyBorder="1" applyAlignment="1"/>
    <xf numFmtId="0" fontId="2" fillId="0" borderId="1" xfId="0" applyFont="1" applyBorder="1" applyAlignment="1">
      <alignment horizontal="right"/>
    </xf>
    <xf numFmtId="0" fontId="36" fillId="3" borderId="1" xfId="0" applyFont="1" applyFill="1" applyBorder="1" applyAlignment="1">
      <alignment horizontal="right"/>
    </xf>
    <xf numFmtId="0" fontId="3" fillId="0" borderId="2" xfId="0" applyFont="1" applyBorder="1" applyAlignment="1"/>
    <xf numFmtId="0" fontId="3" fillId="0" borderId="2" xfId="0" applyFont="1" applyBorder="1" applyAlignment="1"/>
    <xf numFmtId="0" fontId="37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38" fillId="12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0" borderId="0" xfId="0" applyFont="1" applyAlignment="1"/>
    <xf numFmtId="0" fontId="38" fillId="11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7" fillId="3" borderId="2" xfId="0" applyFont="1" applyFill="1" applyBorder="1" applyAlignment="1">
      <alignment horizontal="right"/>
    </xf>
    <xf numFmtId="0" fontId="37" fillId="3" borderId="2" xfId="0" applyFont="1" applyFill="1" applyBorder="1" applyAlignment="1"/>
    <xf numFmtId="0" fontId="38" fillId="11" borderId="3" xfId="0" applyFont="1" applyFill="1" applyBorder="1" applyAlignment="1">
      <alignment horizontal="left"/>
    </xf>
    <xf numFmtId="0" fontId="37" fillId="3" borderId="0" xfId="0" applyFont="1" applyFill="1" applyAlignment="1">
      <alignment horizontal="right"/>
    </xf>
    <xf numFmtId="0" fontId="37" fillId="3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39" fillId="2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9" fillId="2" borderId="1" xfId="0" applyFont="1" applyFill="1" applyBorder="1" applyAlignment="1"/>
    <xf numFmtId="0" fontId="6" fillId="3" borderId="2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40" fillId="3" borderId="2" xfId="0" applyFont="1" applyFill="1" applyBorder="1" applyAlignment="1"/>
    <xf numFmtId="0" fontId="41" fillId="3" borderId="1" xfId="0" applyFont="1" applyFill="1" applyBorder="1" applyAlignment="1"/>
    <xf numFmtId="14" fontId="6" fillId="3" borderId="1" xfId="0" applyNumberFormat="1" applyFont="1" applyFill="1" applyBorder="1" applyAlignment="1">
      <alignment horizontal="center"/>
    </xf>
    <xf numFmtId="0" fontId="6" fillId="0" borderId="2" xfId="0" applyFont="1" applyBorder="1" applyAlignment="1"/>
    <xf numFmtId="0" fontId="6" fillId="3" borderId="3" xfId="0" applyFont="1" applyFill="1" applyBorder="1" applyAlignment="1">
      <alignment vertical="top"/>
    </xf>
    <xf numFmtId="0" fontId="6" fillId="0" borderId="2" xfId="0" applyFont="1" applyBorder="1" applyAlignment="1"/>
    <xf numFmtId="3" fontId="6" fillId="3" borderId="5" xfId="0" applyNumberFormat="1" applyFont="1" applyFill="1" applyBorder="1" applyAlignment="1">
      <alignment horizontal="center"/>
    </xf>
    <xf numFmtId="0" fontId="6" fillId="3" borderId="6" xfId="0" applyFont="1" applyFill="1" applyBorder="1" applyAlignment="1"/>
    <xf numFmtId="166" fontId="6" fillId="3" borderId="1" xfId="0" applyNumberFormat="1" applyFont="1" applyFill="1" applyBorder="1" applyAlignment="1"/>
    <xf numFmtId="0" fontId="42" fillId="2" borderId="9" xfId="0" applyFont="1" applyFill="1" applyBorder="1" applyAlignment="1">
      <alignment horizontal="center"/>
    </xf>
    <xf numFmtId="0" fontId="42" fillId="2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4" borderId="2" xfId="0" applyFont="1" applyFill="1" applyBorder="1" applyAlignment="1"/>
    <xf numFmtId="0" fontId="12" fillId="0" borderId="1" xfId="0" applyFont="1" applyBorder="1" applyAlignment="1"/>
    <xf numFmtId="0" fontId="12" fillId="0" borderId="1" xfId="0" applyFont="1" applyBorder="1" applyAlignment="1">
      <alignment horizontal="right"/>
    </xf>
    <xf numFmtId="0" fontId="9" fillId="0" borderId="0" xfId="0" applyFont="1"/>
    <xf numFmtId="0" fontId="12" fillId="8" borderId="1" xfId="0" applyFont="1" applyFill="1" applyBorder="1" applyAlignment="1">
      <alignment horizontal="right"/>
    </xf>
    <xf numFmtId="0" fontId="12" fillId="8" borderId="1" xfId="0" applyFont="1" applyFill="1" applyBorder="1" applyAlignment="1"/>
    <xf numFmtId="0" fontId="12" fillId="3" borderId="1" xfId="0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9" fillId="13" borderId="0" xfId="0" applyFont="1" applyFill="1"/>
    <xf numFmtId="0" fontId="0" fillId="13" borderId="2" xfId="0" applyFont="1" applyFill="1" applyBorder="1" applyAlignment="1">
      <alignment horizontal="left"/>
    </xf>
    <xf numFmtId="0" fontId="44" fillId="13" borderId="1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left"/>
    </xf>
    <xf numFmtId="0" fontId="6" fillId="0" borderId="0" xfId="0" applyFont="1" applyAlignment="1"/>
    <xf numFmtId="0" fontId="42" fillId="2" borderId="1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4" xfId="0" applyFont="1" applyBorder="1" applyAlignment="1"/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/>
    <xf numFmtId="3" fontId="6" fillId="0" borderId="3" xfId="0" applyNumberFormat="1" applyFont="1" applyBorder="1" applyAlignment="1">
      <alignment horizontal="center"/>
    </xf>
    <xf numFmtId="0" fontId="45" fillId="3" borderId="2" xfId="0" applyFont="1" applyFill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14" fontId="6" fillId="3" borderId="2" xfId="0" applyNumberFormat="1" applyFont="1" applyFill="1" applyBorder="1" applyAlignment="1"/>
    <xf numFmtId="0" fontId="5" fillId="5" borderId="3" xfId="0" applyFont="1" applyFill="1" applyBorder="1" applyAlignment="1">
      <alignment horizontal="left"/>
    </xf>
    <xf numFmtId="164" fontId="6" fillId="3" borderId="2" xfId="0" applyNumberFormat="1" applyFont="1" applyFill="1" applyBorder="1" applyAlignment="1"/>
    <xf numFmtId="3" fontId="6" fillId="4" borderId="1" xfId="0" applyNumberFormat="1" applyFont="1" applyFill="1" applyBorder="1" applyAlignment="1">
      <alignment horizontal="center"/>
    </xf>
    <xf numFmtId="0" fontId="6" fillId="4" borderId="4" xfId="0" applyFont="1" applyFill="1" applyBorder="1" applyAlignment="1"/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 applyAlignment="1"/>
    <xf numFmtId="14" fontId="6" fillId="4" borderId="4" xfId="0" applyNumberFormat="1" applyFont="1" applyFill="1" applyBorder="1" applyAlignment="1"/>
    <xf numFmtId="0" fontId="6" fillId="4" borderId="0" xfId="0" applyFont="1" applyFill="1" applyAlignment="1"/>
    <xf numFmtId="3" fontId="6" fillId="4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/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0" xfId="0" applyFont="1" applyFill="1" applyAlignment="1"/>
    <xf numFmtId="0" fontId="10" fillId="4" borderId="1" xfId="0" applyFont="1" applyFill="1" applyBorder="1" applyAlignment="1">
      <alignment horizontal="center"/>
    </xf>
    <xf numFmtId="14" fontId="6" fillId="4" borderId="2" xfId="0" applyNumberFormat="1" applyFont="1" applyFill="1" applyBorder="1" applyAlignment="1"/>
    <xf numFmtId="14" fontId="6" fillId="4" borderId="0" xfId="0" applyNumberFormat="1" applyFont="1" applyFill="1" applyAlignment="1"/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9" fillId="3" borderId="0" xfId="0" applyNumberFormat="1" applyFont="1" applyFill="1" applyAlignment="1"/>
    <xf numFmtId="14" fontId="9" fillId="0" borderId="0" xfId="0" applyNumberFormat="1" applyFont="1" applyAlignment="1"/>
    <xf numFmtId="3" fontId="6" fillId="4" borderId="1" xfId="0" applyNumberFormat="1" applyFont="1" applyFill="1" applyBorder="1" applyAlignment="1">
      <alignment horizontal="center"/>
    </xf>
    <xf numFmtId="0" fontId="6" fillId="4" borderId="4" xfId="0" applyFont="1" applyFill="1" applyBorder="1" applyAlignment="1"/>
    <xf numFmtId="0" fontId="6" fillId="4" borderId="4" xfId="0" applyFont="1" applyFill="1" applyBorder="1" applyAlignment="1">
      <alignment horizontal="center"/>
    </xf>
    <xf numFmtId="14" fontId="6" fillId="4" borderId="4" xfId="0" applyNumberFormat="1" applyFont="1" applyFill="1" applyBorder="1" applyAlignment="1"/>
    <xf numFmtId="3" fontId="6" fillId="4" borderId="10" xfId="0" applyNumberFormat="1" applyFont="1" applyFill="1" applyBorder="1" applyAlignment="1">
      <alignment horizontal="center"/>
    </xf>
    <xf numFmtId="0" fontId="6" fillId="4" borderId="11" xfId="0" applyFont="1" applyFill="1" applyBorder="1" applyAlignment="1"/>
    <xf numFmtId="0" fontId="6" fillId="4" borderId="1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46" fillId="0" borderId="0" xfId="0" applyFont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5" fillId="5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3" fontId="8" fillId="5" borderId="1" xfId="0" applyNumberFormat="1" applyFont="1" applyFill="1" applyBorder="1" applyAlignment="1">
      <alignment horizontal="center"/>
    </xf>
    <xf numFmtId="0" fontId="24" fillId="5" borderId="1" xfId="0" applyFont="1" applyFill="1" applyBorder="1" applyAlignment="1">
      <alignment horizontal="left"/>
    </xf>
    <xf numFmtId="0" fontId="24" fillId="5" borderId="1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left"/>
    </xf>
    <xf numFmtId="0" fontId="24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8" fillId="5" borderId="1" xfId="0" applyFont="1" applyFill="1" applyBorder="1" applyAlignment="1"/>
    <xf numFmtId="14" fontId="8" fillId="5" borderId="1" xfId="0" applyNumberFormat="1" applyFont="1" applyFill="1" applyBorder="1" applyAlignment="1"/>
    <xf numFmtId="0" fontId="24" fillId="5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/>
    <xf numFmtId="0" fontId="25" fillId="3" borderId="1" xfId="0" applyFont="1" applyFill="1" applyBorder="1" applyAlignment="1"/>
    <xf numFmtId="0" fontId="14" fillId="5" borderId="3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49" fillId="5" borderId="1" xfId="0" applyFont="1" applyFill="1" applyBorder="1" applyAlignment="1">
      <alignment horizontal="center"/>
    </xf>
    <xf numFmtId="0" fontId="50" fillId="0" borderId="3" xfId="0" applyFont="1" applyBorder="1" applyAlignment="1">
      <alignment horizontal="left"/>
    </xf>
    <xf numFmtId="0" fontId="50" fillId="0" borderId="3" xfId="0" applyFont="1" applyBorder="1" applyAlignment="1">
      <alignment horizontal="center"/>
    </xf>
    <xf numFmtId="0" fontId="0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1" fillId="3" borderId="1" xfId="0" applyFont="1" applyFill="1" applyBorder="1" applyAlignment="1">
      <alignment horizontal="left"/>
    </xf>
    <xf numFmtId="0" fontId="0" fillId="5" borderId="3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52" fillId="5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6" fillId="5" borderId="1" xfId="0" applyFont="1" applyFill="1" applyBorder="1" applyAlignment="1"/>
    <xf numFmtId="0" fontId="16" fillId="5" borderId="0" xfId="0" applyFont="1" applyFill="1" applyAlignment="1"/>
    <xf numFmtId="0" fontId="8" fillId="5" borderId="3" xfId="0" applyFont="1" applyFill="1" applyBorder="1" applyAlignment="1">
      <alignment horizontal="left"/>
    </xf>
    <xf numFmtId="0" fontId="51" fillId="5" borderId="1" xfId="0" applyFont="1" applyFill="1" applyBorder="1" applyAlignment="1">
      <alignment horizontal="left"/>
    </xf>
    <xf numFmtId="0" fontId="25" fillId="5" borderId="1" xfId="0" applyFont="1" applyFill="1" applyBorder="1" applyAlignment="1"/>
    <xf numFmtId="14" fontId="9" fillId="5" borderId="1" xfId="0" applyNumberFormat="1" applyFont="1" applyFill="1" applyBorder="1" applyAlignment="1">
      <alignment horizontal="center"/>
    </xf>
    <xf numFmtId="0" fontId="9" fillId="5" borderId="0" xfId="0" applyFont="1" applyFill="1" applyAlignment="1"/>
    <xf numFmtId="14" fontId="8" fillId="5" borderId="1" xfId="0" applyNumberFormat="1" applyFont="1" applyFill="1" applyBorder="1" applyAlignment="1">
      <alignment horizontal="center"/>
    </xf>
    <xf numFmtId="14" fontId="8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3" fontId="8" fillId="13" borderId="1" xfId="0" applyNumberFormat="1" applyFont="1" applyFill="1" applyBorder="1" applyAlignment="1">
      <alignment horizontal="center"/>
    </xf>
    <xf numFmtId="0" fontId="0" fillId="13" borderId="3" xfId="0" applyFont="1" applyFill="1" applyBorder="1" applyAlignment="1">
      <alignment horizontal="left"/>
    </xf>
    <xf numFmtId="0" fontId="0" fillId="13" borderId="3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 applyAlignment="1"/>
    <xf numFmtId="0" fontId="16" fillId="5" borderId="0" xfId="0" applyFont="1" applyFill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14" fontId="9" fillId="0" borderId="0" xfId="0" applyNumberFormat="1" applyFont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3" borderId="0" xfId="0" applyFont="1" applyFill="1" applyAlignment="1">
      <alignment horizontal="left"/>
    </xf>
    <xf numFmtId="0" fontId="9" fillId="15" borderId="1" xfId="0" applyFont="1" applyFill="1" applyBorder="1" applyAlignment="1"/>
    <xf numFmtId="0" fontId="0" fillId="15" borderId="1" xfId="0" applyFont="1" applyFill="1" applyBorder="1" applyAlignment="1">
      <alignment horizontal="left"/>
    </xf>
    <xf numFmtId="0" fontId="53" fillId="5" borderId="1" xfId="0" applyFont="1" applyFill="1" applyBorder="1" applyAlignment="1">
      <alignment horizontal="center"/>
    </xf>
    <xf numFmtId="167" fontId="8" fillId="5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6" fillId="16" borderId="0" xfId="0" applyFont="1" applyFill="1" applyAlignment="1">
      <alignment horizontal="center"/>
    </xf>
    <xf numFmtId="0" fontId="55" fillId="16" borderId="0" xfId="0" applyFont="1" applyFill="1" applyAlignment="1">
      <alignment horizontal="center"/>
    </xf>
    <xf numFmtId="0" fontId="56" fillId="16" borderId="0" xfId="0" applyFont="1" applyFill="1" applyAlignment="1">
      <alignment horizontal="center"/>
    </xf>
    <xf numFmtId="0" fontId="55" fillId="16" borderId="0" xfId="0" applyFont="1" applyFill="1" applyAlignment="1">
      <alignment horizontal="center" vertical="center"/>
    </xf>
    <xf numFmtId="164" fontId="57" fillId="16" borderId="0" xfId="0" applyNumberFormat="1" applyFont="1" applyFill="1" applyAlignment="1">
      <alignment horizontal="center" vertical="center"/>
    </xf>
    <xf numFmtId="0" fontId="55" fillId="16" borderId="6" xfId="0" applyFon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/>
    </xf>
    <xf numFmtId="0" fontId="58" fillId="14" borderId="2" xfId="0" applyFont="1" applyFill="1" applyBorder="1" applyAlignment="1">
      <alignment horizontal="center" vertical="center"/>
    </xf>
    <xf numFmtId="0" fontId="59" fillId="14" borderId="2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60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61" fillId="16" borderId="0" xfId="0" applyFont="1" applyFill="1" applyAlignment="1">
      <alignment horizontal="center"/>
    </xf>
    <xf numFmtId="0" fontId="6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9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2" fillId="2" borderId="0" xfId="0" applyFont="1" applyFill="1" applyAlignment="1">
      <alignment horizontal="center" vertical="center"/>
    </xf>
    <xf numFmtId="169" fontId="42" fillId="2" borderId="0" xfId="0" applyNumberFormat="1" applyFont="1" applyFill="1" applyAlignment="1">
      <alignment horizontal="center" vertical="center"/>
    </xf>
    <xf numFmtId="0" fontId="9" fillId="0" borderId="0" xfId="0" applyFont="1"/>
    <xf numFmtId="169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0" fillId="0" borderId="0" xfId="0" applyFont="1" applyAlignment="1"/>
    <xf numFmtId="0" fontId="42" fillId="2" borderId="7" xfId="0" applyFont="1" applyFill="1" applyBorder="1" applyAlignment="1">
      <alignment horizontal="center"/>
    </xf>
    <xf numFmtId="0" fontId="43" fillId="0" borderId="9" xfId="0" applyFont="1" applyBorder="1"/>
    <xf numFmtId="0" fontId="42" fillId="2" borderId="7" xfId="0" applyFont="1" applyFill="1" applyBorder="1" applyAlignment="1"/>
    <xf numFmtId="0" fontId="43" fillId="0" borderId="4" xfId="0" applyFont="1" applyBorder="1"/>
    <xf numFmtId="0" fontId="3" fillId="3" borderId="12" xfId="0" applyFont="1" applyFill="1" applyBorder="1" applyAlignment="1">
      <alignment horizontal="center" vertical="center"/>
    </xf>
    <xf numFmtId="0" fontId="43" fillId="0" borderId="10" xfId="0" applyFont="1" applyBorder="1"/>
    <xf numFmtId="0" fontId="43" fillId="0" borderId="3" xfId="0" applyFont="1" applyBorder="1"/>
    <xf numFmtId="3" fontId="3" fillId="3" borderId="12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43" fillId="0" borderId="2" xfId="0" applyFont="1" applyBorder="1"/>
    <xf numFmtId="0" fontId="5" fillId="3" borderId="12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7" fillId="3" borderId="0" xfId="0" applyFont="1" applyFill="1" applyAlignment="1">
      <alignment horizontal="center" vertical="center"/>
    </xf>
    <xf numFmtId="0" fontId="43" fillId="0" borderId="11" xfId="0" applyFont="1" applyBorder="1"/>
    <xf numFmtId="0" fontId="7" fillId="3" borderId="12" xfId="0" applyFont="1" applyFill="1" applyBorder="1" applyAlignment="1">
      <alignment horizontal="left" vertical="center"/>
    </xf>
    <xf numFmtId="0" fontId="54" fillId="16" borderId="0" xfId="0" applyFont="1" applyFill="1" applyAlignment="1">
      <alignment horizontal="center" vertical="center"/>
    </xf>
    <xf numFmtId="0" fontId="62" fillId="16" borderId="0" xfId="0" applyFont="1" applyFill="1" applyAlignment="1">
      <alignment horizontal="center"/>
    </xf>
  </cellXfs>
  <cellStyles count="1">
    <cellStyle name="Normal" xfId="0" builtinId="0"/>
  </cellStyles>
  <dxfs count="125"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1F1F1F"/>
      </font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FF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0">
    <tableStyle name="C. Printer-style" pivot="0" count="3" xr9:uid="{00000000-0011-0000-FFFF-FFFF00000000}">
      <tableStyleElement type="headerRow" dxfId="124"/>
      <tableStyleElement type="firstRowStripe" dxfId="123"/>
      <tableStyleElement type="secondRowStripe" dxfId="122"/>
    </tableStyle>
    <tableStyle name="E. Modem-style" pivot="0" count="3" xr9:uid="{00000000-0011-0000-FFFF-FFFF01000000}">
      <tableStyleElement type="headerRow" dxfId="121"/>
      <tableStyleElement type="firstRowStripe" dxfId="120"/>
      <tableStyleElement type="secondRowStripe" dxfId="119"/>
    </tableStyle>
    <tableStyle name="E. Modem-style 2" pivot="0" count="3" xr9:uid="{00000000-0011-0000-FFFF-FFFF02000000}">
      <tableStyleElement type="headerRow" dxfId="118"/>
      <tableStyleElement type="firstRowStripe" dxfId="117"/>
      <tableStyleElement type="secondRowStripe" dxfId="116"/>
    </tableStyle>
    <tableStyle name="E. Modem-style 3" pivot="0" count="2" xr9:uid="{00000000-0011-0000-FFFF-FFFF03000000}">
      <tableStyleElement type="firstRowStripe" dxfId="115"/>
      <tableStyleElement type="secondRowStripe" dxfId="114"/>
    </tableStyle>
    <tableStyle name="E. Modem-style 4" pivot="0" count="3" xr9:uid="{00000000-0011-0000-FFFF-FFFF04000000}">
      <tableStyleElement type="headerRow" dxfId="113"/>
      <tableStyleElement type="firstRowStripe" dxfId="112"/>
      <tableStyleElement type="secondRowStripe" dxfId="111"/>
    </tableStyle>
    <tableStyle name="E. Modem-style 5" pivot="0" count="3" xr9:uid="{00000000-0011-0000-FFFF-FFFF05000000}">
      <tableStyleElement type="headerRow" dxfId="110"/>
      <tableStyleElement type="firstRowStripe" dxfId="109"/>
      <tableStyleElement type="secondRowStripe" dxfId="108"/>
    </tableStyle>
    <tableStyle name="E. Modem-style 6" pivot="0" count="2" xr9:uid="{00000000-0011-0000-FFFF-FFFF06000000}">
      <tableStyleElement type="firstRowStripe" dxfId="107"/>
      <tableStyleElement type="secondRowStripe" dxfId="106"/>
    </tableStyle>
    <tableStyle name="F. Network-style" pivot="0" count="3" xr9:uid="{00000000-0011-0000-FFFF-FFFF07000000}">
      <tableStyleElement type="headerRow" dxfId="105"/>
      <tableStyleElement type="firstRowStripe" dxfId="104"/>
      <tableStyleElement type="secondRowStripe" dxfId="103"/>
    </tableStyle>
    <tableStyle name="F. Network-style 2" pivot="0" count="3" xr9:uid="{00000000-0011-0000-FFFF-FFFF08000000}">
      <tableStyleElement type="headerRow" dxfId="102"/>
      <tableStyleElement type="firstRowStripe" dxfId="101"/>
      <tableStyleElement type="secondRowStripe" dxfId="100"/>
    </tableStyle>
    <tableStyle name="F. Network-style 3" pivot="0" count="2" xr9:uid="{00000000-0011-0000-FFFF-FFFF09000000}">
      <tableStyleElement type="firstRowStripe" dxfId="99"/>
      <tableStyleElement type="secondRowStripe" dxfId="98"/>
    </tableStyle>
    <tableStyle name="F. Network-style 4" pivot="0" count="3" xr9:uid="{00000000-0011-0000-FFFF-FFFF0A000000}">
      <tableStyleElement type="headerRow" dxfId="97"/>
      <tableStyleElement type="firstRowStripe" dxfId="96"/>
      <tableStyleElement type="secondRowStripe" dxfId="95"/>
    </tableStyle>
    <tableStyle name="F. Network-style 5" pivot="0" count="3" xr9:uid="{00000000-0011-0000-FFFF-FFFF0B000000}">
      <tableStyleElement type="headerRow" dxfId="94"/>
      <tableStyleElement type="firstRowStripe" dxfId="93"/>
      <tableStyleElement type="secondRowStripe" dxfId="92"/>
    </tableStyle>
    <tableStyle name="F. Network-style 6" pivot="0" count="2" xr9:uid="{00000000-0011-0000-FFFF-FFFF0C000000}">
      <tableStyleElement type="firstRowStripe" dxfId="91"/>
      <tableStyleElement type="secondRowStripe" dxfId="90"/>
    </tableStyle>
    <tableStyle name="F. Network-style 7" pivot="0" count="2" xr9:uid="{00000000-0011-0000-FFFF-FFFF0D000000}">
      <tableStyleElement type="firstRowStripe" dxfId="89"/>
      <tableStyleElement type="secondRowStripe" dxfId="88"/>
    </tableStyle>
    <tableStyle name="F. Network-style 8" pivot="0" count="2" xr9:uid="{00000000-0011-0000-FFFF-FFFF0E000000}">
      <tableStyleElement type="firstRowStripe" dxfId="87"/>
      <tableStyleElement type="secondRowStripe" dxfId="86"/>
    </tableStyle>
    <tableStyle name="F. Network-style 9" pivot="0" count="3" xr9:uid="{00000000-0011-0000-FFFF-FFFF0F000000}">
      <tableStyleElement type="headerRow" dxfId="85"/>
      <tableStyleElement type="firstRowStripe" dxfId="84"/>
      <tableStyleElement type="secondRowStripe" dxfId="83"/>
    </tableStyle>
    <tableStyle name="F. Network-style 10" pivot="0" count="3" xr9:uid="{00000000-0011-0000-FFFF-FFFF10000000}">
      <tableStyleElement type="headerRow" dxfId="82"/>
      <tableStyleElement type="firstRowStripe" dxfId="81"/>
      <tableStyleElement type="secondRowStripe" dxfId="80"/>
    </tableStyle>
    <tableStyle name="F. Network-style 11" pivot="0" count="2" xr9:uid="{00000000-0011-0000-FFFF-FFFF11000000}">
      <tableStyleElement type="firstRowStripe" dxfId="79"/>
      <tableStyleElement type="secondRowStripe" dxfId="78"/>
    </tableStyle>
    <tableStyle name="F. Network-style 12" pivot="0" count="2" xr9:uid="{00000000-0011-0000-FFFF-FFFF12000000}">
      <tableStyleElement type="firstRowStripe" dxfId="77"/>
      <tableStyleElement type="secondRowStripe" dxfId="76"/>
    </tableStyle>
    <tableStyle name="Asset Entry-style" pivot="0" count="2" xr9:uid="{00000000-0011-0000-FFFF-FFFF13000000}">
      <tableStyleElement type="firstRowStripe" dxfId="75"/>
      <tableStyleElement type="secondRowStripe" dxfId="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647700</xdr:colOff>
      <xdr:row>4</xdr:row>
      <xdr:rowOff>123825</xdr:rowOff>
    </xdr:from>
    <xdr:ext cx="1066800" cy="4572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pSpPr/>
      </xdr:nvGrpSpPr>
      <xdr:grpSpPr>
        <a:xfrm>
          <a:off x="12420600" y="1009650"/>
          <a:ext cx="1066800" cy="457200"/>
          <a:chOff x="872000" y="626800"/>
          <a:chExt cx="910200" cy="3783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2100-000003000000}"/>
              </a:ext>
            </a:extLst>
          </xdr:cNvPr>
          <xdr:cNvSpPr/>
        </xdr:nvSpPr>
        <xdr:spPr>
          <a:xfrm>
            <a:off x="872000" y="626800"/>
            <a:ext cx="910200" cy="378300"/>
          </a:xfrm>
          <a:prstGeom prst="rect">
            <a:avLst/>
          </a:prstGeom>
          <a:solidFill>
            <a:srgbClr val="EFEFE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SpPr txBox="1"/>
        </xdr:nvSpPr>
        <xdr:spPr>
          <a:xfrm>
            <a:off x="974300" y="646600"/>
            <a:ext cx="7056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UPDATE</a:t>
            </a:r>
            <a:endParaRPr sz="800" b="1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4" headerRowCount="0">
  <tableColumns count="1">
    <tableColumn id="1" xr3:uid="{00000000-0010-0000-0000-000001000000}" name="Column1"/>
  </tableColumns>
  <tableStyleInfo name="C. Printe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10:K1000" headerRowCount="0">
  <tableColumns count="10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</tableColumns>
  <tableStyleInfo name="Asset Ent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SMoPTc7mUopV94qpb_3BKhc4NDlVBXAa/view?usp=drive_link" TargetMode="External"/><Relationship Id="rId18" Type="http://schemas.openxmlformats.org/officeDocument/2006/relationships/hyperlink" Target="https://drive.google.com/file/d/1VOFZJwelAUe0-CsIoiDJ6nasCe-XLGCO/view?usp=drive_link" TargetMode="External"/><Relationship Id="rId26" Type="http://schemas.openxmlformats.org/officeDocument/2006/relationships/hyperlink" Target="https://drive.google.com/file/d/1PrT89WkXVFz5HcfWhNAf1x09ElIBvxJd/view?usp=drive_link" TargetMode="External"/><Relationship Id="rId39" Type="http://schemas.openxmlformats.org/officeDocument/2006/relationships/hyperlink" Target="https://drive.google.com/file/d/1VCg-4FJSOMh_tF4EhPqO6WfuuxS4M5hd/view?usp=drive_link" TargetMode="External"/><Relationship Id="rId21" Type="http://schemas.openxmlformats.org/officeDocument/2006/relationships/hyperlink" Target="https://drive.google.com/file/d/1PrT89WkXVFz5HcfWhNAf1x09ElIBvxJd/view?usp=drive_link" TargetMode="External"/><Relationship Id="rId34" Type="http://schemas.openxmlformats.org/officeDocument/2006/relationships/hyperlink" Target="https://drive.google.com/file/d/1cYfCYgleGvc9vlA5K5yD7cucwZXxZbGu/view?usp=drive_link" TargetMode="External"/><Relationship Id="rId42" Type="http://schemas.openxmlformats.org/officeDocument/2006/relationships/hyperlink" Target="https://drive.google.com/file/d/1QieAM2Dc_kObXC-_h8qArbtUkKtGdOWv/view?usp=drive_link" TargetMode="External"/><Relationship Id="rId7" Type="http://schemas.openxmlformats.org/officeDocument/2006/relationships/hyperlink" Target="https://drive.google.com/file/d/1kqLPsGgXEOOwUDigQfX92u7MKXkGmqHH/view?usp=share_link" TargetMode="External"/><Relationship Id="rId2" Type="http://schemas.openxmlformats.org/officeDocument/2006/relationships/hyperlink" Target="https://drive.google.com/file/d/1JxEddPaRVWKE3jTvqD0azvBc2JSIORdc/view?usp=share_link" TargetMode="External"/><Relationship Id="rId16" Type="http://schemas.openxmlformats.org/officeDocument/2006/relationships/hyperlink" Target="https://drive.google.com/file/d/1tt8hM9WwH6R7gRIK6NfDr4bhoavV55DT/view?usp=drive_link" TargetMode="External"/><Relationship Id="rId29" Type="http://schemas.openxmlformats.org/officeDocument/2006/relationships/hyperlink" Target="https://drive.google.com/open?id=1344779o1hNAXj6MviILmJm8CtmeeuGbH&amp;usp=drive_fs" TargetMode="External"/><Relationship Id="rId1" Type="http://schemas.openxmlformats.org/officeDocument/2006/relationships/hyperlink" Target="https://drive.google.com/file/d/1GkBDQz0eTtuMAyfIXkAto6TG3blcVDLr/view?usp=share_link" TargetMode="External"/><Relationship Id="rId6" Type="http://schemas.openxmlformats.org/officeDocument/2006/relationships/hyperlink" Target="https://drive.google.com/file/d/1kqLPsGgXEOOwUDigQfX92u7MKXkGmqHH/view?usp=share_link" TargetMode="External"/><Relationship Id="rId11" Type="http://schemas.openxmlformats.org/officeDocument/2006/relationships/hyperlink" Target="https://drive.google.com/file/d/1LXZZT4x2g_oubS7Qv2xMgjkgTe1XaeI_/view?usp=drive_link" TargetMode="External"/><Relationship Id="rId24" Type="http://schemas.openxmlformats.org/officeDocument/2006/relationships/hyperlink" Target="https://drive.google.com/file/d/11RwaWUzNCe_saNjjqBW8uCPm9werMxRM/view?usp=drive_link" TargetMode="External"/><Relationship Id="rId32" Type="http://schemas.openxmlformats.org/officeDocument/2006/relationships/hyperlink" Target="https://drive.google.com/file/d/1C41UibkO5QIpOLddjAsYJoxCdpMpGxBN/view?usp=drive_link" TargetMode="External"/><Relationship Id="rId37" Type="http://schemas.openxmlformats.org/officeDocument/2006/relationships/hyperlink" Target="https://drive.google.com/file/d/1khQ506pTOhiYZopN3ngGoTJqoZBU8FpL/view?usp=drive_link" TargetMode="External"/><Relationship Id="rId40" Type="http://schemas.openxmlformats.org/officeDocument/2006/relationships/hyperlink" Target="https://drive.google.com/file/d/1VCg-4FJSOMh_tF4EhPqO6WfuuxS4M5hd/view?usp=drive_link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drive.google.com/file/d/13vmXYhKjpXMHPqn2SANd2_iNmoloT8uD/view?usp=drive_link" TargetMode="External"/><Relationship Id="rId15" Type="http://schemas.openxmlformats.org/officeDocument/2006/relationships/hyperlink" Target="https://drive.google.com/file/d/1kGLt2jjI4RC8B0M47g0cTS9AVUPO_ArA/view?usp=drive_link" TargetMode="External"/><Relationship Id="rId23" Type="http://schemas.openxmlformats.org/officeDocument/2006/relationships/hyperlink" Target="https://drive.google.com/file/d/10vveUpUJrMPVWHHhb6fEbgsouoCmCWJB/view?usp=drive_link" TargetMode="External"/><Relationship Id="rId28" Type="http://schemas.openxmlformats.org/officeDocument/2006/relationships/hyperlink" Target="https://drive.google.com/file/d/1B2S1_qY9aygcZFPRoKFhjfCTAnrozQWO/view?usp=drive_link" TargetMode="External"/><Relationship Id="rId36" Type="http://schemas.openxmlformats.org/officeDocument/2006/relationships/hyperlink" Target="https://drive.google.com/file/d/1kkv0OR90i_qxlVC1wBgp1rrRNu6L5rfX/view?usp=drive_link" TargetMode="External"/><Relationship Id="rId10" Type="http://schemas.openxmlformats.org/officeDocument/2006/relationships/hyperlink" Target="https://drive.google.com/file/d/1WWjuDqTnSbO600Wt4HljOaEP9yT5tiS4/view?usp=drive_link" TargetMode="External"/><Relationship Id="rId19" Type="http://schemas.openxmlformats.org/officeDocument/2006/relationships/hyperlink" Target="https://drive.google.com/file/d/1aoP4vC0BjW9IoKBqAJvru0UjWHZtS5Kc/view?usp=drive_link" TargetMode="External"/><Relationship Id="rId31" Type="http://schemas.openxmlformats.org/officeDocument/2006/relationships/hyperlink" Target="https://drive.google.com/file/d/1Edp3uVE0gGi_YFwPdHHM-RHEM7aDk_t0/view?usp=drive_link" TargetMode="External"/><Relationship Id="rId44" Type="http://schemas.openxmlformats.org/officeDocument/2006/relationships/hyperlink" Target="https://drive.google.com/open?id=1357_q-1UKA2gEX0ns1BxJvf5foC3qLYN&amp;usp=drive_fs" TargetMode="External"/><Relationship Id="rId4" Type="http://schemas.openxmlformats.org/officeDocument/2006/relationships/hyperlink" Target="https://drive.google.com/file/d/1244NcrZ7zHdZxz9C6peYxkhMr-VcXgFO/view?usp=drive_link" TargetMode="External"/><Relationship Id="rId9" Type="http://schemas.openxmlformats.org/officeDocument/2006/relationships/hyperlink" Target="https://drive.google.com/file/d/1cHgWMVmyDHkd_D506LwCmjUucOfBL5t2/view?usp=drive_link" TargetMode="External"/><Relationship Id="rId14" Type="http://schemas.openxmlformats.org/officeDocument/2006/relationships/hyperlink" Target="https://drive.google.com/file/d/1yoriVG0pM-Qz3qaomy38VFJ04Oy-GcbN/view?usp=drive_link" TargetMode="External"/><Relationship Id="rId22" Type="http://schemas.openxmlformats.org/officeDocument/2006/relationships/hyperlink" Target="https://drive.google.com/file/d/1bElueOO23deqECWNkz2G0tnhk3eOp67r/view?usp=drive_link" TargetMode="External"/><Relationship Id="rId27" Type="http://schemas.openxmlformats.org/officeDocument/2006/relationships/hyperlink" Target="https://drive.google.com/file/d/1NUOw-bZlATDHWHHjrF1Avq1092o6a1Ih/view?usp=drive_link" TargetMode="External"/><Relationship Id="rId30" Type="http://schemas.openxmlformats.org/officeDocument/2006/relationships/hyperlink" Target="https://drive.google.com/file/d/1aolsmkA4uTG9-ctg1Hh3HDAtL9Rs4l_v/view?usp=drive_link" TargetMode="External"/><Relationship Id="rId35" Type="http://schemas.openxmlformats.org/officeDocument/2006/relationships/hyperlink" Target="https://drive.google.com/file/d/1XTp_iapkL6kAzjStKt9SjjEc5fwpHRcU/view?usp=drive_link" TargetMode="External"/><Relationship Id="rId43" Type="http://schemas.openxmlformats.org/officeDocument/2006/relationships/hyperlink" Target="https://drive.google.com/open?id=133pSYRZdHnA7yn_18_z2Q9wTB3Xf6rFl&amp;usp=drive_fs" TargetMode="External"/><Relationship Id="rId8" Type="http://schemas.openxmlformats.org/officeDocument/2006/relationships/hyperlink" Target="https://drive.google.com/file/d/1Mo48VzkqBr6qWxs5BWWgu908N3jw_eoL/view?usp=share_link" TargetMode="External"/><Relationship Id="rId3" Type="http://schemas.openxmlformats.org/officeDocument/2006/relationships/hyperlink" Target="https://drive.google.com/file/d/1OT7Kj5xg3-VFppr-wiJAJLUx60Slm5_p/view?usp=drive_link" TargetMode="External"/><Relationship Id="rId12" Type="http://schemas.openxmlformats.org/officeDocument/2006/relationships/hyperlink" Target="https://drive.google.com/file/d/10Qx3gXvTe-YIpaUKRh4sRKuoEwZm2mWq/view?usp=drive_link" TargetMode="External"/><Relationship Id="rId17" Type="http://schemas.openxmlformats.org/officeDocument/2006/relationships/hyperlink" Target="https://drive.google.com/file/d/1-nSAEnX3xvBm7ctLlyyvoQSZUUbJON2H/view?usp=drive_link" TargetMode="External"/><Relationship Id="rId25" Type="http://schemas.openxmlformats.org/officeDocument/2006/relationships/hyperlink" Target="https://drive.google.com/file/d/1Q-eguvLRK8xTvrkwud-9N6_uqLxpckdZ/view?usp=drive_link" TargetMode="External"/><Relationship Id="rId33" Type="http://schemas.openxmlformats.org/officeDocument/2006/relationships/hyperlink" Target="https://drive.google.com/file/d/1xYG7KoP5tP2aS8iHXTkKaRtMwDohBuyQ/view?usp=drive_link" TargetMode="External"/><Relationship Id="rId38" Type="http://schemas.openxmlformats.org/officeDocument/2006/relationships/hyperlink" Target="https://drive.google.com/file/d/1o_VdQtC8PJc7IfrvHNWc-A_wpDxPyQ8J/view?usp=drive_link" TargetMode="External"/><Relationship Id="rId20" Type="http://schemas.openxmlformats.org/officeDocument/2006/relationships/hyperlink" Target="https://drive.google.com/file/d/11EBIw_Fd-jDenCwyCWguP6MzxHFKsMEV/view?usp=drive_link" TargetMode="External"/><Relationship Id="rId41" Type="http://schemas.openxmlformats.org/officeDocument/2006/relationships/hyperlink" Target="https://drive.google.com/file/d/132UNTCPl7FzNODcvwIdPlTm8Oz082d3f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gsM3V-6zYolpmq9cYTa5BS5941i9pu98/view?usp=drive_link" TargetMode="External"/><Relationship Id="rId1" Type="http://schemas.openxmlformats.org/officeDocument/2006/relationships/hyperlink" Target="https://drive.google.com/file/d/1UiaIvuHAmCYXASmA_jHQclNiabMpO1j5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vavDP_limUyEvBVO4mFCC-zcLFxVlj7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AaV15cYJEkIQb3xLKI3GcnED9Mdsr43/view?usp=drive_link" TargetMode="External"/><Relationship Id="rId2" Type="http://schemas.openxmlformats.org/officeDocument/2006/relationships/hyperlink" Target="https://drive.google.com/file/d/1BlkWmzViPacqWqpv-u_tRrs4CmC87gHk/view?usp=drive_link" TargetMode="External"/><Relationship Id="rId1" Type="http://schemas.openxmlformats.org/officeDocument/2006/relationships/hyperlink" Target="https://drive.google.com/file/d/1e5ikVHBmj6cFtjyMr_wFTau1iIx7jtpu/view?usp=drive_link" TargetMode="External"/><Relationship Id="rId5" Type="http://schemas.openxmlformats.org/officeDocument/2006/relationships/hyperlink" Target="https://drive.google.com/file/d/139Uh_svHyOqA--aFqvZII_WXBPbyrH72/view?usp=drive_link" TargetMode="External"/><Relationship Id="rId4" Type="http://schemas.openxmlformats.org/officeDocument/2006/relationships/hyperlink" Target="https://drive.google.com/file/d/1AbYgduXL0aD1PQlCHgcIH6KsQej2lB6q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O_UeNEwS8PqZQKPG3v14wJsDPaiWD8R/view?usp=share_link" TargetMode="External"/><Relationship Id="rId3" Type="http://schemas.openxmlformats.org/officeDocument/2006/relationships/hyperlink" Target="https://drive.google.com/file/d/1mLeMiwSlPUtrlgoBJhLlaiMIPC4s_v2k/view?usp=share_link" TargetMode="External"/><Relationship Id="rId7" Type="http://schemas.openxmlformats.org/officeDocument/2006/relationships/hyperlink" Target="https://drive.google.com/file/d/1naVRZXkVQyHl92NwL-K92w0DU2O9lRlJ/view?usp=share_link" TargetMode="External"/><Relationship Id="rId2" Type="http://schemas.openxmlformats.org/officeDocument/2006/relationships/hyperlink" Target="https://drive.google.com/file/d/1heKSfy4JEBhTWGXwHZS_i1FdMs5LnriZ/view?usp=share_link" TargetMode="External"/><Relationship Id="rId1" Type="http://schemas.openxmlformats.org/officeDocument/2006/relationships/hyperlink" Target="https://drive.google.com/file/d/1vYNCMY0RhhS-HhA_00AjUEWg8DzVkbnl/view?usp=share_link" TargetMode="External"/><Relationship Id="rId6" Type="http://schemas.openxmlformats.org/officeDocument/2006/relationships/hyperlink" Target="https://drive.google.com/file/d/1IvqSKSKzY6g1ihfGSkVk3bgbcY8EzdMl/view?usp=share_link" TargetMode="External"/><Relationship Id="rId5" Type="http://schemas.openxmlformats.org/officeDocument/2006/relationships/hyperlink" Target="https://drive.google.com/file/d/1ehAFgxGwv9rH5cmVeFmSYZSmlv2yGl2t/view?usp=share_link" TargetMode="External"/><Relationship Id="rId4" Type="http://schemas.openxmlformats.org/officeDocument/2006/relationships/hyperlink" Target="https://drive.google.com/file/d/1sLLVU3gRpgJR09efASRIfh8O_vhhiDNJ/view?usp=share_link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vBlHdEfWC8pal29ooWgR6Uv8I5UJuH5/view?usp=share_link" TargetMode="External"/><Relationship Id="rId3" Type="http://schemas.openxmlformats.org/officeDocument/2006/relationships/hyperlink" Target="https://drive.google.com/file/d/1BNwsO4GDu2f-zTnMrjABXZrULS3BOfzw/view?usp=share_link" TargetMode="External"/><Relationship Id="rId7" Type="http://schemas.openxmlformats.org/officeDocument/2006/relationships/hyperlink" Target="https://drive.google.com/file/d/1jpLu8CqN3eX8vB9nojzDIatKdkTXJw4c/view?usp=share_link" TargetMode="External"/><Relationship Id="rId2" Type="http://schemas.openxmlformats.org/officeDocument/2006/relationships/hyperlink" Target="https://drive.google.com/file/d/10D3VSdixwN8V7LZwGOGgg3VYwAL_4Lrd/view?usp=share_link" TargetMode="External"/><Relationship Id="rId1" Type="http://schemas.openxmlformats.org/officeDocument/2006/relationships/hyperlink" Target="https://drive.google.com/file/d/1goxnXMZmcYEi7ue6bP4NgTZjyELEtLHN/view?usp=share_link" TargetMode="External"/><Relationship Id="rId6" Type="http://schemas.openxmlformats.org/officeDocument/2006/relationships/hyperlink" Target="https://drive.google.com/file/d/18Pe_0QwVnfY5sJU471cA4HTJ-psyxumY/view?usp=share_link" TargetMode="External"/><Relationship Id="rId11" Type="http://schemas.openxmlformats.org/officeDocument/2006/relationships/hyperlink" Target="https://drive.google.com/file/d/1JxEddPaRVWKE3jTvqD0azvBc2JSIORdc/view?usp=share_link" TargetMode="External"/><Relationship Id="rId5" Type="http://schemas.openxmlformats.org/officeDocument/2006/relationships/hyperlink" Target="https://drive.google.com/file/d/1U-7WlizRffgzJvZOgJlp0dXuCI_cVhPc/view?usp=share_link" TargetMode="External"/><Relationship Id="rId10" Type="http://schemas.openxmlformats.org/officeDocument/2006/relationships/hyperlink" Target="https://drive.google.com/file/d/1PZD_cqemad8WWhJBNcib8aFeSHvtQls3/view?usp=share_link" TargetMode="External"/><Relationship Id="rId4" Type="http://schemas.openxmlformats.org/officeDocument/2006/relationships/hyperlink" Target="https://drive.google.com/file/d/15YDLANf4OLzVvM90EAS39RE0kX64uRFO/view?usp=share_link" TargetMode="External"/><Relationship Id="rId9" Type="http://schemas.openxmlformats.org/officeDocument/2006/relationships/hyperlink" Target="https://drive.google.com/file/d/1NbRTeCV-xYxzex7oIcifdKKTJRm0-gIP/view?usp=share_link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JLSUCUQASUIgvwOElS3eYU4meTlz14b/view?usp=share_link" TargetMode="External"/><Relationship Id="rId13" Type="http://schemas.openxmlformats.org/officeDocument/2006/relationships/hyperlink" Target="https://drive.google.com/file/d/1XuiYtXEQx2ajKijgdJadFi_bxvKfaf6n/view?usp=share_link" TargetMode="External"/><Relationship Id="rId18" Type="http://schemas.openxmlformats.org/officeDocument/2006/relationships/hyperlink" Target="https://drive.google.com/file/d/1fyRdqHNmlQGdnIygFsbI60uh-OZua3Qn/view?usp=share_link" TargetMode="External"/><Relationship Id="rId3" Type="http://schemas.openxmlformats.org/officeDocument/2006/relationships/hyperlink" Target="https://drive.google.com/file/d/1IMzG3rEz2iVJuAAv3_O0KcY-xgHJSMNE/view?usp=share_link" TargetMode="External"/><Relationship Id="rId21" Type="http://schemas.openxmlformats.org/officeDocument/2006/relationships/hyperlink" Target="https://drive.google.com/file/d/1znXnJja9UjOSSy5XMLxiS7rWSchWkm-V/view?usp=share_link" TargetMode="External"/><Relationship Id="rId7" Type="http://schemas.openxmlformats.org/officeDocument/2006/relationships/hyperlink" Target="https://drive.google.com/file/d/1muKDrQOUvqtEYhidmAIc587eaDNz5etI/view?usp=share_link" TargetMode="External"/><Relationship Id="rId12" Type="http://schemas.openxmlformats.org/officeDocument/2006/relationships/hyperlink" Target="https://drive.google.com/file/d/1xrQUt2mHP9mZpuVZPq13iI39_auyArwk/view?usp=share_link" TargetMode="External"/><Relationship Id="rId17" Type="http://schemas.openxmlformats.org/officeDocument/2006/relationships/hyperlink" Target="https://drive.google.com/file/d/1vjLcz1F6EfqcA2zm8HbakwKk4aL0jt_D/view?usp=share_link" TargetMode="External"/><Relationship Id="rId2" Type="http://schemas.openxmlformats.org/officeDocument/2006/relationships/hyperlink" Target="https://drive.google.com/file/d/1NomyUiW5M6p8V3d3b9bGoXCn3oT7ubCQ/view?usp=share_link" TargetMode="External"/><Relationship Id="rId16" Type="http://schemas.openxmlformats.org/officeDocument/2006/relationships/hyperlink" Target="https://drive.google.com/file/d/1TgjbdHsWCZDLrmNkUHTNHPEC45kyZYQr/view?usp=share_link" TargetMode="External"/><Relationship Id="rId20" Type="http://schemas.openxmlformats.org/officeDocument/2006/relationships/hyperlink" Target="https://drive.google.com/file/d/1DndHXyizhhv_brBufvM-XhU1bRFPDBct/view?usp=share_link" TargetMode="External"/><Relationship Id="rId1" Type="http://schemas.openxmlformats.org/officeDocument/2006/relationships/hyperlink" Target="https://drive.google.com/file/d/10qdlN2_2yWYfgJqfYE3t6qtsW80Yg5CG/view?usp=share_link" TargetMode="External"/><Relationship Id="rId6" Type="http://schemas.openxmlformats.org/officeDocument/2006/relationships/hyperlink" Target="https://drive.google.com/file/d/118cabXzJe60rc6BkIIAw0-iPqHQicF0U/view?usp=share_link" TargetMode="External"/><Relationship Id="rId11" Type="http://schemas.openxmlformats.org/officeDocument/2006/relationships/hyperlink" Target="https://drive.google.com/file/d/1xIMbHXy7MoWUE84-MEgWB4l0R1A9QYP7/view?usp=share_link" TargetMode="External"/><Relationship Id="rId24" Type="http://schemas.openxmlformats.org/officeDocument/2006/relationships/hyperlink" Target="https://drive.google.com/file/d/1FCC9xnvTBWFCronHYI-9hxmDJbC_DabZ/view?usp=sharing" TargetMode="External"/><Relationship Id="rId5" Type="http://schemas.openxmlformats.org/officeDocument/2006/relationships/hyperlink" Target="https://drive.google.com/file/d/1lfRK1rbrF-iE7oPWjN992eW7mYZV9bGH/view?usp=share_link" TargetMode="External"/><Relationship Id="rId15" Type="http://schemas.openxmlformats.org/officeDocument/2006/relationships/hyperlink" Target="https://drive.google.com/file/d/1uWYvJW_bVk_vOvKDEOWgP_dPV47ZbtKz/view?usp=share_link" TargetMode="External"/><Relationship Id="rId23" Type="http://schemas.openxmlformats.org/officeDocument/2006/relationships/hyperlink" Target="https://drive.google.com/file/d/1-3LHrGiz13yLrBT5jb2DS363TpnV5Mnp/view?usp=share_link" TargetMode="External"/><Relationship Id="rId10" Type="http://schemas.openxmlformats.org/officeDocument/2006/relationships/hyperlink" Target="https://drive.google.com/file/d/1RCAoEbFMnvRLv7BjTt0vUQJZJiOHCI6P/view?usp=share_link" TargetMode="External"/><Relationship Id="rId19" Type="http://schemas.openxmlformats.org/officeDocument/2006/relationships/hyperlink" Target="https://drive.google.com/file/d/1mxHfrSV8brSbCWf_4olZyHXRPBBRccU1/view?usp=share_link" TargetMode="External"/><Relationship Id="rId4" Type="http://schemas.openxmlformats.org/officeDocument/2006/relationships/hyperlink" Target="https://drive.google.com/file/d/1GdfmLj9s8KHpNK8uNYX-KCyzbhJ77ljn/view?usp=share_link" TargetMode="External"/><Relationship Id="rId9" Type="http://schemas.openxmlformats.org/officeDocument/2006/relationships/hyperlink" Target="https://drive.google.com/file/d/1zEHA96WC9BZXLqXqJDC77wvNNXoHlB0k/view?usp=share_link" TargetMode="External"/><Relationship Id="rId14" Type="http://schemas.openxmlformats.org/officeDocument/2006/relationships/hyperlink" Target="https://drive.google.com/file/d/1sVHYskWf-91PN69h2PZTAgchAXOZR49R/view?usp=share_link" TargetMode="External"/><Relationship Id="rId22" Type="http://schemas.openxmlformats.org/officeDocument/2006/relationships/hyperlink" Target="https://drive.google.com/file/d/143hbgiHwBs64EoMUDCBa4CSORF69iS_e/view?usp=share_link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GkBDQz0eTtuMAyfIXkAto6TG3blcVDLr/view?usp=share_link" TargetMode="External"/><Relationship Id="rId2" Type="http://schemas.openxmlformats.org/officeDocument/2006/relationships/hyperlink" Target="https://drive.google.com/file/d/1F4d2J2RB7eUD5a_g5x66Y9h0nDGoMWPI/view?usp=share_link" TargetMode="External"/><Relationship Id="rId1" Type="http://schemas.openxmlformats.org/officeDocument/2006/relationships/hyperlink" Target="https://drive.google.com/file/d/1gGQTO6IBHJE9H4CHyPooShym75rb1T_D/view?usp=share_link" TargetMode="External"/><Relationship Id="rId6" Type="http://schemas.openxmlformats.org/officeDocument/2006/relationships/hyperlink" Target="https://drive.google.com/file/d/1IO2_QYvqq2zyeYOz2QVwMHJEzFRfMrZe/view?usp=drive_link" TargetMode="External"/><Relationship Id="rId5" Type="http://schemas.openxmlformats.org/officeDocument/2006/relationships/hyperlink" Target="https://drive.google.com/file/d/17WWjI_GEf9-8-qHWWV0jnPfS_V0Nnlh2/view?usp=drive_link" TargetMode="External"/><Relationship Id="rId4" Type="http://schemas.openxmlformats.org/officeDocument/2006/relationships/hyperlink" Target="https://drive.google.com/file/d/1gGQTO6IBHJE9H4CHyPooShym75rb1T_D/view?usp=drive_link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SDYF_cyCOyoPx94wOndj5l8xfNOHITtK/view?usp=drive_link" TargetMode="External"/><Relationship Id="rId18" Type="http://schemas.openxmlformats.org/officeDocument/2006/relationships/hyperlink" Target="https://drive.google.com/file/d/1N_dOluCek2kLz0owb56ykg_HDobdWF_2/view?usp=drive_link" TargetMode="External"/><Relationship Id="rId26" Type="http://schemas.openxmlformats.org/officeDocument/2006/relationships/hyperlink" Target="https://drive.google.com/file/d/1Q-eguvLRK8xTvrkwud-9N6_uqLxpckdZ/view?usp=drive_link" TargetMode="External"/><Relationship Id="rId39" Type="http://schemas.openxmlformats.org/officeDocument/2006/relationships/hyperlink" Target="https://drive.google.com/file/d/1NUOw-bZlATDHWHHjrF1Avq1092o6a1Ih/view?usp=drive_link" TargetMode="External"/><Relationship Id="rId21" Type="http://schemas.openxmlformats.org/officeDocument/2006/relationships/hyperlink" Target="https://drive.google.com/file/d/13i4FvHac6p5HIIKnvT3HTExObigrjbFw/view?usp=drive_link" TargetMode="External"/><Relationship Id="rId34" Type="http://schemas.openxmlformats.org/officeDocument/2006/relationships/hyperlink" Target="https://drive.google.com/file/d/1s2Zf4rpQLA643ssjIe2GYxa7H39u0jZU/view?usp=drive_link" TargetMode="External"/><Relationship Id="rId42" Type="http://schemas.openxmlformats.org/officeDocument/2006/relationships/hyperlink" Target="http://link/" TargetMode="External"/><Relationship Id="rId47" Type="http://schemas.openxmlformats.org/officeDocument/2006/relationships/hyperlink" Target="https://drive.google.com/file/d/1lM9QxhwADw8kaYZqquERrNtcahxEGRXs/view?usp=drive_link" TargetMode="External"/><Relationship Id="rId50" Type="http://schemas.openxmlformats.org/officeDocument/2006/relationships/hyperlink" Target="https://drive.google.com/file/d/1cQudH2yuEppMuEE5ePkyaoRZUggSQo5K/view?usp=drive_link" TargetMode="External"/><Relationship Id="rId55" Type="http://schemas.openxmlformats.org/officeDocument/2006/relationships/hyperlink" Target="https://drive.google.com/file/d/1kdl_uasfKKd9r6B8WakWqGuPRP_V6rnz/view?usp=drive_link" TargetMode="External"/><Relationship Id="rId7" Type="http://schemas.openxmlformats.org/officeDocument/2006/relationships/hyperlink" Target="https://drive.google.com/file/d/1kGLt2jjI4RC8B0M47g0cTS9AVUPO_ArA/view?usp=drive_link" TargetMode="External"/><Relationship Id="rId2" Type="http://schemas.openxmlformats.org/officeDocument/2006/relationships/hyperlink" Target="https://drive.google.com/file/d/1zesVl0jEBILoO1wK1SwN-m-M_71U3aPX/view?usp=drive_link" TargetMode="External"/><Relationship Id="rId16" Type="http://schemas.openxmlformats.org/officeDocument/2006/relationships/hyperlink" Target="https://drive.google.com/file/d/1sWHOg8Of9k68yTf4_ndaUdvoX_8DAW8H/view?usp=drive_link" TargetMode="External"/><Relationship Id="rId29" Type="http://schemas.openxmlformats.org/officeDocument/2006/relationships/hyperlink" Target="https://drive.google.com/file/d/1D3HbICHWBRwqLWFHdk749uD_e5gXAmho/view?usp=drive_link" TargetMode="External"/><Relationship Id="rId11" Type="http://schemas.openxmlformats.org/officeDocument/2006/relationships/hyperlink" Target="https://drive.google.com/file/d/1ZoqFhCfN0u_juy8NH9Gsao4MkQ4Vlr7N/view?usp=drive_link" TargetMode="External"/><Relationship Id="rId24" Type="http://schemas.openxmlformats.org/officeDocument/2006/relationships/hyperlink" Target="https://drive.google.com/file/d/1Rt1ulOg-FKe4IfNAz-ZeXxbZDmRYt2M5/view?usp=drive_link" TargetMode="External"/><Relationship Id="rId32" Type="http://schemas.openxmlformats.org/officeDocument/2006/relationships/hyperlink" Target="https://drive.google.com/file/d/14n7X-t_JWXmN4nVfiwnmer63QbqEsV9l/view?usp=drive_link" TargetMode="External"/><Relationship Id="rId37" Type="http://schemas.openxmlformats.org/officeDocument/2006/relationships/hyperlink" Target="https://drive.google.com/file/d/164KxbYK7tjio9OHd4oDjXq20lKRISFvO/view?usp=drive_link" TargetMode="External"/><Relationship Id="rId40" Type="http://schemas.openxmlformats.org/officeDocument/2006/relationships/hyperlink" Target="https://drive.google.com/file/d/1R-RD8Gru3dmYnx8MxZvWVbJRH11Ofzf5/view?usp=drive_link" TargetMode="External"/><Relationship Id="rId45" Type="http://schemas.openxmlformats.org/officeDocument/2006/relationships/hyperlink" Target="https://drive.google.com/file/d/1SMoPTc7mUopV94qpb_3BKhc4NDlVBXAa/view?usp=drive_link" TargetMode="External"/><Relationship Id="rId53" Type="http://schemas.openxmlformats.org/officeDocument/2006/relationships/hyperlink" Target="https://drive.google.com/file/d/1x8TQAcBfQMtWE6mCYiCgbd1kOkYycI6g/view?usp=drive_link" TargetMode="External"/><Relationship Id="rId58" Type="http://schemas.openxmlformats.org/officeDocument/2006/relationships/hyperlink" Target="https://drive.google.com/file/d/1aoWnRkNsNULrx7pqwJstEJCUfL-sqF30/view?usp=drive_link" TargetMode="External"/><Relationship Id="rId5" Type="http://schemas.openxmlformats.org/officeDocument/2006/relationships/hyperlink" Target="https://drive.google.com/file/d/1_MOqStepNtwHDSBWIuAb3gEUJdRLlDHG/view?usp=drive_link" TargetMode="External"/><Relationship Id="rId19" Type="http://schemas.openxmlformats.org/officeDocument/2006/relationships/hyperlink" Target="https://drive.google.com/file/d/1EGU_LeQlx1FXF4WRFTnjHy5l9WNBLdBG/view?usp=drive_link" TargetMode="External"/><Relationship Id="rId4" Type="http://schemas.openxmlformats.org/officeDocument/2006/relationships/hyperlink" Target="https://drive.google.com/file/d/1wRWrEDihDq93E7i_gRb_XURSiG0co9Jl/view?usp=drive_link" TargetMode="External"/><Relationship Id="rId9" Type="http://schemas.openxmlformats.org/officeDocument/2006/relationships/hyperlink" Target="https://drive.google.com/file/d/1f3nMcj5RIj4xXN-l7OlxasqGwnGem3T5/view?usp=drive_link" TargetMode="External"/><Relationship Id="rId14" Type="http://schemas.openxmlformats.org/officeDocument/2006/relationships/hyperlink" Target="https://drive.google.com/file/d/1J4X7VSBvZuteOpHO8O275RpQ2Uzfk_Q8/view?usp=drive_link" TargetMode="External"/><Relationship Id="rId22" Type="http://schemas.openxmlformats.org/officeDocument/2006/relationships/hyperlink" Target="https://drive.google.com/file/d/1duMZYIxbNDACzYelU7xlhzrq81ilRIbn/view?usp=drive_link" TargetMode="External"/><Relationship Id="rId27" Type="http://schemas.openxmlformats.org/officeDocument/2006/relationships/hyperlink" Target="https://drive.google.com/file/d/1CIoZANq0X-NBvsCk5TWn_OSnnWwviFNW/view?usp=drive_link" TargetMode="External"/><Relationship Id="rId30" Type="http://schemas.openxmlformats.org/officeDocument/2006/relationships/hyperlink" Target="https://drive.google.com/file/d/16GoH39K4F_jmWBEvaB3tk5-tOnM5NPse/view?usp=drive_link" TargetMode="External"/><Relationship Id="rId35" Type="http://schemas.openxmlformats.org/officeDocument/2006/relationships/hyperlink" Target="https://drive.google.com/file/d/1VOFZJwelAUe0-CsIoiDJ6nasCe-XLGCO/view?usp=drive_link" TargetMode="External"/><Relationship Id="rId43" Type="http://schemas.openxmlformats.org/officeDocument/2006/relationships/hyperlink" Target="https://drive.google.com/file/d/1Vk_jcrggOxPVqD4HWg6msWhS_Dvo_tzn/view?usp=drive_link" TargetMode="External"/><Relationship Id="rId48" Type="http://schemas.openxmlformats.org/officeDocument/2006/relationships/hyperlink" Target="https://drive.google.com/file/d/1aZAhKCJCIhvJuvFKMUsH8A6Dgnl3_R1_/view?usp=drive_link" TargetMode="External"/><Relationship Id="rId56" Type="http://schemas.openxmlformats.org/officeDocument/2006/relationships/hyperlink" Target="https://drive.google.com/file/d/1ogFCVo6LQzx8zY42tIztoV-8FKZEzX3P/view?usp=drive_link" TargetMode="External"/><Relationship Id="rId8" Type="http://schemas.openxmlformats.org/officeDocument/2006/relationships/hyperlink" Target="https://drive.google.com/file/d/1oT1_QnZ3JHJ_LjLmYwPmoH-6kV-oKt6a/view?usp=drive_link" TargetMode="External"/><Relationship Id="rId51" Type="http://schemas.openxmlformats.org/officeDocument/2006/relationships/hyperlink" Target="https://drive.google.com/file/d/1aolsmkA4uTG9-ctg1Hh3HDAtL9Rs4l_v/view?usp=drive_link" TargetMode="External"/><Relationship Id="rId3" Type="http://schemas.openxmlformats.org/officeDocument/2006/relationships/hyperlink" Target="https://drive.google.com/file/d/1LXZZT4x2g_oubS7Qv2xMgjkgTe1XaeI_/view?usp=drive_link" TargetMode="External"/><Relationship Id="rId12" Type="http://schemas.openxmlformats.org/officeDocument/2006/relationships/hyperlink" Target="https://drive.google.com/file/d/1cC5tf2zbWho1Dk6h2bZrIMQeNemWCb_j/view?usp=drive_link" TargetMode="External"/><Relationship Id="rId17" Type="http://schemas.openxmlformats.org/officeDocument/2006/relationships/hyperlink" Target="https://drive.google.com/file/d/1jAc-UYwn9_70JaVO30bJKsJWV1pq1Adv/view?usp=drive_link" TargetMode="External"/><Relationship Id="rId25" Type="http://schemas.openxmlformats.org/officeDocument/2006/relationships/hyperlink" Target="https://drive.google.com/file/d/1ww0L7wwCmkXumvhqAuN6ZuHq_6epRIoG/view?usp=drive_link" TargetMode="External"/><Relationship Id="rId33" Type="http://schemas.openxmlformats.org/officeDocument/2006/relationships/hyperlink" Target="https://drive.google.com/file/d/1NO5nka_fZR2xvEKtHYD0Hb-DVhjuDGXl/view?usp=drive_link" TargetMode="External"/><Relationship Id="rId38" Type="http://schemas.openxmlformats.org/officeDocument/2006/relationships/hyperlink" Target="https://drive.google.com/file/d/1__DU1bwZDEIzllSakgbZaoX9J65jAkCr/view?usp=drive_link" TargetMode="External"/><Relationship Id="rId46" Type="http://schemas.openxmlformats.org/officeDocument/2006/relationships/hyperlink" Target="https://drive.google.com/file/d/1ww0L7wwCmkXumvhqAuN6ZuHq_6epRIoG/view?usp=drive_link" TargetMode="External"/><Relationship Id="rId59" Type="http://schemas.openxmlformats.org/officeDocument/2006/relationships/hyperlink" Target="https://drive.google.com/file/d/1HmWpb4sQ0rZzgn6iFic7dscqF7zWqtMv/view?usp=drive_link" TargetMode="External"/><Relationship Id="rId20" Type="http://schemas.openxmlformats.org/officeDocument/2006/relationships/hyperlink" Target="https://drive.google.com/file/d/1oYBDWdF3RQH5P5JNXp61DCpegh0zxcad/view?usp=drive_link" TargetMode="External"/><Relationship Id="rId41" Type="http://schemas.openxmlformats.org/officeDocument/2006/relationships/hyperlink" Target="https://drive.google.com/file/d/1B2S1_qY9aygcZFPRoKFhjfCTAnrozQWO/view?usp=drive_link" TargetMode="External"/><Relationship Id="rId54" Type="http://schemas.openxmlformats.org/officeDocument/2006/relationships/hyperlink" Target="https://drive.google.com/file/d/1Edp3uVE0gGi_YFwPdHHM-RHEM7aDk_t0/view?usp=drive_link" TargetMode="External"/><Relationship Id="rId1" Type="http://schemas.openxmlformats.org/officeDocument/2006/relationships/hyperlink" Target="https://drive.google.com/file/d/1KfSQ0mPVupZS2zjemKK72RsItorqXy5Z/view?usp=drive_link" TargetMode="External"/><Relationship Id="rId6" Type="http://schemas.openxmlformats.org/officeDocument/2006/relationships/hyperlink" Target="https://drive.google.com/file/d/1yoriVG0pM-Qz3qaomy38VFJ04Oy-GcbN/view?usp=drive_link" TargetMode="External"/><Relationship Id="rId15" Type="http://schemas.openxmlformats.org/officeDocument/2006/relationships/hyperlink" Target="https://drive.google.com/file/d/1FcXrurUrmKXlkQgqC4f21fIYrrgkY3Js/view?usp=drive_link" TargetMode="External"/><Relationship Id="rId23" Type="http://schemas.openxmlformats.org/officeDocument/2006/relationships/hyperlink" Target="https://drive.google.com/file/d/1ayaEW8i9NPmU_w6rb4cEbu915ooTi8-j/view?usp=drive_link" TargetMode="External"/><Relationship Id="rId28" Type="http://schemas.openxmlformats.org/officeDocument/2006/relationships/hyperlink" Target="https://drive.google.com/file/d/1QXX7uM3Pn0c360NeHYVC_rG3hWV-yeRj/view?usp=drive_link" TargetMode="External"/><Relationship Id="rId36" Type="http://schemas.openxmlformats.org/officeDocument/2006/relationships/hyperlink" Target="https://drive.google.com/file/d/1PrT89WkXVFz5HcfWhNAf1x09ElIBvxJd/view?usp=drive_link" TargetMode="External"/><Relationship Id="rId49" Type="http://schemas.openxmlformats.org/officeDocument/2006/relationships/hyperlink" Target="https://drive.google.com/file/d/1cQudH2yuEppMuEE5ePkyaoRZUggSQo5K/view?usp=drive_link" TargetMode="External"/><Relationship Id="rId57" Type="http://schemas.openxmlformats.org/officeDocument/2006/relationships/hyperlink" Target="https://drive.google.com/file/d/1SMoPTc7mUopV94qpb_3BKhc4NDlVBXAa/view?usp=drive_link" TargetMode="External"/><Relationship Id="rId10" Type="http://schemas.openxmlformats.org/officeDocument/2006/relationships/hyperlink" Target="https://drive.google.com/file/d/1bElueOO23deqECWNkz2G0tnhk3eOp67r/view?usp=drive_link" TargetMode="External"/><Relationship Id="rId31" Type="http://schemas.openxmlformats.org/officeDocument/2006/relationships/hyperlink" Target="https://drive.google.com/file/d/1mOJLLXw4fqgZmlIkLT5fCXQYTbFlpzVZ/view?usp=drive_link" TargetMode="External"/><Relationship Id="rId44" Type="http://schemas.openxmlformats.org/officeDocument/2006/relationships/hyperlink" Target="https://drive.google.com/file/d/1ogFCVo6LQzx8zY42tIztoV-8FKZEzX3P/view?usp=drive_link" TargetMode="External"/><Relationship Id="rId52" Type="http://schemas.openxmlformats.org/officeDocument/2006/relationships/hyperlink" Target="https://drive.google.com/file/d/1x8TQAcBfQMtWE6mCYiCgbd1kOkYycI6g/view?usp=drive_link" TargetMode="External"/><Relationship Id="rId60" Type="http://schemas.openxmlformats.org/officeDocument/2006/relationships/hyperlink" Target="https://drive.google.com/file/d/1tes9RbLRcj94WJ0titXyZjOowx44pRXr/view?usp=drive_link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jXTC_lG-VU9nQfbWqo3ocS5utdRPUtl/view?usp=share_link" TargetMode="External"/><Relationship Id="rId2" Type="http://schemas.openxmlformats.org/officeDocument/2006/relationships/hyperlink" Target="https://drive.google.com/file/d/11u-m_E1eE1FfruC3MRodiICtCnt_drw0/view?usp=share_link" TargetMode="External"/><Relationship Id="rId1" Type="http://schemas.openxmlformats.org/officeDocument/2006/relationships/hyperlink" Target="https://drive.google.com/file/d/1wJRwsfSqdCRqCIx-B7IvDkudYUYEHPCG/view?usp=share_link" TargetMode="External"/><Relationship Id="rId4" Type="http://schemas.openxmlformats.org/officeDocument/2006/relationships/hyperlink" Target="https://drive.google.com/file/d/1Gnl6t1STWoXYUYCOQu72mjyPjc-pdgb2/view?usp=sharing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MkH3IHr6TSWdMk0S6r3GFsX-BFNzPUJ/view?usp=drive_link" TargetMode="External"/><Relationship Id="rId2" Type="http://schemas.openxmlformats.org/officeDocument/2006/relationships/hyperlink" Target="https://drive.google.com/file/d/10kUB6qKCCht5U7RkXaNSGMDAn1eLq643/view?usp=drive_link" TargetMode="External"/><Relationship Id="rId1" Type="http://schemas.openxmlformats.org/officeDocument/2006/relationships/hyperlink" Target="https://drive.google.com/file/d/1Qm85DLdxa2whdbA41WXvKa_5cE7MhVB3/view?usp=drive_link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a3NWcWNqzWu5WocrEnCgR05ceVI4gFZ/view?usp=share_link" TargetMode="External"/><Relationship Id="rId2" Type="http://schemas.openxmlformats.org/officeDocument/2006/relationships/hyperlink" Target="https://drive.google.com/file/d/1obHo9WiuPDZtq1cWyQnFtLOZg1GrsYHA/view?usp=share_link" TargetMode="External"/><Relationship Id="rId1" Type="http://schemas.openxmlformats.org/officeDocument/2006/relationships/hyperlink" Target="https://drive.google.com/file/d/1cKFQns30t5Lh-rHBXqC8_TOKhyYxTWU3/view?usp=share_link" TargetMode="External"/><Relationship Id="rId4" Type="http://schemas.openxmlformats.org/officeDocument/2006/relationships/hyperlink" Target="https://drive.google.com/file/d/14n5aOnVAGxu7wS1nA_VLiXQApbIdTzHL/view?usp=share_link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EEGgBtlEg4tr49t7P_hX0lVGTrdKdpD/view?usp=drive_link" TargetMode="External"/><Relationship Id="rId2" Type="http://schemas.openxmlformats.org/officeDocument/2006/relationships/hyperlink" Target="https://drive.google.com/file/d/1eEEGgBtlEg4tr49t7P_hX0lVGTrdKdpD/view?usp=sharing" TargetMode="External"/><Relationship Id="rId1" Type="http://schemas.openxmlformats.org/officeDocument/2006/relationships/hyperlink" Target="https://drive.google.com/file/d/1C8D7eQkTgw5RjR4KdhbbSYJkjfubxjJb/view?usp=drive_link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bx3C_0BVEA4H9UHxlt702VfjeLVmI73/view?usp=drive_link" TargetMode="External"/><Relationship Id="rId2" Type="http://schemas.openxmlformats.org/officeDocument/2006/relationships/hyperlink" Target="https://drive.google.com/file/d/1XU14OBfFS_VMwnmiH7-PKCCn8gNlhWoo/view?usp=drive_link" TargetMode="External"/><Relationship Id="rId1" Type="http://schemas.openxmlformats.org/officeDocument/2006/relationships/hyperlink" Target="http://link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  <pageSetUpPr fitToPage="1"/>
  </sheetPr>
  <dimension ref="A1:AA866"/>
  <sheetViews>
    <sheetView showGridLines="0" workbookViewId="0"/>
  </sheetViews>
  <sheetFormatPr defaultColWidth="12.5703125" defaultRowHeight="15.75" customHeight="1"/>
  <cols>
    <col min="1" max="1" width="8.28515625" customWidth="1"/>
    <col min="2" max="2" width="28.5703125" customWidth="1"/>
    <col min="3" max="3" width="25.5703125" customWidth="1"/>
    <col min="4" max="4" width="18.7109375" customWidth="1"/>
    <col min="5" max="5" width="36" customWidth="1"/>
    <col min="6" max="6" width="14.7109375" customWidth="1"/>
    <col min="7" max="8" width="9.28515625" hidden="1" customWidth="1"/>
    <col min="9" max="10" width="9.28515625" customWidth="1"/>
    <col min="11" max="11" width="24.42578125" customWidth="1"/>
  </cols>
  <sheetData>
    <row r="1" spans="1:27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432</v>
      </c>
      <c r="F1" s="1" t="s">
        <v>6</v>
      </c>
      <c r="G1" s="1"/>
      <c r="I1" s="1" t="s">
        <v>7</v>
      </c>
      <c r="J1" s="62" t="s">
        <v>12</v>
      </c>
      <c r="K1" s="62" t="s">
        <v>13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63">
        <v>1</v>
      </c>
      <c r="B2" s="5" t="s">
        <v>18</v>
      </c>
      <c r="C2" s="30" t="s">
        <v>19</v>
      </c>
      <c r="D2" s="5" t="s">
        <v>21</v>
      </c>
      <c r="E2" s="5" t="s">
        <v>433</v>
      </c>
      <c r="F2" s="9" t="s">
        <v>307</v>
      </c>
      <c r="G2" s="18">
        <v>45117.337209062505</v>
      </c>
      <c r="H2" s="9" t="s">
        <v>434</v>
      </c>
      <c r="I2" s="24" t="s">
        <v>435</v>
      </c>
      <c r="J2" s="64"/>
      <c r="K2" s="2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2.75">
      <c r="A3" s="9">
        <v>2</v>
      </c>
      <c r="B3" s="5" t="s">
        <v>18</v>
      </c>
      <c r="C3" s="30" t="s">
        <v>31</v>
      </c>
      <c r="D3" s="19" t="s">
        <v>32</v>
      </c>
      <c r="E3" s="5" t="s">
        <v>438</v>
      </c>
      <c r="F3" s="9" t="s">
        <v>307</v>
      </c>
      <c r="G3" s="18">
        <v>45117.337217581022</v>
      </c>
      <c r="H3" s="9" t="s">
        <v>434</v>
      </c>
      <c r="I3" s="24" t="s">
        <v>439</v>
      </c>
      <c r="J3" s="64"/>
      <c r="K3" s="22"/>
      <c r="L3" s="65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2.75">
      <c r="A4" s="9">
        <v>3</v>
      </c>
      <c r="B4" s="5" t="s">
        <v>36</v>
      </c>
      <c r="C4" s="30" t="s">
        <v>37</v>
      </c>
      <c r="D4" s="5" t="s">
        <v>38</v>
      </c>
      <c r="E4" s="5" t="s">
        <v>441</v>
      </c>
      <c r="F4" s="9" t="s">
        <v>307</v>
      </c>
      <c r="G4" s="18">
        <v>45148.456550868053</v>
      </c>
      <c r="H4" s="9" t="s">
        <v>434</v>
      </c>
      <c r="I4" s="24" t="s">
        <v>442</v>
      </c>
      <c r="J4" s="64"/>
      <c r="K4" s="17"/>
      <c r="L4" s="6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2.75">
      <c r="A5" s="63">
        <v>4</v>
      </c>
      <c r="B5" s="5" t="s">
        <v>18</v>
      </c>
      <c r="C5" s="30" t="s">
        <v>43</v>
      </c>
      <c r="D5" s="19" t="s">
        <v>44</v>
      </c>
      <c r="E5" s="5" t="s">
        <v>443</v>
      </c>
      <c r="F5" s="9" t="s">
        <v>307</v>
      </c>
      <c r="G5" s="9" t="s">
        <v>434</v>
      </c>
      <c r="H5" s="9" t="s">
        <v>434</v>
      </c>
      <c r="I5" s="24" t="s">
        <v>445</v>
      </c>
      <c r="J5" s="66">
        <v>45600</v>
      </c>
      <c r="K5" s="22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2.75">
      <c r="A6" s="67">
        <v>5</v>
      </c>
      <c r="B6" s="68" t="s">
        <v>48</v>
      </c>
      <c r="C6" s="69" t="s">
        <v>49</v>
      </c>
      <c r="D6" s="68" t="s">
        <v>50</v>
      </c>
      <c r="E6" s="68" t="s">
        <v>447</v>
      </c>
      <c r="F6" s="67" t="s">
        <v>307</v>
      </c>
      <c r="G6" s="70">
        <v>45117.337247615738</v>
      </c>
      <c r="H6" s="67" t="s">
        <v>434</v>
      </c>
      <c r="I6" s="71" t="s">
        <v>448</v>
      </c>
      <c r="J6" s="72"/>
      <c r="K6" s="73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spans="1:27" ht="12.75">
      <c r="A7" s="9">
        <v>6</v>
      </c>
      <c r="B7" s="5" t="s">
        <v>52</v>
      </c>
      <c r="C7" s="30"/>
      <c r="D7" s="5" t="s">
        <v>54</v>
      </c>
      <c r="E7" s="5" t="s">
        <v>450</v>
      </c>
      <c r="F7" s="9" t="s">
        <v>307</v>
      </c>
      <c r="G7" s="18">
        <v>45232.430298599538</v>
      </c>
      <c r="H7" s="9" t="s">
        <v>434</v>
      </c>
      <c r="I7" s="24" t="s">
        <v>451</v>
      </c>
      <c r="J7" s="64"/>
      <c r="K7" s="17"/>
      <c r="L7" s="6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2.75">
      <c r="A8" s="63">
        <v>7</v>
      </c>
      <c r="B8" s="5" t="s">
        <v>52</v>
      </c>
      <c r="C8" s="30" t="s">
        <v>59</v>
      </c>
      <c r="D8" s="5" t="s">
        <v>60</v>
      </c>
      <c r="E8" s="5" t="s">
        <v>450</v>
      </c>
      <c r="F8" s="9" t="s">
        <v>307</v>
      </c>
      <c r="G8" s="18">
        <v>45232.429551053239</v>
      </c>
      <c r="H8" s="9" t="s">
        <v>434</v>
      </c>
      <c r="I8" s="24" t="s">
        <v>451</v>
      </c>
      <c r="J8" s="64"/>
      <c r="K8" s="17"/>
      <c r="L8" s="6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2.75">
      <c r="A9" s="9">
        <v>8</v>
      </c>
      <c r="B9" s="5" t="s">
        <v>64</v>
      </c>
      <c r="C9" s="30" t="s">
        <v>65</v>
      </c>
      <c r="D9" s="32" t="s">
        <v>66</v>
      </c>
      <c r="E9" s="5" t="s">
        <v>454</v>
      </c>
      <c r="F9" s="9" t="s">
        <v>307</v>
      </c>
      <c r="G9" s="18">
        <v>45117.337265995375</v>
      </c>
      <c r="H9" s="9" t="s">
        <v>434</v>
      </c>
      <c r="I9" s="24" t="s">
        <v>455</v>
      </c>
      <c r="J9" s="64"/>
      <c r="K9" s="17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2.75">
      <c r="A10" s="9">
        <v>9</v>
      </c>
      <c r="B10" s="5" t="s">
        <v>72</v>
      </c>
      <c r="C10" s="30" t="s">
        <v>73</v>
      </c>
      <c r="D10" s="5" t="s">
        <v>74</v>
      </c>
      <c r="E10" s="5" t="s">
        <v>456</v>
      </c>
      <c r="F10" s="9" t="s">
        <v>307</v>
      </c>
      <c r="G10" s="18">
        <v>45117.337276516206</v>
      </c>
      <c r="H10" s="9" t="s">
        <v>434</v>
      </c>
      <c r="I10" s="24" t="s">
        <v>457</v>
      </c>
      <c r="J10" s="64"/>
      <c r="K10" s="17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2.75">
      <c r="A11" s="63">
        <v>10</v>
      </c>
      <c r="B11" s="19" t="s">
        <v>18</v>
      </c>
      <c r="C11" s="30" t="s">
        <v>76</v>
      </c>
      <c r="D11" s="19" t="s">
        <v>77</v>
      </c>
      <c r="E11" s="19" t="s">
        <v>458</v>
      </c>
      <c r="F11" s="9" t="s">
        <v>307</v>
      </c>
      <c r="G11" s="18">
        <v>45117.337283935187</v>
      </c>
      <c r="H11" s="9" t="s">
        <v>434</v>
      </c>
      <c r="I11" s="24" t="s">
        <v>459</v>
      </c>
      <c r="J11" s="64"/>
      <c r="K11" s="1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2.75">
      <c r="A12" s="9">
        <v>11</v>
      </c>
      <c r="B12" s="75" t="s">
        <v>64</v>
      </c>
      <c r="C12" s="30" t="s">
        <v>85</v>
      </c>
      <c r="D12" s="32" t="s">
        <v>86</v>
      </c>
      <c r="E12" s="75" t="s">
        <v>462</v>
      </c>
      <c r="F12" s="9" t="s">
        <v>307</v>
      </c>
      <c r="G12" s="9" t="s">
        <v>434</v>
      </c>
      <c r="H12" s="44" t="s">
        <v>434</v>
      </c>
      <c r="I12" s="24" t="s">
        <v>464</v>
      </c>
      <c r="J12" s="64"/>
      <c r="K12" s="7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>
      <c r="A13" s="67">
        <v>12</v>
      </c>
      <c r="B13" s="77" t="s">
        <v>64</v>
      </c>
      <c r="C13" s="69" t="s">
        <v>88</v>
      </c>
      <c r="D13" s="78" t="s">
        <v>89</v>
      </c>
      <c r="E13" s="79" t="s">
        <v>467</v>
      </c>
      <c r="F13" s="67" t="s">
        <v>307</v>
      </c>
      <c r="G13" s="70">
        <v>45117.33729570602</v>
      </c>
      <c r="H13" s="67" t="s">
        <v>434</v>
      </c>
      <c r="I13" s="71" t="s">
        <v>468</v>
      </c>
      <c r="J13" s="80">
        <v>45600</v>
      </c>
      <c r="K13" s="81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1:27" ht="12.75">
      <c r="A14" s="63">
        <v>13</v>
      </c>
      <c r="B14" s="82" t="s">
        <v>470</v>
      </c>
      <c r="C14" s="30" t="s">
        <v>471</v>
      </c>
      <c r="D14" s="40" t="s">
        <v>472</v>
      </c>
      <c r="E14" s="40" t="s">
        <v>473</v>
      </c>
      <c r="F14" s="9" t="s">
        <v>307</v>
      </c>
      <c r="G14" s="18">
        <v>45126.4696859838</v>
      </c>
      <c r="H14" s="9" t="s">
        <v>434</v>
      </c>
      <c r="I14" s="24" t="s">
        <v>474</v>
      </c>
      <c r="J14" s="64"/>
      <c r="K14" s="17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2.75">
      <c r="A15" s="9">
        <v>14</v>
      </c>
      <c r="B15" s="82" t="s">
        <v>93</v>
      </c>
      <c r="C15" s="30" t="s">
        <v>94</v>
      </c>
      <c r="D15" s="40" t="s">
        <v>95</v>
      </c>
      <c r="E15" s="82" t="s">
        <v>476</v>
      </c>
      <c r="F15" s="9" t="s">
        <v>307</v>
      </c>
      <c r="G15" s="18">
        <v>45126.460716388887</v>
      </c>
      <c r="H15" s="9" t="s">
        <v>434</v>
      </c>
      <c r="I15" s="24" t="s">
        <v>477</v>
      </c>
      <c r="J15" s="64"/>
      <c r="K15" s="83"/>
      <c r="L15" s="65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2.75">
      <c r="A16" s="9">
        <v>15</v>
      </c>
      <c r="B16" s="82" t="s">
        <v>101</v>
      </c>
      <c r="C16" s="30" t="s">
        <v>102</v>
      </c>
      <c r="D16" s="84" t="s">
        <v>103</v>
      </c>
      <c r="E16" s="82" t="s">
        <v>476</v>
      </c>
      <c r="F16" s="9" t="s">
        <v>307</v>
      </c>
      <c r="G16" s="18">
        <v>45117.337321354164</v>
      </c>
      <c r="H16" s="9" t="s">
        <v>434</v>
      </c>
      <c r="I16" s="24" t="s">
        <v>480</v>
      </c>
      <c r="J16" s="64"/>
      <c r="K16" s="17"/>
      <c r="L16" s="6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>
      <c r="A17" s="63">
        <v>16</v>
      </c>
      <c r="B17" s="85" t="s">
        <v>101</v>
      </c>
      <c r="C17" s="49" t="s">
        <v>111</v>
      </c>
      <c r="D17" s="86" t="s">
        <v>112</v>
      </c>
      <c r="E17" s="85" t="s">
        <v>482</v>
      </c>
      <c r="F17" s="9" t="s">
        <v>307</v>
      </c>
      <c r="G17" s="18">
        <v>45117.337328287038</v>
      </c>
      <c r="H17" s="44" t="s">
        <v>434</v>
      </c>
      <c r="I17" s="87" t="s">
        <v>483</v>
      </c>
      <c r="J17" s="88"/>
      <c r="K17" s="8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>
      <c r="A18" s="67">
        <v>17</v>
      </c>
      <c r="B18" s="90" t="s">
        <v>485</v>
      </c>
      <c r="C18" s="69" t="s">
        <v>115</v>
      </c>
      <c r="D18" s="78" t="s">
        <v>117</v>
      </c>
      <c r="E18" s="91" t="s">
        <v>486</v>
      </c>
      <c r="F18" s="67" t="s">
        <v>307</v>
      </c>
      <c r="G18" s="67" t="s">
        <v>434</v>
      </c>
      <c r="H18" s="67" t="s">
        <v>434</v>
      </c>
      <c r="I18" s="71" t="s">
        <v>487</v>
      </c>
      <c r="J18" s="80">
        <v>45600</v>
      </c>
      <c r="K18" s="92" t="s">
        <v>118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 spans="1:27" ht="12.75">
      <c r="A19" s="63">
        <v>19</v>
      </c>
      <c r="B19" s="40" t="s">
        <v>120</v>
      </c>
      <c r="C19" s="30" t="s">
        <v>121</v>
      </c>
      <c r="D19" s="7" t="s">
        <v>122</v>
      </c>
      <c r="E19" s="82" t="s">
        <v>488</v>
      </c>
      <c r="F19" s="9" t="s">
        <v>307</v>
      </c>
      <c r="G19" s="18">
        <v>45117.337345370368</v>
      </c>
      <c r="H19" s="9" t="s">
        <v>434</v>
      </c>
      <c r="I19" s="24" t="s">
        <v>489</v>
      </c>
      <c r="J19" s="64"/>
      <c r="K19" s="17"/>
      <c r="L19" s="6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2.75">
      <c r="A20" s="67">
        <v>20</v>
      </c>
      <c r="B20" s="91" t="s">
        <v>127</v>
      </c>
      <c r="C20" s="69" t="s">
        <v>128</v>
      </c>
      <c r="D20" s="79" t="s">
        <v>129</v>
      </c>
      <c r="E20" s="91" t="s">
        <v>490</v>
      </c>
      <c r="F20" s="67" t="s">
        <v>307</v>
      </c>
      <c r="G20" s="70">
        <v>45127.547630671295</v>
      </c>
      <c r="H20" s="67" t="s">
        <v>434</v>
      </c>
      <c r="I20" s="71" t="s">
        <v>491</v>
      </c>
      <c r="J20" s="72"/>
      <c r="K20" s="92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 spans="1:27" ht="15">
      <c r="A21" s="9">
        <v>21</v>
      </c>
      <c r="B21" s="94" t="s">
        <v>130</v>
      </c>
      <c r="C21" s="95" t="s">
        <v>131</v>
      </c>
      <c r="D21" s="49" t="s">
        <v>132</v>
      </c>
      <c r="E21" s="82" t="s">
        <v>493</v>
      </c>
      <c r="F21" s="9" t="s">
        <v>307</v>
      </c>
      <c r="G21" s="96">
        <v>45126.307718692129</v>
      </c>
      <c r="H21" s="9"/>
      <c r="I21" s="24" t="s">
        <v>494</v>
      </c>
      <c r="J21" s="64"/>
      <c r="K21" s="17"/>
      <c r="L21" s="6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2.75">
      <c r="A22" s="63">
        <v>22</v>
      </c>
      <c r="B22" s="94" t="s">
        <v>137</v>
      </c>
      <c r="C22" s="30" t="s">
        <v>138</v>
      </c>
      <c r="D22" s="98" t="s">
        <v>139</v>
      </c>
      <c r="E22" s="82" t="s">
        <v>496</v>
      </c>
      <c r="F22" s="9" t="s">
        <v>307</v>
      </c>
      <c r="G22" s="18">
        <v>45117.337362337959</v>
      </c>
      <c r="H22" s="44" t="s">
        <v>434</v>
      </c>
      <c r="I22" s="87" t="s">
        <v>497</v>
      </c>
      <c r="J22" s="88"/>
      <c r="K22" s="8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>
      <c r="A23" s="9">
        <v>23</v>
      </c>
      <c r="B23" s="99" t="s">
        <v>142</v>
      </c>
      <c r="C23" s="84" t="s">
        <v>143</v>
      </c>
      <c r="D23" s="84" t="s">
        <v>144</v>
      </c>
      <c r="E23" s="75" t="s">
        <v>498</v>
      </c>
      <c r="F23" s="9" t="s">
        <v>307</v>
      </c>
      <c r="G23" s="96">
        <v>45126.312293414347</v>
      </c>
      <c r="H23" s="44" t="s">
        <v>434</v>
      </c>
      <c r="I23" s="87" t="s">
        <v>501</v>
      </c>
      <c r="J23" s="88"/>
      <c r="K23" s="8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>
      <c r="A24" s="67">
        <v>24</v>
      </c>
      <c r="B24" s="100" t="s">
        <v>146</v>
      </c>
      <c r="C24" s="69" t="s">
        <v>147</v>
      </c>
      <c r="D24" s="101" t="s">
        <v>148</v>
      </c>
      <c r="E24" s="92" t="s">
        <v>502</v>
      </c>
      <c r="F24" s="67" t="s">
        <v>307</v>
      </c>
      <c r="G24" s="70">
        <v>45117.339500729169</v>
      </c>
      <c r="H24" s="67" t="s">
        <v>434</v>
      </c>
      <c r="I24" s="71" t="s">
        <v>503</v>
      </c>
      <c r="J24" s="80">
        <v>45600</v>
      </c>
      <c r="K24" s="81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 spans="1:27" ht="12.75">
      <c r="A25" s="63">
        <v>25</v>
      </c>
      <c r="B25" s="94" t="s">
        <v>137</v>
      </c>
      <c r="C25" s="30" t="s">
        <v>155</v>
      </c>
      <c r="D25" s="95" t="s">
        <v>156</v>
      </c>
      <c r="E25" s="40" t="s">
        <v>502</v>
      </c>
      <c r="F25" s="9" t="s">
        <v>307</v>
      </c>
      <c r="G25" s="96">
        <v>45126.365113622684</v>
      </c>
      <c r="H25" s="9"/>
      <c r="I25" s="24" t="s">
        <v>504</v>
      </c>
      <c r="J25" s="66">
        <v>45600</v>
      </c>
      <c r="K25" s="17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2.75">
      <c r="A26" s="9">
        <v>26</v>
      </c>
      <c r="B26" s="102" t="s">
        <v>162</v>
      </c>
      <c r="C26" s="30" t="s">
        <v>163</v>
      </c>
      <c r="D26" s="32" t="s">
        <v>164</v>
      </c>
      <c r="E26" s="103" t="s">
        <v>505</v>
      </c>
      <c r="F26" s="9" t="s">
        <v>307</v>
      </c>
      <c r="G26" s="96">
        <v>45117.339515844906</v>
      </c>
      <c r="H26" s="44" t="s">
        <v>434</v>
      </c>
      <c r="I26" s="87" t="s">
        <v>506</v>
      </c>
      <c r="J26" s="88"/>
      <c r="K26" s="8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>
      <c r="A27" s="9">
        <v>27</v>
      </c>
      <c r="B27" s="104" t="s">
        <v>166</v>
      </c>
      <c r="C27" s="30" t="s">
        <v>167</v>
      </c>
      <c r="D27" s="105" t="s">
        <v>139</v>
      </c>
      <c r="E27" s="103" t="s">
        <v>488</v>
      </c>
      <c r="F27" s="9" t="s">
        <v>307</v>
      </c>
      <c r="G27" s="96">
        <v>45117.339858252315</v>
      </c>
      <c r="H27" s="44" t="s">
        <v>434</v>
      </c>
      <c r="I27" s="106" t="s">
        <v>497</v>
      </c>
      <c r="J27" s="107"/>
      <c r="K27" s="4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>
      <c r="A28" s="63">
        <v>28</v>
      </c>
      <c r="B28" s="99" t="s">
        <v>168</v>
      </c>
      <c r="C28" s="30" t="s">
        <v>169</v>
      </c>
      <c r="D28" s="102" t="s">
        <v>95</v>
      </c>
      <c r="E28" s="75" t="s">
        <v>508</v>
      </c>
      <c r="F28" s="9" t="s">
        <v>307</v>
      </c>
      <c r="G28" s="96">
        <v>45126.462679074073</v>
      </c>
      <c r="H28" s="44" t="s">
        <v>434</v>
      </c>
      <c r="I28" s="87" t="s">
        <v>509</v>
      </c>
      <c r="J28" s="88"/>
      <c r="K28" s="8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>
      <c r="A29" s="9">
        <v>29</v>
      </c>
      <c r="B29" s="103" t="s">
        <v>177</v>
      </c>
      <c r="C29" s="30" t="s">
        <v>178</v>
      </c>
      <c r="D29" s="108" t="s">
        <v>179</v>
      </c>
      <c r="E29" s="47" t="s">
        <v>180</v>
      </c>
      <c r="F29" s="9" t="s">
        <v>307</v>
      </c>
      <c r="G29" s="44"/>
      <c r="H29" s="44" t="s">
        <v>434</v>
      </c>
      <c r="I29" s="87" t="s">
        <v>512</v>
      </c>
      <c r="J29" s="109">
        <v>45687</v>
      </c>
      <c r="K29" s="102" t="s">
        <v>184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>
      <c r="A30" s="9">
        <v>30</v>
      </c>
      <c r="B30" s="99" t="s">
        <v>186</v>
      </c>
      <c r="C30" s="30" t="s">
        <v>187</v>
      </c>
      <c r="D30" s="75" t="s">
        <v>46</v>
      </c>
      <c r="E30" s="75" t="s">
        <v>513</v>
      </c>
      <c r="F30" s="9" t="s">
        <v>307</v>
      </c>
      <c r="G30" s="96">
        <v>45149.303624039356</v>
      </c>
      <c r="H30" s="44" t="s">
        <v>434</v>
      </c>
      <c r="I30" s="110"/>
      <c r="J30" s="110"/>
      <c r="K30" s="102"/>
      <c r="L30" s="1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>
      <c r="A31" s="112">
        <v>31</v>
      </c>
      <c r="B31" s="113" t="s">
        <v>197</v>
      </c>
      <c r="C31" s="69" t="s">
        <v>198</v>
      </c>
      <c r="D31" s="114" t="s">
        <v>199</v>
      </c>
      <c r="E31" s="77" t="s">
        <v>515</v>
      </c>
      <c r="F31" s="67" t="s">
        <v>307</v>
      </c>
      <c r="G31" s="67"/>
      <c r="H31" s="67" t="s">
        <v>434</v>
      </c>
      <c r="I31" s="115" t="s">
        <v>516</v>
      </c>
      <c r="J31" s="109">
        <v>45600</v>
      </c>
      <c r="K31" s="102"/>
      <c r="L31" s="1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>
      <c r="A32" s="67">
        <v>32</v>
      </c>
      <c r="B32" s="116" t="s">
        <v>201</v>
      </c>
      <c r="C32" s="69" t="s">
        <v>202</v>
      </c>
      <c r="D32" s="116" t="s">
        <v>203</v>
      </c>
      <c r="E32" s="113" t="s">
        <v>517</v>
      </c>
      <c r="F32" s="67" t="s">
        <v>307</v>
      </c>
      <c r="G32" s="67"/>
      <c r="H32" s="67" t="s">
        <v>434</v>
      </c>
      <c r="I32" s="117" t="s">
        <v>518</v>
      </c>
      <c r="J32" s="118"/>
      <c r="K32" s="92"/>
      <c r="L32" s="119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spans="1:27" ht="12.75">
      <c r="A33" s="67">
        <v>33</v>
      </c>
      <c r="B33" s="68" t="s">
        <v>206</v>
      </c>
      <c r="C33" s="69" t="s">
        <v>207</v>
      </c>
      <c r="D33" s="120" t="s">
        <v>209</v>
      </c>
      <c r="E33" s="68" t="s">
        <v>520</v>
      </c>
      <c r="F33" s="67" t="s">
        <v>307</v>
      </c>
      <c r="G33" s="67"/>
      <c r="H33" s="67" t="s">
        <v>434</v>
      </c>
      <c r="I33" s="71" t="s">
        <v>521</v>
      </c>
      <c r="J33" s="72"/>
      <c r="K33" s="81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 spans="1:27" ht="12.75">
      <c r="A34" s="112">
        <v>34</v>
      </c>
      <c r="B34" s="68" t="s">
        <v>162</v>
      </c>
      <c r="C34" s="69" t="s">
        <v>214</v>
      </c>
      <c r="D34" s="120" t="s">
        <v>215</v>
      </c>
      <c r="E34" s="68" t="s">
        <v>522</v>
      </c>
      <c r="F34" s="67" t="s">
        <v>307</v>
      </c>
      <c r="G34" s="70">
        <v>45117.339962673606</v>
      </c>
      <c r="H34" s="67" t="s">
        <v>434</v>
      </c>
      <c r="I34" s="71" t="s">
        <v>523</v>
      </c>
      <c r="J34" s="72"/>
      <c r="K34" s="92"/>
      <c r="L34" s="119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spans="1:27" ht="12.75">
      <c r="A35" s="9">
        <v>35</v>
      </c>
      <c r="B35" s="121" t="s">
        <v>142</v>
      </c>
      <c r="C35" s="30" t="s">
        <v>219</v>
      </c>
      <c r="D35" s="122" t="s">
        <v>220</v>
      </c>
      <c r="E35" s="123" t="s">
        <v>524</v>
      </c>
      <c r="F35" s="9" t="s">
        <v>307</v>
      </c>
      <c r="G35" s="44"/>
      <c r="H35" s="44" t="s">
        <v>434</v>
      </c>
      <c r="I35" s="110"/>
      <c r="J35" s="110"/>
      <c r="K35" s="10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>
      <c r="A36" s="9">
        <v>36</v>
      </c>
      <c r="B36" s="121" t="s">
        <v>168</v>
      </c>
      <c r="C36" s="30" t="s">
        <v>222</v>
      </c>
      <c r="D36" s="49" t="s">
        <v>223</v>
      </c>
      <c r="E36" s="123" t="s">
        <v>525</v>
      </c>
      <c r="F36" s="9" t="s">
        <v>307</v>
      </c>
      <c r="G36" s="96">
        <v>45126.31880385417</v>
      </c>
      <c r="H36" s="44"/>
      <c r="I36" s="87" t="s">
        <v>526</v>
      </c>
      <c r="J36" s="88"/>
      <c r="K36" s="102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>
      <c r="A37" s="63">
        <v>37</v>
      </c>
      <c r="B37" s="40" t="s">
        <v>113</v>
      </c>
      <c r="C37" s="40" t="s">
        <v>232</v>
      </c>
      <c r="D37" s="86" t="s">
        <v>233</v>
      </c>
      <c r="E37" s="40" t="s">
        <v>529</v>
      </c>
      <c r="F37" s="9" t="s">
        <v>307</v>
      </c>
      <c r="G37" s="96">
        <v>45126.313950243057</v>
      </c>
      <c r="H37" s="18"/>
      <c r="I37" s="24" t="s">
        <v>530</v>
      </c>
      <c r="J37" s="64"/>
      <c r="K37" s="17"/>
      <c r="L37" s="6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2.75">
      <c r="A38" s="9">
        <v>38</v>
      </c>
      <c r="B38" s="53" t="s">
        <v>241</v>
      </c>
      <c r="C38" s="30" t="s">
        <v>242</v>
      </c>
      <c r="D38" s="53" t="s">
        <v>46</v>
      </c>
      <c r="E38" s="53" t="s">
        <v>531</v>
      </c>
      <c r="F38" s="9" t="s">
        <v>307</v>
      </c>
      <c r="G38" s="96">
        <v>45149.303740821764</v>
      </c>
      <c r="H38" s="44" t="s">
        <v>434</v>
      </c>
      <c r="I38" s="110"/>
      <c r="J38" s="110"/>
      <c r="K38" s="52"/>
      <c r="AA38" s="125"/>
    </row>
    <row r="39" spans="1:27" ht="12.75">
      <c r="A39" s="9">
        <v>39</v>
      </c>
      <c r="B39" s="53" t="s">
        <v>243</v>
      </c>
      <c r="C39" s="30" t="s">
        <v>244</v>
      </c>
      <c r="D39" s="53" t="s">
        <v>46</v>
      </c>
      <c r="E39" s="126" t="s">
        <v>532</v>
      </c>
      <c r="F39" s="9" t="s">
        <v>307</v>
      </c>
      <c r="G39" s="18">
        <v>45120.843973067131</v>
      </c>
      <c r="H39" s="96">
        <v>45117.333259074076</v>
      </c>
      <c r="I39" s="127" t="s">
        <v>534</v>
      </c>
      <c r="J39" s="128"/>
      <c r="K39" s="102" t="s">
        <v>247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>
      <c r="A40" s="63">
        <v>40</v>
      </c>
      <c r="B40" s="53" t="s">
        <v>243</v>
      </c>
      <c r="C40" s="30" t="s">
        <v>248</v>
      </c>
      <c r="D40" s="53" t="s">
        <v>46</v>
      </c>
      <c r="E40" s="126" t="s">
        <v>532</v>
      </c>
      <c r="F40" s="9" t="s">
        <v>307</v>
      </c>
      <c r="G40" s="18">
        <v>45117.337362337959</v>
      </c>
      <c r="H40" s="96">
        <v>45117.333186840275</v>
      </c>
      <c r="I40" s="127" t="s">
        <v>535</v>
      </c>
      <c r="J40" s="128"/>
      <c r="K40" s="102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>
      <c r="A41" s="9">
        <v>41</v>
      </c>
      <c r="B41" s="53" t="s">
        <v>18</v>
      </c>
      <c r="C41" s="30" t="s">
        <v>252</v>
      </c>
      <c r="D41" s="53" t="s">
        <v>253</v>
      </c>
      <c r="E41" s="53" t="s">
        <v>441</v>
      </c>
      <c r="F41" s="9" t="s">
        <v>307</v>
      </c>
      <c r="G41" s="18">
        <v>45121.383877939814</v>
      </c>
      <c r="H41" s="96"/>
      <c r="I41" s="127" t="s">
        <v>537</v>
      </c>
      <c r="J41" s="128"/>
      <c r="K41" s="8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>
      <c r="A42" s="9">
        <v>42</v>
      </c>
      <c r="B42" s="53" t="s">
        <v>18</v>
      </c>
      <c r="C42" s="30" t="s">
        <v>256</v>
      </c>
      <c r="D42" s="53" t="s">
        <v>257</v>
      </c>
      <c r="E42" s="53" t="s">
        <v>538</v>
      </c>
      <c r="F42" s="9" t="s">
        <v>307</v>
      </c>
      <c r="G42" s="18">
        <v>45117.337362337959</v>
      </c>
      <c r="H42" s="96"/>
      <c r="I42" s="127" t="s">
        <v>539</v>
      </c>
      <c r="J42" s="128"/>
      <c r="K42" s="8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>
      <c r="A43" s="63">
        <v>43</v>
      </c>
      <c r="B43" s="53" t="s">
        <v>18</v>
      </c>
      <c r="C43" s="23" t="s">
        <v>264</v>
      </c>
      <c r="D43" s="53" t="s">
        <v>265</v>
      </c>
      <c r="E43" s="53" t="s">
        <v>540</v>
      </c>
      <c r="F43" s="9" t="s">
        <v>307</v>
      </c>
      <c r="G43" s="18">
        <v>45125.619332395829</v>
      </c>
      <c r="H43" s="52"/>
      <c r="I43" s="127" t="s">
        <v>541</v>
      </c>
      <c r="J43" s="128"/>
      <c r="K43" s="53" t="s">
        <v>273</v>
      </c>
      <c r="AA43" s="130"/>
    </row>
    <row r="44" spans="1:27" ht="12.75">
      <c r="A44" s="9">
        <v>44</v>
      </c>
      <c r="B44" s="53" t="s">
        <v>18</v>
      </c>
      <c r="C44" s="131" t="s">
        <v>274</v>
      </c>
      <c r="D44" s="53" t="s">
        <v>275</v>
      </c>
      <c r="E44" s="53" t="s">
        <v>542</v>
      </c>
      <c r="F44" s="9" t="s">
        <v>307</v>
      </c>
      <c r="G44" s="18">
        <v>45125.619332395829</v>
      </c>
      <c r="H44" s="52"/>
      <c r="I44" s="127" t="s">
        <v>541</v>
      </c>
      <c r="J44" s="128"/>
      <c r="K44" s="52"/>
      <c r="AA44" s="130"/>
    </row>
    <row r="45" spans="1:27" ht="12.75">
      <c r="A45" s="67">
        <v>45</v>
      </c>
      <c r="B45" s="132" t="s">
        <v>18</v>
      </c>
      <c r="C45" s="133" t="s">
        <v>276</v>
      </c>
      <c r="D45" s="132" t="s">
        <v>277</v>
      </c>
      <c r="E45" s="132" t="s">
        <v>543</v>
      </c>
      <c r="F45" s="67" t="s">
        <v>307</v>
      </c>
      <c r="G45" s="70">
        <v>45125.619332395829</v>
      </c>
      <c r="H45" s="73"/>
      <c r="I45" s="134"/>
      <c r="J45" s="134"/>
      <c r="K45" s="73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6"/>
    </row>
    <row r="46" spans="1:27" ht="12.75">
      <c r="A46" s="63">
        <v>46</v>
      </c>
      <c r="B46" s="53" t="s">
        <v>18</v>
      </c>
      <c r="C46" s="131" t="s">
        <v>281</v>
      </c>
      <c r="D46" s="53" t="s">
        <v>282</v>
      </c>
      <c r="E46" s="23" t="s">
        <v>524</v>
      </c>
      <c r="F46" s="9" t="s">
        <v>307</v>
      </c>
      <c r="G46" s="18">
        <v>45125.619332395829</v>
      </c>
      <c r="H46" s="52"/>
      <c r="I46" s="127" t="s">
        <v>545</v>
      </c>
      <c r="J46" s="128"/>
      <c r="K46" s="52"/>
      <c r="AA46" s="130"/>
    </row>
    <row r="47" spans="1:27" ht="12.75">
      <c r="A47" s="9">
        <v>47</v>
      </c>
      <c r="B47" s="53" t="s">
        <v>283</v>
      </c>
      <c r="C47" s="131" t="s">
        <v>284</v>
      </c>
      <c r="D47" s="53" t="s">
        <v>285</v>
      </c>
      <c r="E47" s="23" t="s">
        <v>221</v>
      </c>
      <c r="F47" s="9" t="s">
        <v>307</v>
      </c>
      <c r="G47" s="18">
        <v>45125.619332395829</v>
      </c>
      <c r="H47" s="52"/>
      <c r="I47" s="127" t="s">
        <v>546</v>
      </c>
      <c r="J47" s="128"/>
      <c r="K47" s="52"/>
      <c r="AA47" s="130"/>
    </row>
    <row r="48" spans="1:27" ht="12.75">
      <c r="A48" s="9">
        <v>48</v>
      </c>
      <c r="B48" s="53" t="s">
        <v>283</v>
      </c>
      <c r="C48" s="131" t="s">
        <v>286</v>
      </c>
      <c r="D48" s="53" t="s">
        <v>287</v>
      </c>
      <c r="E48" s="23" t="s">
        <v>548</v>
      </c>
      <c r="F48" s="9" t="s">
        <v>307</v>
      </c>
      <c r="G48" s="18">
        <v>45125.619332395829</v>
      </c>
      <c r="H48" s="52"/>
      <c r="I48" s="137" t="s">
        <v>549</v>
      </c>
      <c r="J48" s="138">
        <v>45600</v>
      </c>
      <c r="K48" s="52"/>
      <c r="AA48" s="130"/>
    </row>
    <row r="49" spans="1:27" ht="12.75">
      <c r="A49" s="63">
        <v>49</v>
      </c>
      <c r="B49" s="53" t="s">
        <v>293</v>
      </c>
      <c r="C49" s="131" t="s">
        <v>294</v>
      </c>
      <c r="D49" s="53" t="s">
        <v>295</v>
      </c>
      <c r="E49" s="23" t="s">
        <v>515</v>
      </c>
      <c r="F49" s="9" t="s">
        <v>307</v>
      </c>
      <c r="G49" s="18">
        <v>45125.619332395829</v>
      </c>
      <c r="H49" s="52"/>
      <c r="I49" s="137" t="s">
        <v>551</v>
      </c>
      <c r="J49" s="138">
        <v>45600</v>
      </c>
      <c r="K49" s="52"/>
      <c r="AA49" s="130"/>
    </row>
    <row r="50" spans="1:27" ht="12.75">
      <c r="A50" s="112">
        <v>50</v>
      </c>
      <c r="B50" s="132" t="s">
        <v>18</v>
      </c>
      <c r="C50" s="133" t="s">
        <v>298</v>
      </c>
      <c r="D50" s="132" t="s">
        <v>299</v>
      </c>
      <c r="E50" s="132" t="s">
        <v>553</v>
      </c>
      <c r="F50" s="67" t="s">
        <v>307</v>
      </c>
      <c r="G50" s="70">
        <v>45125.619332395829</v>
      </c>
      <c r="H50" s="73"/>
      <c r="I50" s="134"/>
      <c r="J50" s="134"/>
      <c r="K50" s="132" t="s">
        <v>301</v>
      </c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6"/>
    </row>
    <row r="51" spans="1:27" ht="12.75">
      <c r="A51" s="63">
        <v>51</v>
      </c>
      <c r="B51" s="53" t="s">
        <v>18</v>
      </c>
      <c r="C51" s="75" t="s">
        <v>302</v>
      </c>
      <c r="D51" s="139"/>
      <c r="E51" s="75" t="s">
        <v>554</v>
      </c>
      <c r="F51" s="9" t="s">
        <v>307</v>
      </c>
      <c r="G51" s="44"/>
      <c r="H51" s="44"/>
      <c r="I51" s="44"/>
      <c r="J51" s="96">
        <v>45689</v>
      </c>
      <c r="K51" s="4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>
      <c r="A52" s="63">
        <v>52</v>
      </c>
      <c r="B52" s="75" t="s">
        <v>304</v>
      </c>
      <c r="C52" s="75" t="s">
        <v>305</v>
      </c>
      <c r="D52" s="75" t="s">
        <v>306</v>
      </c>
      <c r="E52" s="75" t="s">
        <v>78</v>
      </c>
      <c r="F52" s="9" t="s">
        <v>307</v>
      </c>
      <c r="G52" s="44"/>
      <c r="H52" s="44"/>
      <c r="I52" s="44"/>
      <c r="J52" s="96">
        <v>45694</v>
      </c>
      <c r="K52" s="4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>
      <c r="A53" s="63">
        <v>53</v>
      </c>
      <c r="B53" s="75" t="s">
        <v>304</v>
      </c>
      <c r="C53" s="75" t="s">
        <v>308</v>
      </c>
      <c r="D53" s="75" t="s">
        <v>309</v>
      </c>
      <c r="E53" s="75" t="s">
        <v>555</v>
      </c>
      <c r="F53" s="9" t="s">
        <v>307</v>
      </c>
      <c r="G53" s="44"/>
      <c r="H53" s="44"/>
      <c r="I53" s="44"/>
      <c r="J53" s="96">
        <v>45694</v>
      </c>
      <c r="K53" s="4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112"/>
      <c r="B54" s="77" t="s">
        <v>304</v>
      </c>
      <c r="C54" s="77" t="s">
        <v>312</v>
      </c>
      <c r="D54" s="77"/>
      <c r="E54" s="77" t="s">
        <v>556</v>
      </c>
      <c r="F54" s="67"/>
      <c r="G54" s="67"/>
      <c r="H54" s="67"/>
      <c r="I54" s="67"/>
      <c r="J54" s="140"/>
      <c r="K54" s="141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1:27" ht="12.75">
      <c r="A55" s="63">
        <v>54</v>
      </c>
      <c r="B55" s="75" t="s">
        <v>314</v>
      </c>
      <c r="C55" s="75" t="s">
        <v>315</v>
      </c>
      <c r="D55" s="139"/>
      <c r="E55" s="75" t="s">
        <v>557</v>
      </c>
      <c r="F55" s="9" t="s">
        <v>307</v>
      </c>
      <c r="G55" s="44"/>
      <c r="H55" s="44"/>
      <c r="I55" s="44"/>
      <c r="J55" s="142">
        <v>45797</v>
      </c>
      <c r="K55" s="143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63">
        <v>55</v>
      </c>
      <c r="B56" s="75" t="s">
        <v>319</v>
      </c>
      <c r="C56" s="75" t="s">
        <v>320</v>
      </c>
      <c r="D56" s="75" t="s">
        <v>321</v>
      </c>
      <c r="E56" s="75" t="s">
        <v>558</v>
      </c>
      <c r="F56" s="9" t="s">
        <v>307</v>
      </c>
      <c r="G56" s="44"/>
      <c r="H56" s="44"/>
      <c r="I56" s="44"/>
      <c r="J56" s="142">
        <v>45873</v>
      </c>
      <c r="K56" s="143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63">
        <v>56</v>
      </c>
      <c r="B57" s="75" t="s">
        <v>560</v>
      </c>
      <c r="C57" s="75" t="s">
        <v>327</v>
      </c>
      <c r="D57" s="75" t="s">
        <v>328</v>
      </c>
      <c r="E57" s="75" t="s">
        <v>561</v>
      </c>
      <c r="F57" s="9" t="s">
        <v>307</v>
      </c>
      <c r="G57" s="44"/>
      <c r="H57" s="44"/>
      <c r="I57" s="44"/>
      <c r="J57" s="142">
        <v>45939</v>
      </c>
      <c r="K57" s="143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144"/>
      <c r="B58" s="139"/>
      <c r="C58" s="139"/>
      <c r="D58" s="139"/>
      <c r="E58" s="139"/>
      <c r="F58" s="44"/>
      <c r="G58" s="44"/>
      <c r="H58" s="44"/>
      <c r="I58" s="44"/>
      <c r="J58" s="145"/>
      <c r="K58" s="143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144"/>
      <c r="B59" s="139"/>
      <c r="C59" s="139"/>
      <c r="D59" s="139"/>
      <c r="E59" s="139"/>
      <c r="F59" s="44"/>
      <c r="G59" s="44"/>
      <c r="H59" s="44"/>
      <c r="I59" s="44"/>
      <c r="J59" s="145"/>
      <c r="K59" s="143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144"/>
      <c r="B60" s="139"/>
      <c r="C60" s="139"/>
      <c r="D60" s="139"/>
      <c r="E60" s="139"/>
      <c r="F60" s="44"/>
      <c r="G60" s="44"/>
      <c r="H60" s="44"/>
      <c r="I60" s="44"/>
      <c r="J60" s="145"/>
      <c r="K60" s="143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144"/>
      <c r="B61" s="139"/>
      <c r="C61" s="139"/>
      <c r="D61" s="139"/>
      <c r="E61" s="139"/>
      <c r="F61" s="44"/>
      <c r="G61" s="44"/>
      <c r="H61" s="44"/>
      <c r="I61" s="44"/>
      <c r="J61" s="145"/>
      <c r="K61" s="143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144"/>
      <c r="B62" s="139"/>
      <c r="C62" s="139"/>
      <c r="D62" s="139"/>
      <c r="E62" s="139"/>
      <c r="F62" s="44"/>
      <c r="G62" s="44"/>
      <c r="H62" s="44"/>
      <c r="I62" s="44"/>
      <c r="J62" s="145"/>
      <c r="K62" s="143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144"/>
      <c r="B63" s="139"/>
      <c r="C63" s="139"/>
      <c r="D63" s="139"/>
      <c r="E63" s="139"/>
      <c r="F63" s="44"/>
      <c r="G63" s="44"/>
      <c r="H63" s="44"/>
      <c r="I63" s="44"/>
      <c r="J63" s="145"/>
      <c r="K63" s="143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hidden="1">
      <c r="A64" s="144"/>
      <c r="B64" s="5" t="s">
        <v>18</v>
      </c>
      <c r="C64" s="30" t="s">
        <v>19</v>
      </c>
      <c r="D64" s="5" t="s">
        <v>21</v>
      </c>
      <c r="E64" s="5" t="s">
        <v>563</v>
      </c>
      <c r="F64" s="44"/>
      <c r="G64" s="44"/>
      <c r="H64" s="44"/>
      <c r="I64" s="44"/>
      <c r="J64" s="145"/>
      <c r="K64" s="143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hidden="1">
      <c r="A65" s="144"/>
      <c r="B65" s="5" t="s">
        <v>36</v>
      </c>
      <c r="C65" s="30" t="s">
        <v>37</v>
      </c>
      <c r="D65" s="5" t="s">
        <v>38</v>
      </c>
      <c r="E65" s="5" t="s">
        <v>441</v>
      </c>
      <c r="F65" s="44"/>
      <c r="G65" s="44"/>
      <c r="H65" s="44"/>
      <c r="I65" s="44"/>
      <c r="J65" s="145"/>
      <c r="K65" s="143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hidden="1">
      <c r="A66" s="144"/>
      <c r="B66" s="5" t="s">
        <v>18</v>
      </c>
      <c r="C66" s="30" t="s">
        <v>43</v>
      </c>
      <c r="D66" s="19" t="s">
        <v>44</v>
      </c>
      <c r="E66" s="5" t="s">
        <v>443</v>
      </c>
      <c r="F66" s="44"/>
      <c r="G66" s="44"/>
      <c r="H66" s="44"/>
      <c r="I66" s="44"/>
      <c r="J66" s="145"/>
      <c r="K66" s="143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hidden="1">
      <c r="A67" s="144"/>
      <c r="B67" s="5" t="s">
        <v>52</v>
      </c>
      <c r="C67" s="30" t="s">
        <v>59</v>
      </c>
      <c r="D67" s="5" t="s">
        <v>60</v>
      </c>
      <c r="E67" s="5" t="s">
        <v>450</v>
      </c>
      <c r="F67" s="44"/>
      <c r="G67" s="44"/>
      <c r="H67" s="44"/>
      <c r="I67" s="44"/>
      <c r="J67" s="145"/>
      <c r="K67" s="143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hidden="1">
      <c r="A68" s="144"/>
      <c r="B68" s="5" t="s">
        <v>52</v>
      </c>
      <c r="C68" s="30" t="s">
        <v>49</v>
      </c>
      <c r="D68" s="5" t="s">
        <v>54</v>
      </c>
      <c r="E68" s="5" t="s">
        <v>450</v>
      </c>
      <c r="F68" s="44"/>
      <c r="G68" s="44"/>
      <c r="H68" s="44"/>
      <c r="I68" s="44"/>
      <c r="J68" s="145"/>
      <c r="K68" s="143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hidden="1">
      <c r="A69" s="144"/>
      <c r="B69" s="5" t="s">
        <v>64</v>
      </c>
      <c r="C69" s="30" t="s">
        <v>65</v>
      </c>
      <c r="D69" s="32" t="s">
        <v>66</v>
      </c>
      <c r="E69" s="5" t="s">
        <v>454</v>
      </c>
      <c r="F69" s="44"/>
      <c r="G69" s="44"/>
      <c r="H69" s="44"/>
      <c r="I69" s="44"/>
      <c r="J69" s="145"/>
      <c r="K69" s="143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hidden="1">
      <c r="A70" s="144"/>
      <c r="B70" s="5" t="s">
        <v>36</v>
      </c>
      <c r="C70" s="30" t="s">
        <v>73</v>
      </c>
      <c r="D70" s="5" t="s">
        <v>74</v>
      </c>
      <c r="E70" s="5" t="s">
        <v>456</v>
      </c>
      <c r="F70" s="44"/>
      <c r="G70" s="44"/>
      <c r="H70" s="44"/>
      <c r="I70" s="44"/>
      <c r="J70" s="145"/>
      <c r="K70" s="143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hidden="1">
      <c r="A71" s="144"/>
      <c r="B71" s="19" t="s">
        <v>18</v>
      </c>
      <c r="C71" s="30" t="s">
        <v>76</v>
      </c>
      <c r="D71" s="19" t="s">
        <v>77</v>
      </c>
      <c r="E71" s="19" t="s">
        <v>565</v>
      </c>
      <c r="F71" s="44"/>
      <c r="G71" s="44"/>
      <c r="H71" s="44"/>
      <c r="I71" s="44"/>
      <c r="J71" s="145"/>
      <c r="K71" s="143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hidden="1">
      <c r="A72" s="144"/>
      <c r="B72" s="53" t="s">
        <v>18</v>
      </c>
      <c r="C72" s="30" t="s">
        <v>252</v>
      </c>
      <c r="D72" s="53" t="s">
        <v>253</v>
      </c>
      <c r="E72" s="53" t="s">
        <v>441</v>
      </c>
      <c r="F72" s="44"/>
      <c r="G72" s="44"/>
      <c r="H72" s="44"/>
      <c r="I72" s="44"/>
      <c r="J72" s="145"/>
      <c r="K72" s="143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hidden="1">
      <c r="A73" s="144"/>
      <c r="B73" s="53" t="s">
        <v>18</v>
      </c>
      <c r="C73" s="30" t="s">
        <v>256</v>
      </c>
      <c r="D73" s="53" t="s">
        <v>257</v>
      </c>
      <c r="E73" s="53" t="s">
        <v>538</v>
      </c>
      <c r="F73" s="44"/>
      <c r="G73" s="44"/>
      <c r="H73" s="44"/>
      <c r="I73" s="44"/>
      <c r="J73" s="145"/>
      <c r="K73" s="143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hidden="1">
      <c r="A74" s="144"/>
      <c r="B74" s="53" t="s">
        <v>18</v>
      </c>
      <c r="C74" s="131" t="s">
        <v>274</v>
      </c>
      <c r="D74" s="53" t="s">
        <v>275</v>
      </c>
      <c r="E74" s="53" t="s">
        <v>529</v>
      </c>
      <c r="F74" s="44"/>
      <c r="G74" s="44"/>
      <c r="H74" s="44"/>
      <c r="I74" s="44"/>
      <c r="J74" s="145"/>
      <c r="K74" s="143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hidden="1">
      <c r="A75" s="144"/>
      <c r="B75" s="5" t="s">
        <v>18</v>
      </c>
      <c r="C75" s="30" t="s">
        <v>31</v>
      </c>
      <c r="D75" s="19" t="s">
        <v>32</v>
      </c>
      <c r="E75" s="5" t="s">
        <v>566</v>
      </c>
      <c r="F75" s="44"/>
      <c r="G75" s="44"/>
      <c r="H75" s="44"/>
      <c r="I75" s="44"/>
      <c r="J75" s="145"/>
      <c r="K75" s="143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hidden="1">
      <c r="A76" s="144"/>
      <c r="B76" s="53" t="s">
        <v>18</v>
      </c>
      <c r="C76" s="23" t="s">
        <v>264</v>
      </c>
      <c r="D76" s="53" t="s">
        <v>265</v>
      </c>
      <c r="E76" s="53" t="s">
        <v>567</v>
      </c>
      <c r="F76" s="44"/>
      <c r="G76" s="44"/>
      <c r="H76" s="44"/>
      <c r="I76" s="44"/>
      <c r="J76" s="145"/>
      <c r="K76" s="143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hidden="1">
      <c r="A77" s="144"/>
      <c r="B77" s="75" t="s">
        <v>304</v>
      </c>
      <c r="C77" s="75" t="s">
        <v>305</v>
      </c>
      <c r="D77" s="75" t="s">
        <v>306</v>
      </c>
      <c r="E77" s="75" t="s">
        <v>78</v>
      </c>
      <c r="F77" s="44"/>
      <c r="G77" s="44"/>
      <c r="H77" s="44"/>
      <c r="I77" s="44"/>
      <c r="J77" s="145"/>
      <c r="K77" s="143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hidden="1">
      <c r="A78" s="144"/>
      <c r="B78" s="75" t="s">
        <v>304</v>
      </c>
      <c r="C78" s="75" t="s">
        <v>308</v>
      </c>
      <c r="D78" s="75" t="s">
        <v>309</v>
      </c>
      <c r="E78" s="75" t="s">
        <v>555</v>
      </c>
      <c r="F78" s="44"/>
      <c r="G78" s="44"/>
      <c r="H78" s="44"/>
      <c r="I78" s="44"/>
      <c r="J78" s="145"/>
      <c r="K78" s="143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 hidden="1">
      <c r="A79" s="144"/>
      <c r="B79" s="82" t="s">
        <v>283</v>
      </c>
      <c r="C79" s="40" t="s">
        <v>232</v>
      </c>
      <c r="D79" s="86" t="s">
        <v>233</v>
      </c>
      <c r="E79" s="40" t="s">
        <v>568</v>
      </c>
      <c r="F79" s="44"/>
      <c r="G79" s="44"/>
      <c r="H79" s="44"/>
      <c r="I79" s="44"/>
      <c r="J79" s="145"/>
      <c r="K79" s="143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hidden="1">
      <c r="A80" s="144"/>
      <c r="B80" s="104" t="s">
        <v>569</v>
      </c>
      <c r="C80" s="30" t="s">
        <v>178</v>
      </c>
      <c r="D80" s="108" t="s">
        <v>179</v>
      </c>
      <c r="E80" s="47" t="s">
        <v>570</v>
      </c>
      <c r="F80" s="44"/>
      <c r="G80" s="44"/>
      <c r="H80" s="44"/>
      <c r="I80" s="44"/>
      <c r="J80" s="145"/>
      <c r="K80" s="143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hidden="1">
      <c r="A81" s="144"/>
      <c r="B81" s="53" t="s">
        <v>283</v>
      </c>
      <c r="C81" s="131" t="s">
        <v>284</v>
      </c>
      <c r="D81" s="53" t="s">
        <v>285</v>
      </c>
      <c r="E81" s="23" t="s">
        <v>571</v>
      </c>
      <c r="F81" s="44"/>
      <c r="G81" s="44"/>
      <c r="H81" s="44"/>
      <c r="I81" s="44"/>
      <c r="J81" s="145"/>
      <c r="K81" s="143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144"/>
      <c r="B82" s="82"/>
      <c r="C82" s="30"/>
      <c r="D82" s="40"/>
      <c r="E82" s="40"/>
      <c r="F82" s="44"/>
      <c r="G82" s="44"/>
      <c r="H82" s="44"/>
      <c r="I82" s="44"/>
      <c r="J82" s="145"/>
      <c r="K82" s="143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144"/>
      <c r="B83" s="139"/>
      <c r="C83" s="139"/>
      <c r="D83" s="139"/>
      <c r="E83" s="139"/>
      <c r="F83" s="44"/>
      <c r="G83" s="44"/>
      <c r="H83" s="44"/>
      <c r="I83" s="44"/>
      <c r="J83" s="145"/>
      <c r="K83" s="143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144"/>
      <c r="B84" s="139"/>
      <c r="C84" s="139"/>
      <c r="D84" s="139"/>
      <c r="E84" s="139"/>
      <c r="F84" s="44"/>
      <c r="G84" s="44"/>
      <c r="H84" s="44"/>
      <c r="I84" s="44"/>
      <c r="J84" s="145"/>
      <c r="K84" s="143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144"/>
      <c r="B85" s="139"/>
      <c r="C85" s="139"/>
      <c r="D85" s="139"/>
      <c r="E85" s="139"/>
      <c r="F85" s="44"/>
      <c r="G85" s="44"/>
      <c r="H85" s="44"/>
      <c r="I85" s="44"/>
      <c r="J85" s="145"/>
      <c r="K85" s="143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144"/>
      <c r="B86" s="139"/>
      <c r="C86" s="139"/>
      <c r="D86" s="139"/>
      <c r="E86" s="139"/>
      <c r="F86" s="44"/>
      <c r="G86" s="44"/>
      <c r="H86" s="44"/>
      <c r="I86" s="44"/>
      <c r="J86" s="145"/>
      <c r="K86" s="143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144"/>
      <c r="B87" s="139"/>
      <c r="C87" s="139"/>
      <c r="D87" s="139"/>
      <c r="E87" s="139"/>
      <c r="F87" s="44"/>
      <c r="G87" s="44"/>
      <c r="H87" s="44"/>
      <c r="I87" s="44"/>
      <c r="J87" s="145"/>
      <c r="K87" s="143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144"/>
      <c r="B88" s="139"/>
      <c r="C88" s="139"/>
      <c r="D88" s="139"/>
      <c r="E88" s="139"/>
      <c r="F88" s="44"/>
      <c r="G88" s="44"/>
      <c r="H88" s="44"/>
      <c r="I88" s="44"/>
      <c r="J88" s="145"/>
      <c r="K88" s="143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144"/>
      <c r="B89" s="139"/>
      <c r="C89" s="139"/>
      <c r="D89" s="139"/>
      <c r="E89" s="139"/>
      <c r="F89" s="44"/>
      <c r="G89" s="44"/>
      <c r="H89" s="44"/>
      <c r="I89" s="44"/>
      <c r="J89" s="145"/>
      <c r="K89" s="143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144"/>
      <c r="B90" s="139"/>
      <c r="C90" s="139"/>
      <c r="D90" s="139"/>
      <c r="E90" s="139"/>
      <c r="F90" s="44"/>
      <c r="G90" s="44"/>
      <c r="H90" s="44"/>
      <c r="I90" s="44"/>
      <c r="J90" s="145"/>
      <c r="K90" s="143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144"/>
      <c r="B91" s="139"/>
      <c r="C91" s="139"/>
      <c r="D91" s="139"/>
      <c r="E91" s="139"/>
      <c r="F91" s="44"/>
      <c r="G91" s="44"/>
      <c r="H91" s="44"/>
      <c r="I91" s="44"/>
      <c r="J91" s="145"/>
      <c r="K91" s="143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144"/>
      <c r="B92" s="139"/>
      <c r="C92" s="139"/>
      <c r="D92" s="139"/>
      <c r="E92" s="139"/>
      <c r="F92" s="44"/>
      <c r="G92" s="44"/>
      <c r="H92" s="44"/>
      <c r="I92" s="44"/>
      <c r="J92" s="145"/>
      <c r="K92" s="143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144"/>
      <c r="B93" s="139"/>
      <c r="C93" s="139"/>
      <c r="D93" s="139"/>
      <c r="E93" s="139"/>
      <c r="F93" s="44"/>
      <c r="G93" s="44"/>
      <c r="H93" s="44"/>
      <c r="I93" s="44"/>
      <c r="J93" s="145"/>
      <c r="K93" s="143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144"/>
      <c r="B94" s="139"/>
      <c r="C94" s="139"/>
      <c r="D94" s="139"/>
      <c r="E94" s="139"/>
      <c r="F94" s="44"/>
      <c r="G94" s="44"/>
      <c r="H94" s="44"/>
      <c r="I94" s="44"/>
      <c r="J94" s="145"/>
      <c r="K94" s="143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144"/>
      <c r="B95" s="139"/>
      <c r="C95" s="139"/>
      <c r="D95" s="139"/>
      <c r="E95" s="139"/>
      <c r="F95" s="44"/>
      <c r="G95" s="44"/>
      <c r="H95" s="44"/>
      <c r="I95" s="44"/>
      <c r="J95" s="145"/>
      <c r="K95" s="143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144"/>
      <c r="B96" s="139"/>
      <c r="C96" s="139"/>
      <c r="D96" s="139"/>
      <c r="E96" s="139"/>
      <c r="F96" s="44"/>
      <c r="G96" s="44"/>
      <c r="H96" s="44"/>
      <c r="I96" s="44"/>
      <c r="J96" s="145"/>
      <c r="K96" s="143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144"/>
      <c r="B97" s="139"/>
      <c r="C97" s="139"/>
      <c r="D97" s="139"/>
      <c r="E97" s="139"/>
      <c r="F97" s="44"/>
      <c r="G97" s="44"/>
      <c r="H97" s="44"/>
      <c r="I97" s="44"/>
      <c r="J97" s="145"/>
      <c r="K97" s="143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144"/>
      <c r="B98" s="139"/>
      <c r="C98" s="139"/>
      <c r="D98" s="139"/>
      <c r="E98" s="139"/>
      <c r="F98" s="44"/>
      <c r="G98" s="44"/>
      <c r="H98" s="44"/>
      <c r="I98" s="44"/>
      <c r="J98" s="145"/>
      <c r="K98" s="143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144"/>
      <c r="B99" s="139"/>
      <c r="C99" s="139"/>
      <c r="D99" s="139"/>
      <c r="E99" s="139"/>
      <c r="F99" s="44"/>
      <c r="G99" s="44"/>
      <c r="H99" s="44"/>
      <c r="I99" s="44"/>
      <c r="J99" s="145"/>
      <c r="K99" s="143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144"/>
      <c r="B100" s="139"/>
      <c r="C100" s="139"/>
      <c r="D100" s="139"/>
      <c r="E100" s="139"/>
      <c r="F100" s="44"/>
      <c r="G100" s="44"/>
      <c r="H100" s="44"/>
      <c r="I100" s="44"/>
      <c r="J100" s="145"/>
      <c r="K100" s="143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144"/>
      <c r="B101" s="139"/>
      <c r="C101" s="139"/>
      <c r="D101" s="139"/>
      <c r="E101" s="139"/>
      <c r="F101" s="44"/>
      <c r="G101" s="44"/>
      <c r="H101" s="44"/>
      <c r="I101" s="44"/>
      <c r="J101" s="145"/>
      <c r="K101" s="143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144"/>
      <c r="B102" s="139"/>
      <c r="C102" s="139"/>
      <c r="D102" s="139"/>
      <c r="E102" s="139"/>
      <c r="F102" s="44"/>
      <c r="G102" s="44"/>
      <c r="H102" s="44"/>
      <c r="I102" s="44"/>
      <c r="J102" s="145"/>
      <c r="K102" s="143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144"/>
      <c r="B103" s="139"/>
      <c r="C103" s="139"/>
      <c r="D103" s="139"/>
      <c r="E103" s="139"/>
      <c r="F103" s="44"/>
      <c r="G103" s="44"/>
      <c r="H103" s="44"/>
      <c r="I103" s="44"/>
      <c r="J103" s="145"/>
      <c r="K103" s="143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144"/>
      <c r="B104" s="139"/>
      <c r="C104" s="139"/>
      <c r="D104" s="139"/>
      <c r="E104" s="139"/>
      <c r="F104" s="44"/>
      <c r="G104" s="44"/>
      <c r="H104" s="44"/>
      <c r="I104" s="44"/>
      <c r="J104" s="145"/>
      <c r="K104" s="143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144"/>
      <c r="B105" s="139"/>
      <c r="C105" s="139"/>
      <c r="D105" s="139"/>
      <c r="E105" s="139"/>
      <c r="F105" s="44"/>
      <c r="G105" s="44"/>
      <c r="H105" s="44"/>
      <c r="I105" s="44"/>
      <c r="J105" s="145"/>
      <c r="K105" s="143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144"/>
      <c r="B106" s="139"/>
      <c r="C106" s="139"/>
      <c r="D106" s="139"/>
      <c r="E106" s="139"/>
      <c r="F106" s="44"/>
      <c r="G106" s="44"/>
      <c r="H106" s="44"/>
      <c r="I106" s="44"/>
      <c r="J106" s="145"/>
      <c r="K106" s="143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144"/>
      <c r="B107" s="139"/>
      <c r="C107" s="139"/>
      <c r="D107" s="139"/>
      <c r="E107" s="139"/>
      <c r="F107" s="44"/>
      <c r="G107" s="44"/>
      <c r="H107" s="44"/>
      <c r="I107" s="44"/>
      <c r="J107" s="145"/>
      <c r="K107" s="143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144"/>
      <c r="B108" s="139"/>
      <c r="C108" s="139"/>
      <c r="D108" s="139"/>
      <c r="E108" s="139"/>
      <c r="F108" s="44"/>
      <c r="G108" s="44"/>
      <c r="H108" s="44"/>
      <c r="I108" s="44"/>
      <c r="J108" s="145"/>
      <c r="K108" s="143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144"/>
      <c r="B109" s="139"/>
      <c r="C109" s="139"/>
      <c r="D109" s="139"/>
      <c r="E109" s="139"/>
      <c r="F109" s="44"/>
      <c r="G109" s="44"/>
      <c r="H109" s="44"/>
      <c r="I109" s="44"/>
      <c r="J109" s="145"/>
      <c r="K109" s="143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144"/>
      <c r="B110" s="139"/>
      <c r="C110" s="139"/>
      <c r="D110" s="139"/>
      <c r="E110" s="139"/>
      <c r="F110" s="44"/>
      <c r="G110" s="44"/>
      <c r="H110" s="44"/>
      <c r="I110" s="44"/>
      <c r="J110" s="145"/>
      <c r="K110" s="143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144"/>
      <c r="B111" s="139"/>
      <c r="C111" s="139"/>
      <c r="D111" s="139"/>
      <c r="E111" s="139"/>
      <c r="F111" s="44"/>
      <c r="G111" s="44"/>
      <c r="H111" s="44"/>
      <c r="I111" s="44"/>
      <c r="J111" s="145"/>
      <c r="K111" s="143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144"/>
      <c r="B112" s="139"/>
      <c r="C112" s="139"/>
      <c r="D112" s="139"/>
      <c r="E112" s="139"/>
      <c r="F112" s="44"/>
      <c r="G112" s="44"/>
      <c r="H112" s="44"/>
      <c r="I112" s="44"/>
      <c r="J112" s="145"/>
      <c r="K112" s="143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144"/>
      <c r="B113" s="139"/>
      <c r="C113" s="139"/>
      <c r="D113" s="139"/>
      <c r="E113" s="139"/>
      <c r="F113" s="44"/>
      <c r="G113" s="44"/>
      <c r="H113" s="44"/>
      <c r="I113" s="44"/>
      <c r="J113" s="145"/>
      <c r="K113" s="143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144"/>
      <c r="B114" s="139"/>
      <c r="C114" s="139"/>
      <c r="D114" s="139"/>
      <c r="E114" s="139"/>
      <c r="F114" s="44"/>
      <c r="G114" s="44"/>
      <c r="H114" s="44"/>
      <c r="I114" s="44"/>
      <c r="J114" s="145"/>
      <c r="K114" s="143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144"/>
      <c r="B115" s="139"/>
      <c r="C115" s="139"/>
      <c r="D115" s="139"/>
      <c r="E115" s="139"/>
      <c r="F115" s="44"/>
      <c r="G115" s="44"/>
      <c r="H115" s="44"/>
      <c r="I115" s="44"/>
      <c r="J115" s="145"/>
      <c r="K115" s="143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144"/>
      <c r="B116" s="139"/>
      <c r="C116" s="139"/>
      <c r="D116" s="139"/>
      <c r="E116" s="139"/>
      <c r="F116" s="44"/>
      <c r="G116" s="44"/>
      <c r="H116" s="44"/>
      <c r="I116" s="44"/>
      <c r="J116" s="145"/>
      <c r="K116" s="143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144"/>
      <c r="B117" s="139"/>
      <c r="C117" s="139"/>
      <c r="D117" s="139"/>
      <c r="E117" s="139"/>
      <c r="F117" s="44"/>
      <c r="G117" s="44"/>
      <c r="H117" s="44"/>
      <c r="I117" s="44"/>
      <c r="J117" s="145"/>
      <c r="K117" s="143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144"/>
      <c r="B118" s="139"/>
      <c r="C118" s="139"/>
      <c r="D118" s="139"/>
      <c r="E118" s="139"/>
      <c r="F118" s="44"/>
      <c r="G118" s="44"/>
      <c r="H118" s="44"/>
      <c r="I118" s="44"/>
      <c r="J118" s="145"/>
      <c r="K118" s="143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144"/>
      <c r="B119" s="139"/>
      <c r="C119" s="139"/>
      <c r="D119" s="139"/>
      <c r="E119" s="139"/>
      <c r="F119" s="44"/>
      <c r="G119" s="44"/>
      <c r="H119" s="44"/>
      <c r="I119" s="44"/>
      <c r="J119" s="145"/>
      <c r="K119" s="143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144"/>
      <c r="B120" s="139"/>
      <c r="C120" s="139"/>
      <c r="D120" s="139"/>
      <c r="E120" s="139"/>
      <c r="F120" s="44"/>
      <c r="G120" s="44"/>
      <c r="H120" s="44"/>
      <c r="I120" s="44"/>
      <c r="J120" s="145"/>
      <c r="K120" s="143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144"/>
      <c r="B121" s="139"/>
      <c r="C121" s="139"/>
      <c r="D121" s="139"/>
      <c r="E121" s="139"/>
      <c r="F121" s="44"/>
      <c r="G121" s="44"/>
      <c r="H121" s="44"/>
      <c r="I121" s="44"/>
      <c r="J121" s="145"/>
      <c r="K121" s="143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144"/>
      <c r="B122" s="139"/>
      <c r="C122" s="139"/>
      <c r="D122" s="139"/>
      <c r="E122" s="139"/>
      <c r="F122" s="44"/>
      <c r="G122" s="44"/>
      <c r="H122" s="44"/>
      <c r="I122" s="44"/>
      <c r="J122" s="145"/>
      <c r="K122" s="143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144"/>
      <c r="B123" s="139"/>
      <c r="C123" s="139"/>
      <c r="D123" s="139"/>
      <c r="E123" s="139"/>
      <c r="F123" s="44"/>
      <c r="G123" s="44"/>
      <c r="H123" s="44"/>
      <c r="I123" s="44"/>
      <c r="J123" s="145"/>
      <c r="K123" s="143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144"/>
      <c r="B124" s="139"/>
      <c r="C124" s="139"/>
      <c r="D124" s="139"/>
      <c r="E124" s="139"/>
      <c r="F124" s="44"/>
      <c r="G124" s="44"/>
      <c r="H124" s="44"/>
      <c r="I124" s="44"/>
      <c r="J124" s="145"/>
      <c r="K124" s="143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144"/>
      <c r="B125" s="139"/>
      <c r="C125" s="139"/>
      <c r="D125" s="139"/>
      <c r="E125" s="139"/>
      <c r="F125" s="44"/>
      <c r="G125" s="44"/>
      <c r="H125" s="44"/>
      <c r="I125" s="44"/>
      <c r="J125" s="145"/>
      <c r="K125" s="143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144"/>
      <c r="B126" s="139"/>
      <c r="C126" s="139"/>
      <c r="D126" s="139"/>
      <c r="E126" s="139"/>
      <c r="F126" s="44"/>
      <c r="G126" s="44"/>
      <c r="H126" s="44"/>
      <c r="I126" s="44"/>
      <c r="J126" s="145"/>
      <c r="K126" s="143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144"/>
      <c r="B127" s="139"/>
      <c r="C127" s="139"/>
      <c r="D127" s="139"/>
      <c r="E127" s="139"/>
      <c r="F127" s="44"/>
      <c r="G127" s="44"/>
      <c r="H127" s="44"/>
      <c r="I127" s="44"/>
      <c r="J127" s="145"/>
      <c r="K127" s="143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144"/>
      <c r="B128" s="139"/>
      <c r="C128" s="139"/>
      <c r="D128" s="139"/>
      <c r="E128" s="139"/>
      <c r="F128" s="44"/>
      <c r="G128" s="44"/>
      <c r="H128" s="44"/>
      <c r="I128" s="44"/>
      <c r="J128" s="145"/>
      <c r="K128" s="143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144"/>
      <c r="B129" s="139"/>
      <c r="C129" s="139"/>
      <c r="D129" s="139"/>
      <c r="E129" s="139"/>
      <c r="F129" s="44"/>
      <c r="G129" s="44"/>
      <c r="H129" s="44"/>
      <c r="I129" s="44"/>
      <c r="J129" s="145"/>
      <c r="K129" s="143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144"/>
      <c r="B130" s="139"/>
      <c r="C130" s="139"/>
      <c r="D130" s="139"/>
      <c r="E130" s="139"/>
      <c r="F130" s="44"/>
      <c r="G130" s="44"/>
      <c r="H130" s="44"/>
      <c r="I130" s="44"/>
      <c r="J130" s="145"/>
      <c r="K130" s="143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144"/>
      <c r="B131" s="139"/>
      <c r="C131" s="139"/>
      <c r="D131" s="139"/>
      <c r="E131" s="139"/>
      <c r="F131" s="44"/>
      <c r="G131" s="44"/>
      <c r="H131" s="44"/>
      <c r="I131" s="44"/>
      <c r="J131" s="145"/>
      <c r="K131" s="143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144"/>
      <c r="B132" s="139"/>
      <c r="C132" s="139"/>
      <c r="D132" s="139"/>
      <c r="E132" s="139"/>
      <c r="F132" s="44"/>
      <c r="G132" s="44"/>
      <c r="H132" s="44"/>
      <c r="I132" s="44"/>
      <c r="J132" s="145"/>
      <c r="K132" s="143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144"/>
      <c r="B133" s="139"/>
      <c r="C133" s="139"/>
      <c r="D133" s="139"/>
      <c r="E133" s="139"/>
      <c r="F133" s="44"/>
      <c r="G133" s="44"/>
      <c r="H133" s="44"/>
      <c r="I133" s="44"/>
      <c r="J133" s="145"/>
      <c r="K133" s="143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144"/>
      <c r="B134" s="139"/>
      <c r="C134" s="139"/>
      <c r="D134" s="139"/>
      <c r="E134" s="139"/>
      <c r="F134" s="44"/>
      <c r="G134" s="44"/>
      <c r="H134" s="44"/>
      <c r="I134" s="44"/>
      <c r="J134" s="145"/>
      <c r="K134" s="143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144"/>
      <c r="B135" s="139"/>
      <c r="C135" s="139"/>
      <c r="D135" s="139"/>
      <c r="E135" s="139"/>
      <c r="F135" s="44"/>
      <c r="G135" s="44"/>
      <c r="H135" s="44"/>
      <c r="I135" s="44"/>
      <c r="J135" s="145"/>
      <c r="K135" s="143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144"/>
      <c r="B136" s="139"/>
      <c r="C136" s="139"/>
      <c r="D136" s="139"/>
      <c r="E136" s="139"/>
      <c r="F136" s="44"/>
      <c r="G136" s="44"/>
      <c r="H136" s="44"/>
      <c r="I136" s="44"/>
      <c r="J136" s="145"/>
      <c r="K136" s="143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144"/>
      <c r="B137" s="139"/>
      <c r="C137" s="139"/>
      <c r="D137" s="139"/>
      <c r="E137" s="139"/>
      <c r="F137" s="44"/>
      <c r="G137" s="44"/>
      <c r="H137" s="44"/>
      <c r="I137" s="44"/>
      <c r="J137" s="145"/>
      <c r="K137" s="143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144"/>
      <c r="B138" s="139"/>
      <c r="C138" s="139"/>
      <c r="D138" s="139"/>
      <c r="E138" s="139"/>
      <c r="F138" s="44"/>
      <c r="G138" s="44"/>
      <c r="H138" s="44"/>
      <c r="I138" s="44"/>
      <c r="J138" s="145"/>
      <c r="K138" s="143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144"/>
      <c r="B139" s="139"/>
      <c r="C139" s="139"/>
      <c r="D139" s="139"/>
      <c r="E139" s="139"/>
      <c r="F139" s="44"/>
      <c r="G139" s="44"/>
      <c r="H139" s="44"/>
      <c r="I139" s="44"/>
      <c r="J139" s="145"/>
      <c r="K139" s="143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144"/>
      <c r="B140" s="139"/>
      <c r="C140" s="139"/>
      <c r="D140" s="139"/>
      <c r="E140" s="139"/>
      <c r="F140" s="44"/>
      <c r="G140" s="44"/>
      <c r="H140" s="44"/>
      <c r="I140" s="44"/>
      <c r="J140" s="145"/>
      <c r="K140" s="143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144"/>
      <c r="B141" s="139"/>
      <c r="C141" s="139"/>
      <c r="D141" s="139"/>
      <c r="E141" s="139"/>
      <c r="F141" s="44"/>
      <c r="G141" s="44"/>
      <c r="H141" s="44"/>
      <c r="I141" s="44"/>
      <c r="J141" s="145"/>
      <c r="K141" s="143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144"/>
      <c r="B142" s="139"/>
      <c r="C142" s="139"/>
      <c r="D142" s="139"/>
      <c r="E142" s="139"/>
      <c r="F142" s="44"/>
      <c r="G142" s="44"/>
      <c r="H142" s="44"/>
      <c r="I142" s="44"/>
      <c r="J142" s="145"/>
      <c r="K142" s="143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144"/>
      <c r="B143" s="139"/>
      <c r="C143" s="139"/>
      <c r="D143" s="139"/>
      <c r="E143" s="139"/>
      <c r="F143" s="44"/>
      <c r="G143" s="44"/>
      <c r="H143" s="44"/>
      <c r="I143" s="44"/>
      <c r="J143" s="145"/>
      <c r="K143" s="143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144"/>
      <c r="B144" s="139"/>
      <c r="C144" s="139"/>
      <c r="D144" s="139"/>
      <c r="E144" s="139"/>
      <c r="F144" s="44"/>
      <c r="G144" s="44"/>
      <c r="H144" s="44"/>
      <c r="I144" s="44"/>
      <c r="J144" s="145"/>
      <c r="K144" s="143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144"/>
      <c r="B145" s="139"/>
      <c r="C145" s="139"/>
      <c r="D145" s="139"/>
      <c r="E145" s="139"/>
      <c r="F145" s="44"/>
      <c r="G145" s="44"/>
      <c r="H145" s="44"/>
      <c r="I145" s="44"/>
      <c r="J145" s="145"/>
      <c r="K145" s="143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144"/>
      <c r="B146" s="139"/>
      <c r="C146" s="139"/>
      <c r="D146" s="139"/>
      <c r="E146" s="139"/>
      <c r="F146" s="44"/>
      <c r="G146" s="44"/>
      <c r="H146" s="44"/>
      <c r="I146" s="44"/>
      <c r="J146" s="145"/>
      <c r="K146" s="143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144"/>
      <c r="B147" s="139"/>
      <c r="C147" s="139"/>
      <c r="D147" s="139"/>
      <c r="E147" s="139"/>
      <c r="F147" s="44"/>
      <c r="G147" s="44"/>
      <c r="H147" s="44"/>
      <c r="I147" s="44"/>
      <c r="J147" s="145"/>
      <c r="K147" s="143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144"/>
      <c r="B148" s="139"/>
      <c r="C148" s="139"/>
      <c r="D148" s="139"/>
      <c r="E148" s="139"/>
      <c r="F148" s="44"/>
      <c r="G148" s="44"/>
      <c r="H148" s="44"/>
      <c r="I148" s="44"/>
      <c r="J148" s="145"/>
      <c r="K148" s="143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144"/>
      <c r="B149" s="139"/>
      <c r="C149" s="139"/>
      <c r="D149" s="139"/>
      <c r="E149" s="139"/>
      <c r="F149" s="44"/>
      <c r="G149" s="44"/>
      <c r="H149" s="44"/>
      <c r="I149" s="44"/>
      <c r="J149" s="145"/>
      <c r="K149" s="143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144"/>
      <c r="B150" s="139"/>
      <c r="C150" s="139"/>
      <c r="D150" s="139"/>
      <c r="E150" s="139"/>
      <c r="F150" s="44"/>
      <c r="G150" s="44"/>
      <c r="H150" s="44"/>
      <c r="I150" s="44"/>
      <c r="J150" s="145"/>
      <c r="K150" s="143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144"/>
      <c r="B151" s="139"/>
      <c r="C151" s="139"/>
      <c r="D151" s="139"/>
      <c r="E151" s="139"/>
      <c r="F151" s="44"/>
      <c r="G151" s="44"/>
      <c r="H151" s="44"/>
      <c r="I151" s="44"/>
      <c r="J151" s="145"/>
      <c r="K151" s="143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144"/>
      <c r="B152" s="139"/>
      <c r="C152" s="139"/>
      <c r="D152" s="139"/>
      <c r="E152" s="139"/>
      <c r="F152" s="44"/>
      <c r="G152" s="44"/>
      <c r="H152" s="44"/>
      <c r="I152" s="44"/>
      <c r="J152" s="145"/>
      <c r="K152" s="143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144"/>
      <c r="B153" s="139"/>
      <c r="C153" s="139"/>
      <c r="D153" s="139"/>
      <c r="E153" s="139"/>
      <c r="F153" s="44"/>
      <c r="G153" s="44"/>
      <c r="H153" s="44"/>
      <c r="I153" s="44"/>
      <c r="J153" s="145"/>
      <c r="K153" s="143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144"/>
      <c r="B154" s="139"/>
      <c r="C154" s="139"/>
      <c r="D154" s="139"/>
      <c r="E154" s="139"/>
      <c r="F154" s="44"/>
      <c r="G154" s="44"/>
      <c r="H154" s="44"/>
      <c r="I154" s="44"/>
      <c r="J154" s="145"/>
      <c r="K154" s="143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144"/>
      <c r="B155" s="139"/>
      <c r="C155" s="139"/>
      <c r="D155" s="139"/>
      <c r="E155" s="139"/>
      <c r="F155" s="44"/>
      <c r="G155" s="44"/>
      <c r="H155" s="44"/>
      <c r="I155" s="44"/>
      <c r="J155" s="145"/>
      <c r="K155" s="143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144"/>
      <c r="B156" s="139"/>
      <c r="C156" s="139"/>
      <c r="D156" s="139"/>
      <c r="E156" s="139"/>
      <c r="F156" s="44"/>
      <c r="G156" s="44"/>
      <c r="H156" s="44"/>
      <c r="I156" s="44"/>
      <c r="J156" s="145"/>
      <c r="K156" s="143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144"/>
      <c r="B157" s="139"/>
      <c r="C157" s="139"/>
      <c r="D157" s="139"/>
      <c r="E157" s="139"/>
      <c r="F157" s="44"/>
      <c r="G157" s="44"/>
      <c r="H157" s="44"/>
      <c r="I157" s="44"/>
      <c r="J157" s="145"/>
      <c r="K157" s="143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144"/>
      <c r="B158" s="139"/>
      <c r="C158" s="139"/>
      <c r="D158" s="139"/>
      <c r="E158" s="139"/>
      <c r="F158" s="44"/>
      <c r="G158" s="44"/>
      <c r="H158" s="44"/>
      <c r="I158" s="44"/>
      <c r="J158" s="145"/>
      <c r="K158" s="143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144"/>
      <c r="B159" s="139"/>
      <c r="C159" s="139"/>
      <c r="D159" s="139"/>
      <c r="E159" s="139"/>
      <c r="F159" s="44"/>
      <c r="G159" s="44"/>
      <c r="H159" s="44"/>
      <c r="I159" s="44"/>
      <c r="J159" s="145"/>
      <c r="K159" s="143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144"/>
      <c r="B160" s="139"/>
      <c r="C160" s="139"/>
      <c r="D160" s="139"/>
      <c r="E160" s="139"/>
      <c r="F160" s="44"/>
      <c r="G160" s="44"/>
      <c r="H160" s="44"/>
      <c r="I160" s="44"/>
      <c r="J160" s="145"/>
      <c r="K160" s="143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144"/>
      <c r="B161" s="139"/>
      <c r="C161" s="139"/>
      <c r="D161" s="139"/>
      <c r="E161" s="139"/>
      <c r="F161" s="44"/>
      <c r="G161" s="44"/>
      <c r="H161" s="44"/>
      <c r="I161" s="44"/>
      <c r="J161" s="145"/>
      <c r="K161" s="143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144"/>
      <c r="B162" s="139"/>
      <c r="C162" s="139"/>
      <c r="D162" s="139"/>
      <c r="E162" s="139"/>
      <c r="F162" s="44"/>
      <c r="G162" s="44"/>
      <c r="H162" s="44"/>
      <c r="I162" s="44"/>
      <c r="J162" s="145"/>
      <c r="K162" s="143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144"/>
      <c r="B163" s="139"/>
      <c r="C163" s="139"/>
      <c r="D163" s="139"/>
      <c r="E163" s="139"/>
      <c r="F163" s="44"/>
      <c r="G163" s="44"/>
      <c r="H163" s="44"/>
      <c r="I163" s="44"/>
      <c r="J163" s="145"/>
      <c r="K163" s="143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144"/>
      <c r="B164" s="139"/>
      <c r="C164" s="139"/>
      <c r="D164" s="139"/>
      <c r="E164" s="139"/>
      <c r="F164" s="44"/>
      <c r="G164" s="44"/>
      <c r="H164" s="44"/>
      <c r="I164" s="44"/>
      <c r="J164" s="145"/>
      <c r="K164" s="143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144"/>
      <c r="B165" s="139"/>
      <c r="C165" s="139"/>
      <c r="D165" s="139"/>
      <c r="E165" s="139"/>
      <c r="F165" s="44"/>
      <c r="G165" s="44"/>
      <c r="H165" s="44"/>
      <c r="I165" s="44"/>
      <c r="J165" s="145"/>
      <c r="K165" s="143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144"/>
      <c r="B166" s="139"/>
      <c r="C166" s="139"/>
      <c r="D166" s="139"/>
      <c r="E166" s="139"/>
      <c r="F166" s="44"/>
      <c r="G166" s="44"/>
      <c r="H166" s="44"/>
      <c r="I166" s="44"/>
      <c r="J166" s="145"/>
      <c r="K166" s="143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144"/>
      <c r="B167" s="139"/>
      <c r="C167" s="139"/>
      <c r="D167" s="139"/>
      <c r="E167" s="139"/>
      <c r="F167" s="44"/>
      <c r="G167" s="44"/>
      <c r="H167" s="44"/>
      <c r="I167" s="44"/>
      <c r="J167" s="145"/>
      <c r="K167" s="143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144"/>
      <c r="B168" s="139"/>
      <c r="C168" s="139"/>
      <c r="D168" s="139"/>
      <c r="E168" s="139"/>
      <c r="F168" s="44"/>
      <c r="G168" s="44"/>
      <c r="H168" s="44"/>
      <c r="I168" s="44"/>
      <c r="J168" s="145"/>
      <c r="K168" s="143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144"/>
      <c r="B169" s="139"/>
      <c r="C169" s="139"/>
      <c r="D169" s="139"/>
      <c r="E169" s="139"/>
      <c r="F169" s="44"/>
      <c r="G169" s="44"/>
      <c r="H169" s="44"/>
      <c r="I169" s="44"/>
      <c r="J169" s="145"/>
      <c r="K169" s="143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144"/>
      <c r="B170" s="139"/>
      <c r="C170" s="139"/>
      <c r="D170" s="139"/>
      <c r="E170" s="139"/>
      <c r="F170" s="44"/>
      <c r="G170" s="44"/>
      <c r="H170" s="44"/>
      <c r="I170" s="44"/>
      <c r="J170" s="145"/>
      <c r="K170" s="143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144"/>
      <c r="B171" s="139"/>
      <c r="C171" s="139"/>
      <c r="D171" s="139"/>
      <c r="E171" s="139"/>
      <c r="F171" s="44"/>
      <c r="G171" s="44"/>
      <c r="H171" s="44"/>
      <c r="I171" s="44"/>
      <c r="J171" s="145"/>
      <c r="K171" s="143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144"/>
      <c r="B172" s="139"/>
      <c r="C172" s="139"/>
      <c r="D172" s="139"/>
      <c r="E172" s="139"/>
      <c r="F172" s="44"/>
      <c r="G172" s="44"/>
      <c r="H172" s="44"/>
      <c r="I172" s="44"/>
      <c r="J172" s="145"/>
      <c r="K172" s="143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144"/>
      <c r="B173" s="139"/>
      <c r="C173" s="139"/>
      <c r="D173" s="139"/>
      <c r="E173" s="139"/>
      <c r="F173" s="44"/>
      <c r="G173" s="44"/>
      <c r="H173" s="44"/>
      <c r="I173" s="44"/>
      <c r="J173" s="145"/>
      <c r="K173" s="143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144"/>
      <c r="B174" s="139"/>
      <c r="C174" s="139"/>
      <c r="D174" s="139"/>
      <c r="E174" s="139"/>
      <c r="F174" s="44"/>
      <c r="G174" s="44"/>
      <c r="H174" s="44"/>
      <c r="I174" s="44"/>
      <c r="J174" s="145"/>
      <c r="K174" s="143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144"/>
      <c r="B175" s="139"/>
      <c r="C175" s="139"/>
      <c r="D175" s="139"/>
      <c r="E175" s="139"/>
      <c r="F175" s="44"/>
      <c r="G175" s="44"/>
      <c r="H175" s="44"/>
      <c r="I175" s="44"/>
      <c r="J175" s="145"/>
      <c r="K175" s="143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144"/>
      <c r="B176" s="139"/>
      <c r="C176" s="139"/>
      <c r="D176" s="139"/>
      <c r="E176" s="139"/>
      <c r="F176" s="44"/>
      <c r="G176" s="44"/>
      <c r="H176" s="44"/>
      <c r="I176" s="44"/>
      <c r="J176" s="145"/>
      <c r="K176" s="143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144"/>
      <c r="B177" s="139"/>
      <c r="C177" s="139"/>
      <c r="D177" s="139"/>
      <c r="E177" s="139"/>
      <c r="F177" s="44"/>
      <c r="G177" s="44"/>
      <c r="H177" s="44"/>
      <c r="I177" s="44"/>
      <c r="J177" s="145"/>
      <c r="K177" s="143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144"/>
      <c r="B178" s="139"/>
      <c r="C178" s="139"/>
      <c r="D178" s="139"/>
      <c r="E178" s="139"/>
      <c r="F178" s="44"/>
      <c r="G178" s="44"/>
      <c r="H178" s="44"/>
      <c r="I178" s="44"/>
      <c r="J178" s="145"/>
      <c r="K178" s="143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144"/>
      <c r="B179" s="139"/>
      <c r="C179" s="139"/>
      <c r="D179" s="139"/>
      <c r="E179" s="139"/>
      <c r="F179" s="44"/>
      <c r="G179" s="44"/>
      <c r="H179" s="44"/>
      <c r="I179" s="44"/>
      <c r="J179" s="145"/>
      <c r="K179" s="143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144"/>
      <c r="B180" s="139"/>
      <c r="C180" s="139"/>
      <c r="D180" s="139"/>
      <c r="E180" s="139"/>
      <c r="F180" s="44"/>
      <c r="G180" s="44"/>
      <c r="H180" s="44"/>
      <c r="I180" s="44"/>
      <c r="J180" s="145"/>
      <c r="K180" s="143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144"/>
      <c r="B181" s="139"/>
      <c r="C181" s="139"/>
      <c r="D181" s="139"/>
      <c r="E181" s="139"/>
      <c r="F181" s="44"/>
      <c r="G181" s="44"/>
      <c r="H181" s="44"/>
      <c r="I181" s="44"/>
      <c r="J181" s="145"/>
      <c r="K181" s="143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144"/>
      <c r="B182" s="139"/>
      <c r="C182" s="139"/>
      <c r="D182" s="139"/>
      <c r="E182" s="139"/>
      <c r="F182" s="44"/>
      <c r="G182" s="44"/>
      <c r="H182" s="44"/>
      <c r="I182" s="44"/>
      <c r="J182" s="145"/>
      <c r="K182" s="143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144"/>
      <c r="B183" s="139"/>
      <c r="C183" s="139"/>
      <c r="D183" s="139"/>
      <c r="E183" s="139"/>
      <c r="F183" s="44"/>
      <c r="G183" s="44"/>
      <c r="H183" s="44"/>
      <c r="I183" s="44"/>
      <c r="J183" s="145"/>
      <c r="K183" s="143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144"/>
      <c r="B184" s="139"/>
      <c r="C184" s="139"/>
      <c r="D184" s="139"/>
      <c r="E184" s="139"/>
      <c r="F184" s="44"/>
      <c r="G184" s="44"/>
      <c r="H184" s="44"/>
      <c r="I184" s="44"/>
      <c r="J184" s="145"/>
      <c r="K184" s="143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144"/>
      <c r="B185" s="139"/>
      <c r="C185" s="139"/>
      <c r="D185" s="139"/>
      <c r="E185" s="139"/>
      <c r="F185" s="44"/>
      <c r="G185" s="44"/>
      <c r="H185" s="44"/>
      <c r="I185" s="44"/>
      <c r="J185" s="145"/>
      <c r="K185" s="143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144"/>
      <c r="B186" s="139"/>
      <c r="C186" s="139"/>
      <c r="D186" s="139"/>
      <c r="E186" s="139"/>
      <c r="F186" s="44"/>
      <c r="G186" s="44"/>
      <c r="H186" s="44"/>
      <c r="I186" s="44"/>
      <c r="J186" s="145"/>
      <c r="K186" s="143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144"/>
      <c r="B187" s="139"/>
      <c r="C187" s="139"/>
      <c r="D187" s="139"/>
      <c r="E187" s="139"/>
      <c r="F187" s="44"/>
      <c r="G187" s="44"/>
      <c r="H187" s="44"/>
      <c r="I187" s="44"/>
      <c r="J187" s="145"/>
      <c r="K187" s="143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144"/>
      <c r="B188" s="139"/>
      <c r="C188" s="139"/>
      <c r="D188" s="139"/>
      <c r="E188" s="139"/>
      <c r="F188" s="44"/>
      <c r="G188" s="44"/>
      <c r="H188" s="44"/>
      <c r="I188" s="44"/>
      <c r="J188" s="145"/>
      <c r="K188" s="143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144"/>
      <c r="B189" s="139"/>
      <c r="C189" s="139"/>
      <c r="D189" s="139"/>
      <c r="E189" s="139"/>
      <c r="F189" s="44"/>
      <c r="G189" s="44"/>
      <c r="H189" s="44"/>
      <c r="I189" s="44"/>
      <c r="J189" s="145"/>
      <c r="K189" s="143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144"/>
      <c r="B190" s="139"/>
      <c r="C190" s="139"/>
      <c r="D190" s="139"/>
      <c r="E190" s="139"/>
      <c r="F190" s="44"/>
      <c r="G190" s="44"/>
      <c r="H190" s="44"/>
      <c r="I190" s="44"/>
      <c r="J190" s="145"/>
      <c r="K190" s="143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144"/>
      <c r="B191" s="139"/>
      <c r="C191" s="139"/>
      <c r="D191" s="139"/>
      <c r="E191" s="139"/>
      <c r="F191" s="44"/>
      <c r="G191" s="44"/>
      <c r="H191" s="44"/>
      <c r="I191" s="44"/>
      <c r="J191" s="145"/>
      <c r="K191" s="143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144"/>
      <c r="B192" s="139"/>
      <c r="C192" s="139"/>
      <c r="D192" s="139"/>
      <c r="E192" s="139"/>
      <c r="F192" s="44"/>
      <c r="G192" s="44"/>
      <c r="H192" s="44"/>
      <c r="I192" s="44"/>
      <c r="J192" s="145"/>
      <c r="K192" s="143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144"/>
      <c r="B193" s="139"/>
      <c r="C193" s="139"/>
      <c r="D193" s="139"/>
      <c r="E193" s="139"/>
      <c r="F193" s="44"/>
      <c r="G193" s="44"/>
      <c r="H193" s="44"/>
      <c r="I193" s="44"/>
      <c r="J193" s="145"/>
      <c r="K193" s="143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144"/>
      <c r="B194" s="139"/>
      <c r="C194" s="139"/>
      <c r="D194" s="139"/>
      <c r="E194" s="139"/>
      <c r="F194" s="44"/>
      <c r="G194" s="44"/>
      <c r="H194" s="44"/>
      <c r="I194" s="44"/>
      <c r="J194" s="145"/>
      <c r="K194" s="143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144"/>
      <c r="B195" s="139"/>
      <c r="C195" s="139"/>
      <c r="D195" s="139"/>
      <c r="E195" s="139"/>
      <c r="F195" s="44"/>
      <c r="G195" s="44"/>
      <c r="H195" s="44"/>
      <c r="I195" s="44"/>
      <c r="J195" s="145"/>
      <c r="K195" s="143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144"/>
      <c r="B196" s="139"/>
      <c r="C196" s="139"/>
      <c r="D196" s="139"/>
      <c r="E196" s="139"/>
      <c r="F196" s="44"/>
      <c r="G196" s="44"/>
      <c r="H196" s="44"/>
      <c r="I196" s="44"/>
      <c r="J196" s="145"/>
      <c r="K196" s="143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144"/>
      <c r="B197" s="139"/>
      <c r="C197" s="139"/>
      <c r="D197" s="139"/>
      <c r="E197" s="139"/>
      <c r="F197" s="44"/>
      <c r="G197" s="44"/>
      <c r="H197" s="44"/>
      <c r="I197" s="44"/>
      <c r="J197" s="145"/>
      <c r="K197" s="143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144"/>
      <c r="B198" s="139"/>
      <c r="C198" s="139"/>
      <c r="D198" s="139"/>
      <c r="E198" s="139"/>
      <c r="F198" s="44"/>
      <c r="G198" s="44"/>
      <c r="H198" s="44"/>
      <c r="I198" s="44"/>
      <c r="J198" s="145"/>
      <c r="K198" s="143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144"/>
      <c r="B199" s="139"/>
      <c r="C199" s="139"/>
      <c r="D199" s="139"/>
      <c r="E199" s="139"/>
      <c r="F199" s="44"/>
      <c r="G199" s="44"/>
      <c r="H199" s="44"/>
      <c r="I199" s="44"/>
      <c r="J199" s="145"/>
      <c r="K199" s="143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144"/>
      <c r="B200" s="139"/>
      <c r="C200" s="139"/>
      <c r="D200" s="139"/>
      <c r="E200" s="139"/>
      <c r="F200" s="44"/>
      <c r="G200" s="44"/>
      <c r="H200" s="44"/>
      <c r="I200" s="44"/>
      <c r="J200" s="145"/>
      <c r="K200" s="143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144"/>
      <c r="B201" s="139"/>
      <c r="C201" s="139"/>
      <c r="D201" s="139"/>
      <c r="E201" s="139"/>
      <c r="F201" s="44"/>
      <c r="G201" s="44"/>
      <c r="H201" s="44"/>
      <c r="I201" s="44"/>
      <c r="J201" s="145"/>
      <c r="K201" s="143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144"/>
      <c r="B202" s="139"/>
      <c r="C202" s="139"/>
      <c r="D202" s="139"/>
      <c r="E202" s="139"/>
      <c r="F202" s="44"/>
      <c r="G202" s="44"/>
      <c r="H202" s="44"/>
      <c r="I202" s="44"/>
      <c r="J202" s="145"/>
      <c r="K202" s="143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144"/>
      <c r="B203" s="139"/>
      <c r="C203" s="139"/>
      <c r="D203" s="139"/>
      <c r="E203" s="139"/>
      <c r="F203" s="44"/>
      <c r="G203" s="44"/>
      <c r="H203" s="44"/>
      <c r="I203" s="44"/>
      <c r="J203" s="145"/>
      <c r="K203" s="143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144"/>
      <c r="B204" s="139"/>
      <c r="C204" s="139"/>
      <c r="D204" s="139"/>
      <c r="E204" s="139"/>
      <c r="F204" s="44"/>
      <c r="G204" s="44"/>
      <c r="H204" s="44"/>
      <c r="I204" s="44"/>
      <c r="J204" s="145"/>
      <c r="K204" s="143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144"/>
      <c r="B205" s="139"/>
      <c r="C205" s="139"/>
      <c r="D205" s="139"/>
      <c r="E205" s="139"/>
      <c r="F205" s="44"/>
      <c r="G205" s="44"/>
      <c r="H205" s="44"/>
      <c r="I205" s="44"/>
      <c r="J205" s="145"/>
      <c r="K205" s="143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144"/>
      <c r="B206" s="139"/>
      <c r="C206" s="139"/>
      <c r="D206" s="139"/>
      <c r="E206" s="139"/>
      <c r="F206" s="44"/>
      <c r="G206" s="44"/>
      <c r="H206" s="44"/>
      <c r="I206" s="44"/>
      <c r="J206" s="145"/>
      <c r="K206" s="143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144"/>
      <c r="B207" s="139"/>
      <c r="C207" s="139"/>
      <c r="D207" s="139"/>
      <c r="E207" s="139"/>
      <c r="F207" s="44"/>
      <c r="G207" s="44"/>
      <c r="H207" s="44"/>
      <c r="I207" s="44"/>
      <c r="J207" s="145"/>
      <c r="K207" s="143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144"/>
      <c r="B208" s="139"/>
      <c r="C208" s="139"/>
      <c r="D208" s="139"/>
      <c r="E208" s="139"/>
      <c r="F208" s="44"/>
      <c r="G208" s="44"/>
      <c r="H208" s="44"/>
      <c r="I208" s="44"/>
      <c r="J208" s="145"/>
      <c r="K208" s="143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144"/>
      <c r="B209" s="139"/>
      <c r="C209" s="139"/>
      <c r="D209" s="139"/>
      <c r="E209" s="139"/>
      <c r="F209" s="44"/>
      <c r="G209" s="44"/>
      <c r="H209" s="44"/>
      <c r="I209" s="44"/>
      <c r="J209" s="145"/>
      <c r="K209" s="143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144"/>
      <c r="B210" s="139"/>
      <c r="C210" s="139"/>
      <c r="D210" s="139"/>
      <c r="E210" s="139"/>
      <c r="F210" s="44"/>
      <c r="G210" s="44"/>
      <c r="H210" s="44"/>
      <c r="I210" s="44"/>
      <c r="J210" s="145"/>
      <c r="K210" s="143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144"/>
      <c r="B211" s="139"/>
      <c r="C211" s="139"/>
      <c r="D211" s="139"/>
      <c r="E211" s="139"/>
      <c r="F211" s="44"/>
      <c r="G211" s="44"/>
      <c r="H211" s="44"/>
      <c r="I211" s="44"/>
      <c r="J211" s="145"/>
      <c r="K211" s="143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144"/>
      <c r="B212" s="139"/>
      <c r="C212" s="139"/>
      <c r="D212" s="139"/>
      <c r="E212" s="139"/>
      <c r="F212" s="44"/>
      <c r="G212" s="44"/>
      <c r="H212" s="44"/>
      <c r="I212" s="44"/>
      <c r="J212" s="145"/>
      <c r="K212" s="143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144"/>
      <c r="B213" s="139"/>
      <c r="C213" s="139"/>
      <c r="D213" s="139"/>
      <c r="E213" s="139"/>
      <c r="F213" s="44"/>
      <c r="G213" s="44"/>
      <c r="H213" s="44"/>
      <c r="I213" s="44"/>
      <c r="J213" s="145"/>
      <c r="K213" s="143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144"/>
      <c r="B214" s="139"/>
      <c r="C214" s="139"/>
      <c r="D214" s="139"/>
      <c r="E214" s="139"/>
      <c r="F214" s="44"/>
      <c r="G214" s="44"/>
      <c r="H214" s="44"/>
      <c r="I214" s="44"/>
      <c r="J214" s="145"/>
      <c r="K214" s="143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144"/>
      <c r="B215" s="139"/>
      <c r="C215" s="139"/>
      <c r="D215" s="139"/>
      <c r="E215" s="139"/>
      <c r="F215" s="44"/>
      <c r="G215" s="44"/>
      <c r="H215" s="44"/>
      <c r="I215" s="44"/>
      <c r="J215" s="145"/>
      <c r="K215" s="143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144"/>
      <c r="B216" s="139"/>
      <c r="C216" s="139"/>
      <c r="D216" s="139"/>
      <c r="E216" s="139"/>
      <c r="F216" s="44"/>
      <c r="G216" s="44"/>
      <c r="H216" s="44"/>
      <c r="I216" s="44"/>
      <c r="J216" s="145"/>
      <c r="K216" s="143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144"/>
      <c r="B217" s="139"/>
      <c r="C217" s="139"/>
      <c r="D217" s="139"/>
      <c r="E217" s="139"/>
      <c r="F217" s="44"/>
      <c r="G217" s="44"/>
      <c r="H217" s="44"/>
      <c r="I217" s="44"/>
      <c r="J217" s="145"/>
      <c r="K217" s="143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144"/>
      <c r="B218" s="139"/>
      <c r="C218" s="139"/>
      <c r="D218" s="139"/>
      <c r="E218" s="139"/>
      <c r="F218" s="44"/>
      <c r="G218" s="44"/>
      <c r="H218" s="44"/>
      <c r="I218" s="44"/>
      <c r="J218" s="145"/>
      <c r="K218" s="143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144"/>
      <c r="B219" s="139"/>
      <c r="C219" s="139"/>
      <c r="D219" s="139"/>
      <c r="E219" s="139"/>
      <c r="F219" s="44"/>
      <c r="G219" s="44"/>
      <c r="H219" s="44"/>
      <c r="I219" s="44"/>
      <c r="J219" s="145"/>
      <c r="K219" s="143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144"/>
      <c r="B220" s="139"/>
      <c r="C220" s="139"/>
      <c r="D220" s="139"/>
      <c r="E220" s="139"/>
      <c r="F220" s="44"/>
      <c r="G220" s="44"/>
      <c r="H220" s="44"/>
      <c r="I220" s="44"/>
      <c r="J220" s="145"/>
      <c r="K220" s="143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144"/>
      <c r="B221" s="139"/>
      <c r="C221" s="139"/>
      <c r="D221" s="139"/>
      <c r="E221" s="139"/>
      <c r="F221" s="44"/>
      <c r="G221" s="44"/>
      <c r="H221" s="44"/>
      <c r="I221" s="44"/>
      <c r="J221" s="145"/>
      <c r="K221" s="143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144"/>
      <c r="B222" s="139"/>
      <c r="C222" s="139"/>
      <c r="D222" s="139"/>
      <c r="E222" s="139"/>
      <c r="F222" s="44"/>
      <c r="G222" s="44"/>
      <c r="H222" s="44"/>
      <c r="I222" s="44"/>
      <c r="J222" s="145"/>
      <c r="K222" s="143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144"/>
      <c r="B223" s="139"/>
      <c r="C223" s="139"/>
      <c r="D223" s="139"/>
      <c r="E223" s="139"/>
      <c r="F223" s="44"/>
      <c r="G223" s="44"/>
      <c r="H223" s="44"/>
      <c r="I223" s="44"/>
      <c r="J223" s="145"/>
      <c r="K223" s="143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144"/>
      <c r="B224" s="139"/>
      <c r="C224" s="139"/>
      <c r="D224" s="139"/>
      <c r="E224" s="139"/>
      <c r="F224" s="44"/>
      <c r="G224" s="44"/>
      <c r="H224" s="44"/>
      <c r="I224" s="44"/>
      <c r="J224" s="145"/>
      <c r="K224" s="143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144"/>
      <c r="B225" s="139"/>
      <c r="C225" s="139"/>
      <c r="D225" s="139"/>
      <c r="E225" s="139"/>
      <c r="F225" s="44"/>
      <c r="G225" s="44"/>
      <c r="H225" s="44"/>
      <c r="I225" s="44"/>
      <c r="J225" s="145"/>
      <c r="K225" s="143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144"/>
      <c r="B226" s="139"/>
      <c r="C226" s="139"/>
      <c r="D226" s="139"/>
      <c r="E226" s="139"/>
      <c r="F226" s="44"/>
      <c r="G226" s="44"/>
      <c r="H226" s="44"/>
      <c r="I226" s="44"/>
      <c r="J226" s="145"/>
      <c r="K226" s="143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144"/>
      <c r="B227" s="139"/>
      <c r="C227" s="139"/>
      <c r="D227" s="139"/>
      <c r="E227" s="139"/>
      <c r="F227" s="44"/>
      <c r="G227" s="44"/>
      <c r="H227" s="44"/>
      <c r="I227" s="44"/>
      <c r="J227" s="145"/>
      <c r="K227" s="143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144"/>
      <c r="B228" s="139"/>
      <c r="C228" s="139"/>
      <c r="D228" s="139"/>
      <c r="E228" s="139"/>
      <c r="F228" s="44"/>
      <c r="G228" s="44"/>
      <c r="H228" s="44"/>
      <c r="I228" s="44"/>
      <c r="J228" s="145"/>
      <c r="K228" s="143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144"/>
      <c r="B229" s="139"/>
      <c r="C229" s="139"/>
      <c r="D229" s="139"/>
      <c r="E229" s="139"/>
      <c r="F229" s="44"/>
      <c r="G229" s="44"/>
      <c r="H229" s="44"/>
      <c r="I229" s="44"/>
      <c r="J229" s="145"/>
      <c r="K229" s="143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144"/>
      <c r="B230" s="139"/>
      <c r="C230" s="139"/>
      <c r="D230" s="139"/>
      <c r="E230" s="139"/>
      <c r="F230" s="44"/>
      <c r="G230" s="44"/>
      <c r="H230" s="44"/>
      <c r="I230" s="44"/>
      <c r="J230" s="145"/>
      <c r="K230" s="143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144"/>
      <c r="B231" s="139"/>
      <c r="C231" s="139"/>
      <c r="D231" s="139"/>
      <c r="E231" s="139"/>
      <c r="F231" s="44"/>
      <c r="G231" s="44"/>
      <c r="H231" s="44"/>
      <c r="I231" s="44"/>
      <c r="J231" s="145"/>
      <c r="K231" s="143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144"/>
      <c r="B232" s="139"/>
      <c r="C232" s="139"/>
      <c r="D232" s="139"/>
      <c r="E232" s="139"/>
      <c r="F232" s="44"/>
      <c r="G232" s="44"/>
      <c r="H232" s="44"/>
      <c r="I232" s="44"/>
      <c r="J232" s="145"/>
      <c r="K232" s="143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144"/>
      <c r="B233" s="139"/>
      <c r="C233" s="139"/>
      <c r="D233" s="139"/>
      <c r="E233" s="139"/>
      <c r="F233" s="44"/>
      <c r="G233" s="44"/>
      <c r="H233" s="44"/>
      <c r="I233" s="44"/>
      <c r="J233" s="145"/>
      <c r="K233" s="143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144"/>
      <c r="B234" s="139"/>
      <c r="C234" s="139"/>
      <c r="D234" s="139"/>
      <c r="E234" s="139"/>
      <c r="F234" s="44"/>
      <c r="G234" s="44"/>
      <c r="H234" s="44"/>
      <c r="I234" s="44"/>
      <c r="J234" s="145"/>
      <c r="K234" s="143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144"/>
      <c r="B235" s="139"/>
      <c r="C235" s="139"/>
      <c r="D235" s="139"/>
      <c r="E235" s="139"/>
      <c r="F235" s="44"/>
      <c r="G235" s="44"/>
      <c r="H235" s="44"/>
      <c r="I235" s="44"/>
      <c r="J235" s="145"/>
      <c r="K235" s="143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144"/>
      <c r="B236" s="139"/>
      <c r="C236" s="139"/>
      <c r="D236" s="139"/>
      <c r="E236" s="139"/>
      <c r="F236" s="44"/>
      <c r="G236" s="44"/>
      <c r="H236" s="44"/>
      <c r="I236" s="44"/>
      <c r="J236" s="145"/>
      <c r="K236" s="143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144"/>
      <c r="B237" s="139"/>
      <c r="C237" s="139"/>
      <c r="D237" s="139"/>
      <c r="E237" s="139"/>
      <c r="F237" s="44"/>
      <c r="G237" s="44"/>
      <c r="H237" s="44"/>
      <c r="I237" s="44"/>
      <c r="J237" s="145"/>
      <c r="K237" s="143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144"/>
      <c r="B238" s="139"/>
      <c r="C238" s="139"/>
      <c r="D238" s="139"/>
      <c r="E238" s="139"/>
      <c r="F238" s="44"/>
      <c r="G238" s="44"/>
      <c r="H238" s="44"/>
      <c r="I238" s="44"/>
      <c r="J238" s="145"/>
      <c r="K238" s="143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144"/>
      <c r="B239" s="139"/>
      <c r="C239" s="139"/>
      <c r="D239" s="139"/>
      <c r="E239" s="139"/>
      <c r="F239" s="44"/>
      <c r="G239" s="44"/>
      <c r="H239" s="44"/>
      <c r="I239" s="44"/>
      <c r="J239" s="145"/>
      <c r="K239" s="143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144"/>
      <c r="B240" s="139"/>
      <c r="C240" s="139"/>
      <c r="D240" s="139"/>
      <c r="E240" s="139"/>
      <c r="F240" s="44"/>
      <c r="G240" s="44"/>
      <c r="H240" s="44"/>
      <c r="I240" s="44"/>
      <c r="J240" s="145"/>
      <c r="K240" s="143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144"/>
      <c r="B241" s="139"/>
      <c r="C241" s="139"/>
      <c r="D241" s="139"/>
      <c r="E241" s="139"/>
      <c r="F241" s="44"/>
      <c r="G241" s="44"/>
      <c r="H241" s="44"/>
      <c r="I241" s="44"/>
      <c r="J241" s="145"/>
      <c r="K241" s="143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144"/>
      <c r="B242" s="139"/>
      <c r="C242" s="139"/>
      <c r="D242" s="139"/>
      <c r="E242" s="139"/>
      <c r="F242" s="44"/>
      <c r="G242" s="44"/>
      <c r="H242" s="44"/>
      <c r="I242" s="44"/>
      <c r="J242" s="145"/>
      <c r="K242" s="143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144"/>
      <c r="B243" s="139"/>
      <c r="C243" s="139"/>
      <c r="D243" s="139"/>
      <c r="E243" s="139"/>
      <c r="F243" s="44"/>
      <c r="G243" s="44"/>
      <c r="H243" s="44"/>
      <c r="I243" s="44"/>
      <c r="J243" s="145"/>
      <c r="K243" s="143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144"/>
      <c r="B244" s="139"/>
      <c r="C244" s="139"/>
      <c r="D244" s="139"/>
      <c r="E244" s="139"/>
      <c r="F244" s="44"/>
      <c r="G244" s="44"/>
      <c r="H244" s="44"/>
      <c r="I244" s="44"/>
      <c r="J244" s="145"/>
      <c r="K244" s="143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144"/>
      <c r="B245" s="139"/>
      <c r="C245" s="139"/>
      <c r="D245" s="139"/>
      <c r="E245" s="139"/>
      <c r="F245" s="44"/>
      <c r="G245" s="44"/>
      <c r="H245" s="44"/>
      <c r="I245" s="44"/>
      <c r="J245" s="145"/>
      <c r="K245" s="143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144"/>
      <c r="B246" s="139"/>
      <c r="C246" s="139"/>
      <c r="D246" s="139"/>
      <c r="E246" s="139"/>
      <c r="F246" s="44"/>
      <c r="G246" s="44"/>
      <c r="H246" s="44"/>
      <c r="I246" s="44"/>
      <c r="J246" s="145"/>
      <c r="K246" s="143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144"/>
      <c r="B247" s="139"/>
      <c r="C247" s="139"/>
      <c r="D247" s="139"/>
      <c r="E247" s="139"/>
      <c r="F247" s="44"/>
      <c r="G247" s="44"/>
      <c r="H247" s="44"/>
      <c r="I247" s="44"/>
      <c r="J247" s="145"/>
      <c r="K247" s="143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144"/>
      <c r="B248" s="139"/>
      <c r="C248" s="139"/>
      <c r="D248" s="139"/>
      <c r="E248" s="139"/>
      <c r="F248" s="44"/>
      <c r="G248" s="44"/>
      <c r="H248" s="44"/>
      <c r="I248" s="44"/>
      <c r="J248" s="145"/>
      <c r="K248" s="143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144"/>
      <c r="B249" s="139"/>
      <c r="C249" s="139"/>
      <c r="D249" s="139"/>
      <c r="E249" s="139"/>
      <c r="F249" s="44"/>
      <c r="G249" s="44"/>
      <c r="H249" s="44"/>
      <c r="I249" s="44"/>
      <c r="J249" s="145"/>
      <c r="K249" s="143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144"/>
      <c r="B250" s="139"/>
      <c r="C250" s="139"/>
      <c r="D250" s="139"/>
      <c r="E250" s="139"/>
      <c r="F250" s="44"/>
      <c r="G250" s="44"/>
      <c r="H250" s="44"/>
      <c r="I250" s="44"/>
      <c r="J250" s="145"/>
      <c r="K250" s="143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144"/>
      <c r="B251" s="139"/>
      <c r="C251" s="139"/>
      <c r="D251" s="139"/>
      <c r="E251" s="139"/>
      <c r="F251" s="44"/>
      <c r="G251" s="44"/>
      <c r="H251" s="44"/>
      <c r="I251" s="44"/>
      <c r="J251" s="145"/>
      <c r="K251" s="143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144"/>
      <c r="B252" s="139"/>
      <c r="C252" s="139"/>
      <c r="D252" s="139"/>
      <c r="E252" s="139"/>
      <c r="F252" s="44"/>
      <c r="G252" s="44"/>
      <c r="H252" s="44"/>
      <c r="I252" s="44"/>
      <c r="J252" s="145"/>
      <c r="K252" s="143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144"/>
      <c r="B253" s="139"/>
      <c r="C253" s="139"/>
      <c r="D253" s="139"/>
      <c r="E253" s="139"/>
      <c r="F253" s="44"/>
      <c r="G253" s="44"/>
      <c r="H253" s="44"/>
      <c r="I253" s="44"/>
      <c r="J253" s="145"/>
      <c r="K253" s="143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144"/>
      <c r="B254" s="139"/>
      <c r="C254" s="139"/>
      <c r="D254" s="139"/>
      <c r="E254" s="139"/>
      <c r="F254" s="44"/>
      <c r="G254" s="44"/>
      <c r="H254" s="44"/>
      <c r="I254" s="44"/>
      <c r="J254" s="145"/>
      <c r="K254" s="143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144"/>
      <c r="B255" s="139"/>
      <c r="C255" s="139"/>
      <c r="D255" s="139"/>
      <c r="E255" s="139"/>
      <c r="F255" s="44"/>
      <c r="G255" s="44"/>
      <c r="H255" s="44"/>
      <c r="I255" s="44"/>
      <c r="J255" s="145"/>
      <c r="K255" s="143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144"/>
      <c r="B256" s="139"/>
      <c r="C256" s="139"/>
      <c r="D256" s="139"/>
      <c r="E256" s="139"/>
      <c r="F256" s="44"/>
      <c r="G256" s="44"/>
      <c r="H256" s="44"/>
      <c r="I256" s="44"/>
      <c r="J256" s="145"/>
      <c r="K256" s="143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144"/>
      <c r="B257" s="139"/>
      <c r="C257" s="139"/>
      <c r="D257" s="139"/>
      <c r="E257" s="139"/>
      <c r="F257" s="44"/>
      <c r="G257" s="44"/>
      <c r="H257" s="44"/>
      <c r="I257" s="44"/>
      <c r="J257" s="145"/>
      <c r="K257" s="143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144"/>
      <c r="B258" s="139"/>
      <c r="C258" s="139"/>
      <c r="D258" s="139"/>
      <c r="E258" s="139"/>
      <c r="F258" s="44"/>
      <c r="G258" s="44"/>
      <c r="H258" s="44"/>
      <c r="I258" s="44"/>
      <c r="J258" s="145"/>
      <c r="K258" s="143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144"/>
      <c r="B259" s="139"/>
      <c r="C259" s="139"/>
      <c r="D259" s="139"/>
      <c r="E259" s="139"/>
      <c r="F259" s="44"/>
      <c r="G259" s="44"/>
      <c r="H259" s="44"/>
      <c r="I259" s="44"/>
      <c r="J259" s="145"/>
      <c r="K259" s="143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144"/>
      <c r="B260" s="139"/>
      <c r="C260" s="139"/>
      <c r="D260" s="139"/>
      <c r="E260" s="139"/>
      <c r="F260" s="44"/>
      <c r="G260" s="44"/>
      <c r="H260" s="44"/>
      <c r="I260" s="44"/>
      <c r="J260" s="145"/>
      <c r="K260" s="143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144"/>
      <c r="B261" s="139"/>
      <c r="C261" s="139"/>
      <c r="D261" s="139"/>
      <c r="E261" s="139"/>
      <c r="F261" s="44"/>
      <c r="G261" s="44"/>
      <c r="H261" s="44"/>
      <c r="I261" s="44"/>
      <c r="J261" s="145"/>
      <c r="K261" s="143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144"/>
      <c r="B262" s="139"/>
      <c r="C262" s="139"/>
      <c r="D262" s="139"/>
      <c r="E262" s="139"/>
      <c r="F262" s="44"/>
      <c r="G262" s="44"/>
      <c r="H262" s="44"/>
      <c r="I262" s="44"/>
      <c r="J262" s="145"/>
      <c r="K262" s="143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144"/>
      <c r="B263" s="139"/>
      <c r="C263" s="139"/>
      <c r="D263" s="139"/>
      <c r="E263" s="139"/>
      <c r="F263" s="44"/>
      <c r="G263" s="44"/>
      <c r="H263" s="44"/>
      <c r="I263" s="44"/>
      <c r="J263" s="145"/>
      <c r="K263" s="143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144"/>
      <c r="B264" s="139"/>
      <c r="C264" s="139"/>
      <c r="D264" s="139"/>
      <c r="E264" s="139"/>
      <c r="F264" s="44"/>
      <c r="G264" s="44"/>
      <c r="H264" s="44"/>
      <c r="I264" s="44"/>
      <c r="J264" s="145"/>
      <c r="K264" s="143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144"/>
      <c r="B265" s="139"/>
      <c r="C265" s="139"/>
      <c r="D265" s="139"/>
      <c r="E265" s="139"/>
      <c r="F265" s="44"/>
      <c r="G265" s="44"/>
      <c r="H265" s="44"/>
      <c r="I265" s="44"/>
      <c r="J265" s="145"/>
      <c r="K265" s="143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144"/>
      <c r="B266" s="139"/>
      <c r="C266" s="139"/>
      <c r="D266" s="139"/>
      <c r="E266" s="139"/>
      <c r="F266" s="44"/>
      <c r="G266" s="44"/>
      <c r="H266" s="44"/>
      <c r="I266" s="44"/>
      <c r="J266" s="145"/>
      <c r="K266" s="143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144"/>
      <c r="B267" s="139"/>
      <c r="C267" s="139"/>
      <c r="D267" s="139"/>
      <c r="E267" s="139"/>
      <c r="F267" s="44"/>
      <c r="G267" s="44"/>
      <c r="H267" s="44"/>
      <c r="I267" s="44"/>
      <c r="J267" s="145"/>
      <c r="K267" s="143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144"/>
      <c r="B268" s="139"/>
      <c r="C268" s="139"/>
      <c r="D268" s="139"/>
      <c r="E268" s="139"/>
      <c r="F268" s="44"/>
      <c r="G268" s="44"/>
      <c r="H268" s="44"/>
      <c r="I268" s="44"/>
      <c r="J268" s="145"/>
      <c r="K268" s="143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144"/>
      <c r="B269" s="139"/>
      <c r="C269" s="139"/>
      <c r="D269" s="139"/>
      <c r="E269" s="139"/>
      <c r="F269" s="44"/>
      <c r="G269" s="44"/>
      <c r="H269" s="44"/>
      <c r="I269" s="44"/>
      <c r="J269" s="145"/>
      <c r="K269" s="143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144"/>
      <c r="B270" s="139"/>
      <c r="C270" s="139"/>
      <c r="D270" s="139"/>
      <c r="E270" s="139"/>
      <c r="F270" s="44"/>
      <c r="G270" s="44"/>
      <c r="H270" s="44"/>
      <c r="I270" s="44"/>
      <c r="J270" s="145"/>
      <c r="K270" s="143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144"/>
      <c r="B271" s="139"/>
      <c r="C271" s="139"/>
      <c r="D271" s="139"/>
      <c r="E271" s="139"/>
      <c r="F271" s="44"/>
      <c r="G271" s="44"/>
      <c r="H271" s="44"/>
      <c r="I271" s="44"/>
      <c r="J271" s="145"/>
      <c r="K271" s="143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144"/>
      <c r="B272" s="139"/>
      <c r="C272" s="139"/>
      <c r="D272" s="139"/>
      <c r="E272" s="139"/>
      <c r="F272" s="44"/>
      <c r="G272" s="44"/>
      <c r="H272" s="44"/>
      <c r="I272" s="44"/>
      <c r="J272" s="145"/>
      <c r="K272" s="143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144"/>
      <c r="B273" s="139"/>
      <c r="C273" s="139"/>
      <c r="D273" s="139"/>
      <c r="E273" s="139"/>
      <c r="F273" s="44"/>
      <c r="G273" s="44"/>
      <c r="H273" s="44"/>
      <c r="I273" s="44"/>
      <c r="J273" s="145"/>
      <c r="K273" s="143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144"/>
      <c r="B274" s="139"/>
      <c r="C274" s="139"/>
      <c r="D274" s="139"/>
      <c r="E274" s="139"/>
      <c r="F274" s="44"/>
      <c r="G274" s="44"/>
      <c r="H274" s="44"/>
      <c r="I274" s="44"/>
      <c r="J274" s="145"/>
      <c r="K274" s="143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144"/>
      <c r="B275" s="139"/>
      <c r="C275" s="139"/>
      <c r="D275" s="139"/>
      <c r="E275" s="139"/>
      <c r="F275" s="44"/>
      <c r="G275" s="44"/>
      <c r="H275" s="44"/>
      <c r="I275" s="44"/>
      <c r="J275" s="145"/>
      <c r="K275" s="143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144"/>
      <c r="B276" s="139"/>
      <c r="C276" s="139"/>
      <c r="D276" s="139"/>
      <c r="E276" s="139"/>
      <c r="F276" s="44"/>
      <c r="G276" s="44"/>
      <c r="H276" s="44"/>
      <c r="I276" s="44"/>
      <c r="J276" s="145"/>
      <c r="K276" s="143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144"/>
      <c r="B277" s="139"/>
      <c r="C277" s="139"/>
      <c r="D277" s="139"/>
      <c r="E277" s="139"/>
      <c r="F277" s="44"/>
      <c r="G277" s="44"/>
      <c r="H277" s="44"/>
      <c r="I277" s="44"/>
      <c r="J277" s="145"/>
      <c r="K277" s="143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144"/>
      <c r="B278" s="139"/>
      <c r="C278" s="139"/>
      <c r="D278" s="139"/>
      <c r="E278" s="139"/>
      <c r="F278" s="44"/>
      <c r="G278" s="44"/>
      <c r="H278" s="44"/>
      <c r="I278" s="44"/>
      <c r="J278" s="145"/>
      <c r="K278" s="143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144"/>
      <c r="B279" s="139"/>
      <c r="C279" s="139"/>
      <c r="D279" s="139"/>
      <c r="E279" s="139"/>
      <c r="F279" s="44"/>
      <c r="G279" s="44"/>
      <c r="H279" s="44"/>
      <c r="I279" s="44"/>
      <c r="J279" s="145"/>
      <c r="K279" s="143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144"/>
      <c r="B280" s="139"/>
      <c r="C280" s="139"/>
      <c r="D280" s="139"/>
      <c r="E280" s="139"/>
      <c r="F280" s="44"/>
      <c r="G280" s="44"/>
      <c r="H280" s="44"/>
      <c r="I280" s="44"/>
      <c r="J280" s="145"/>
      <c r="K280" s="143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144"/>
      <c r="B281" s="139"/>
      <c r="C281" s="139"/>
      <c r="D281" s="139"/>
      <c r="E281" s="139"/>
      <c r="F281" s="44"/>
      <c r="G281" s="44"/>
      <c r="H281" s="44"/>
      <c r="I281" s="44"/>
      <c r="J281" s="145"/>
      <c r="K281" s="143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144"/>
      <c r="B282" s="139"/>
      <c r="C282" s="139"/>
      <c r="D282" s="139"/>
      <c r="E282" s="139"/>
      <c r="F282" s="44"/>
      <c r="G282" s="44"/>
      <c r="H282" s="44"/>
      <c r="I282" s="44"/>
      <c r="J282" s="145"/>
      <c r="K282" s="143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144"/>
      <c r="B283" s="139"/>
      <c r="C283" s="139"/>
      <c r="D283" s="139"/>
      <c r="E283" s="139"/>
      <c r="F283" s="44"/>
      <c r="G283" s="44"/>
      <c r="H283" s="44"/>
      <c r="I283" s="44"/>
      <c r="J283" s="145"/>
      <c r="K283" s="143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144"/>
      <c r="B284" s="139"/>
      <c r="C284" s="139"/>
      <c r="D284" s="139"/>
      <c r="E284" s="139"/>
      <c r="F284" s="44"/>
      <c r="G284" s="44"/>
      <c r="H284" s="44"/>
      <c r="I284" s="44"/>
      <c r="J284" s="145"/>
      <c r="K284" s="143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144"/>
      <c r="B285" s="139"/>
      <c r="C285" s="139"/>
      <c r="D285" s="139"/>
      <c r="E285" s="139"/>
      <c r="F285" s="44"/>
      <c r="G285" s="44"/>
      <c r="H285" s="44"/>
      <c r="I285" s="44"/>
      <c r="J285" s="145"/>
      <c r="K285" s="143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144"/>
      <c r="B286" s="139"/>
      <c r="C286" s="139"/>
      <c r="D286" s="139"/>
      <c r="E286" s="139"/>
      <c r="F286" s="44"/>
      <c r="G286" s="44"/>
      <c r="H286" s="44"/>
      <c r="I286" s="44"/>
      <c r="J286" s="145"/>
      <c r="K286" s="143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144"/>
      <c r="B287" s="139"/>
      <c r="C287" s="139"/>
      <c r="D287" s="139"/>
      <c r="E287" s="139"/>
      <c r="F287" s="44"/>
      <c r="G287" s="44"/>
      <c r="H287" s="44"/>
      <c r="I287" s="44"/>
      <c r="J287" s="145"/>
      <c r="K287" s="143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144"/>
      <c r="B288" s="139"/>
      <c r="C288" s="139"/>
      <c r="D288" s="139"/>
      <c r="E288" s="139"/>
      <c r="F288" s="44"/>
      <c r="G288" s="44"/>
      <c r="H288" s="44"/>
      <c r="I288" s="44"/>
      <c r="J288" s="145"/>
      <c r="K288" s="143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144"/>
      <c r="B289" s="139"/>
      <c r="C289" s="139"/>
      <c r="D289" s="139"/>
      <c r="E289" s="139"/>
      <c r="F289" s="44"/>
      <c r="G289" s="44"/>
      <c r="H289" s="44"/>
      <c r="I289" s="44"/>
      <c r="J289" s="145"/>
      <c r="K289" s="143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144"/>
      <c r="B290" s="139"/>
      <c r="C290" s="139"/>
      <c r="D290" s="139"/>
      <c r="E290" s="139"/>
      <c r="F290" s="44"/>
      <c r="G290" s="44"/>
      <c r="H290" s="44"/>
      <c r="I290" s="44"/>
      <c r="J290" s="145"/>
      <c r="K290" s="143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144"/>
      <c r="B291" s="139"/>
      <c r="C291" s="139"/>
      <c r="D291" s="139"/>
      <c r="E291" s="139"/>
      <c r="F291" s="44"/>
      <c r="G291" s="44"/>
      <c r="H291" s="44"/>
      <c r="I291" s="44"/>
      <c r="J291" s="145"/>
      <c r="K291" s="143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144"/>
      <c r="B292" s="139"/>
      <c r="C292" s="139"/>
      <c r="D292" s="139"/>
      <c r="E292" s="139"/>
      <c r="F292" s="44"/>
      <c r="G292" s="44"/>
      <c r="H292" s="44"/>
      <c r="I292" s="44"/>
      <c r="J292" s="145"/>
      <c r="K292" s="143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144"/>
      <c r="B293" s="139"/>
      <c r="C293" s="139"/>
      <c r="D293" s="139"/>
      <c r="E293" s="139"/>
      <c r="F293" s="44"/>
      <c r="G293" s="44"/>
      <c r="H293" s="44"/>
      <c r="I293" s="44"/>
      <c r="J293" s="145"/>
      <c r="K293" s="143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144"/>
      <c r="B294" s="139"/>
      <c r="C294" s="139"/>
      <c r="D294" s="139"/>
      <c r="E294" s="139"/>
      <c r="F294" s="44"/>
      <c r="G294" s="44"/>
      <c r="H294" s="44"/>
      <c r="I294" s="44"/>
      <c r="J294" s="145"/>
      <c r="K294" s="143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144"/>
      <c r="B295" s="139"/>
      <c r="C295" s="139"/>
      <c r="D295" s="139"/>
      <c r="E295" s="139"/>
      <c r="F295" s="44"/>
      <c r="G295" s="44"/>
      <c r="H295" s="44"/>
      <c r="I295" s="44"/>
      <c r="J295" s="145"/>
      <c r="K295" s="143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144"/>
      <c r="B296" s="139"/>
      <c r="C296" s="139"/>
      <c r="D296" s="139"/>
      <c r="E296" s="139"/>
      <c r="F296" s="44"/>
      <c r="G296" s="44"/>
      <c r="H296" s="44"/>
      <c r="I296" s="44"/>
      <c r="J296" s="145"/>
      <c r="K296" s="143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144"/>
      <c r="B297" s="139"/>
      <c r="C297" s="139"/>
      <c r="D297" s="139"/>
      <c r="E297" s="139"/>
      <c r="F297" s="44"/>
      <c r="G297" s="44"/>
      <c r="H297" s="44"/>
      <c r="I297" s="44"/>
      <c r="J297" s="145"/>
      <c r="K297" s="143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144"/>
      <c r="B298" s="139"/>
      <c r="C298" s="139"/>
      <c r="D298" s="139"/>
      <c r="E298" s="139"/>
      <c r="F298" s="44"/>
      <c r="G298" s="44"/>
      <c r="H298" s="44"/>
      <c r="I298" s="44"/>
      <c r="J298" s="145"/>
      <c r="K298" s="143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144"/>
      <c r="B299" s="139"/>
      <c r="C299" s="139"/>
      <c r="D299" s="139"/>
      <c r="E299" s="139"/>
      <c r="F299" s="44"/>
      <c r="G299" s="44"/>
      <c r="H299" s="44"/>
      <c r="I299" s="44"/>
      <c r="J299" s="145"/>
      <c r="K299" s="143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144"/>
      <c r="B300" s="139"/>
      <c r="C300" s="139"/>
      <c r="D300" s="139"/>
      <c r="E300" s="139"/>
      <c r="F300" s="44"/>
      <c r="G300" s="44"/>
      <c r="H300" s="44"/>
      <c r="I300" s="44"/>
      <c r="J300" s="145"/>
      <c r="K300" s="143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144"/>
      <c r="B301" s="139"/>
      <c r="C301" s="139"/>
      <c r="D301" s="139"/>
      <c r="E301" s="139"/>
      <c r="F301" s="44"/>
      <c r="G301" s="44"/>
      <c r="H301" s="44"/>
      <c r="I301" s="44"/>
      <c r="J301" s="145"/>
      <c r="K301" s="143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144"/>
      <c r="B302" s="139"/>
      <c r="C302" s="139"/>
      <c r="D302" s="139"/>
      <c r="E302" s="139"/>
      <c r="F302" s="44"/>
      <c r="G302" s="44"/>
      <c r="H302" s="44"/>
      <c r="I302" s="44"/>
      <c r="J302" s="145"/>
      <c r="K302" s="143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144"/>
      <c r="B303" s="139"/>
      <c r="C303" s="139"/>
      <c r="D303" s="139"/>
      <c r="E303" s="139"/>
      <c r="F303" s="44"/>
      <c r="G303" s="44"/>
      <c r="H303" s="44"/>
      <c r="I303" s="44"/>
      <c r="J303" s="145"/>
      <c r="K303" s="143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144"/>
      <c r="B304" s="139"/>
      <c r="C304" s="139"/>
      <c r="D304" s="139"/>
      <c r="E304" s="139"/>
      <c r="F304" s="44"/>
      <c r="G304" s="44"/>
      <c r="H304" s="44"/>
      <c r="I304" s="44"/>
      <c r="J304" s="145"/>
      <c r="K304" s="143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144"/>
      <c r="B305" s="139"/>
      <c r="C305" s="139"/>
      <c r="D305" s="139"/>
      <c r="E305" s="139"/>
      <c r="F305" s="44"/>
      <c r="G305" s="44"/>
      <c r="H305" s="44"/>
      <c r="I305" s="44"/>
      <c r="J305" s="145"/>
      <c r="K305" s="143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144"/>
      <c r="B306" s="139"/>
      <c r="C306" s="139"/>
      <c r="D306" s="139"/>
      <c r="E306" s="139"/>
      <c r="F306" s="44"/>
      <c r="G306" s="44"/>
      <c r="H306" s="44"/>
      <c r="I306" s="44"/>
      <c r="J306" s="145"/>
      <c r="K306" s="143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144"/>
      <c r="B307" s="139"/>
      <c r="C307" s="139"/>
      <c r="D307" s="139"/>
      <c r="E307" s="139"/>
      <c r="F307" s="44"/>
      <c r="G307" s="44"/>
      <c r="H307" s="44"/>
      <c r="I307" s="44"/>
      <c r="J307" s="145"/>
      <c r="K307" s="143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144"/>
      <c r="B308" s="139"/>
      <c r="C308" s="139"/>
      <c r="D308" s="139"/>
      <c r="E308" s="139"/>
      <c r="F308" s="44"/>
      <c r="G308" s="44"/>
      <c r="H308" s="44"/>
      <c r="I308" s="44"/>
      <c r="J308" s="145"/>
      <c r="K308" s="143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144"/>
      <c r="B309" s="139"/>
      <c r="C309" s="139"/>
      <c r="D309" s="139"/>
      <c r="E309" s="139"/>
      <c r="F309" s="44"/>
      <c r="G309" s="44"/>
      <c r="H309" s="44"/>
      <c r="I309" s="44"/>
      <c r="J309" s="145"/>
      <c r="K309" s="143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144"/>
      <c r="B310" s="139"/>
      <c r="C310" s="139"/>
      <c r="D310" s="139"/>
      <c r="E310" s="139"/>
      <c r="F310" s="44"/>
      <c r="G310" s="44"/>
      <c r="H310" s="44"/>
      <c r="I310" s="44"/>
      <c r="J310" s="145"/>
      <c r="K310" s="143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144"/>
      <c r="B311" s="139"/>
      <c r="C311" s="139"/>
      <c r="D311" s="139"/>
      <c r="E311" s="139"/>
      <c r="F311" s="44"/>
      <c r="G311" s="44"/>
      <c r="H311" s="44"/>
      <c r="I311" s="44"/>
      <c r="J311" s="145"/>
      <c r="K311" s="143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144"/>
      <c r="B312" s="139"/>
      <c r="C312" s="139"/>
      <c r="D312" s="139"/>
      <c r="E312" s="139"/>
      <c r="F312" s="44"/>
      <c r="G312" s="44"/>
      <c r="H312" s="44"/>
      <c r="I312" s="44"/>
      <c r="J312" s="145"/>
      <c r="K312" s="143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144"/>
      <c r="B313" s="139"/>
      <c r="C313" s="139"/>
      <c r="D313" s="139"/>
      <c r="E313" s="139"/>
      <c r="F313" s="44"/>
      <c r="G313" s="44"/>
      <c r="H313" s="44"/>
      <c r="I313" s="44"/>
      <c r="J313" s="145"/>
      <c r="K313" s="143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144"/>
      <c r="B314" s="139"/>
      <c r="C314" s="139"/>
      <c r="D314" s="139"/>
      <c r="E314" s="139"/>
      <c r="F314" s="44"/>
      <c r="G314" s="44"/>
      <c r="H314" s="44"/>
      <c r="I314" s="44"/>
      <c r="J314" s="145"/>
      <c r="K314" s="143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144"/>
      <c r="B315" s="139"/>
      <c r="C315" s="139"/>
      <c r="D315" s="139"/>
      <c r="E315" s="139"/>
      <c r="F315" s="44"/>
      <c r="G315" s="44"/>
      <c r="H315" s="44"/>
      <c r="I315" s="44"/>
      <c r="J315" s="145"/>
      <c r="K315" s="143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144"/>
      <c r="B316" s="139"/>
      <c r="C316" s="139"/>
      <c r="D316" s="139"/>
      <c r="E316" s="139"/>
      <c r="F316" s="44"/>
      <c r="G316" s="44"/>
      <c r="H316" s="44"/>
      <c r="I316" s="44"/>
      <c r="J316" s="145"/>
      <c r="K316" s="143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144"/>
      <c r="B317" s="139"/>
      <c r="C317" s="139"/>
      <c r="D317" s="139"/>
      <c r="E317" s="139"/>
      <c r="F317" s="44"/>
      <c r="G317" s="44"/>
      <c r="H317" s="44"/>
      <c r="I317" s="44"/>
      <c r="J317" s="145"/>
      <c r="K317" s="143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144"/>
      <c r="B318" s="139"/>
      <c r="C318" s="139"/>
      <c r="D318" s="139"/>
      <c r="E318" s="139"/>
      <c r="F318" s="44"/>
      <c r="G318" s="44"/>
      <c r="H318" s="44"/>
      <c r="I318" s="44"/>
      <c r="J318" s="145"/>
      <c r="K318" s="143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144"/>
      <c r="B319" s="139"/>
      <c r="C319" s="139"/>
      <c r="D319" s="139"/>
      <c r="E319" s="139"/>
      <c r="F319" s="44"/>
      <c r="G319" s="44"/>
      <c r="H319" s="44"/>
      <c r="I319" s="44"/>
      <c r="J319" s="145"/>
      <c r="K319" s="143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144"/>
      <c r="B320" s="139"/>
      <c r="C320" s="139"/>
      <c r="D320" s="139"/>
      <c r="E320" s="139"/>
      <c r="F320" s="44"/>
      <c r="G320" s="44"/>
      <c r="H320" s="44"/>
      <c r="I320" s="44"/>
      <c r="J320" s="145"/>
      <c r="K320" s="143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144"/>
      <c r="B321" s="139"/>
      <c r="C321" s="139"/>
      <c r="D321" s="139"/>
      <c r="E321" s="139"/>
      <c r="F321" s="44"/>
      <c r="G321" s="44"/>
      <c r="H321" s="44"/>
      <c r="I321" s="44"/>
      <c r="J321" s="145"/>
      <c r="K321" s="143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144"/>
      <c r="B322" s="139"/>
      <c r="C322" s="139"/>
      <c r="D322" s="139"/>
      <c r="E322" s="139"/>
      <c r="F322" s="44"/>
      <c r="G322" s="44"/>
      <c r="H322" s="44"/>
      <c r="I322" s="44"/>
      <c r="J322" s="145"/>
      <c r="K322" s="143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144"/>
      <c r="B323" s="139"/>
      <c r="C323" s="139"/>
      <c r="D323" s="139"/>
      <c r="E323" s="139"/>
      <c r="F323" s="44"/>
      <c r="G323" s="44"/>
      <c r="H323" s="44"/>
      <c r="I323" s="44"/>
      <c r="J323" s="145"/>
      <c r="K323" s="143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144"/>
      <c r="B324" s="139"/>
      <c r="C324" s="139"/>
      <c r="D324" s="139"/>
      <c r="E324" s="139"/>
      <c r="F324" s="44"/>
      <c r="G324" s="44"/>
      <c r="H324" s="44"/>
      <c r="I324" s="44"/>
      <c r="J324" s="145"/>
      <c r="K324" s="143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144"/>
      <c r="B325" s="139"/>
      <c r="C325" s="139"/>
      <c r="D325" s="139"/>
      <c r="E325" s="139"/>
      <c r="F325" s="44"/>
      <c r="G325" s="44"/>
      <c r="H325" s="44"/>
      <c r="I325" s="44"/>
      <c r="J325" s="145"/>
      <c r="K325" s="143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144"/>
      <c r="B326" s="139"/>
      <c r="C326" s="139"/>
      <c r="D326" s="139"/>
      <c r="E326" s="139"/>
      <c r="F326" s="44"/>
      <c r="G326" s="44"/>
      <c r="H326" s="44"/>
      <c r="I326" s="44"/>
      <c r="J326" s="145"/>
      <c r="K326" s="143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144"/>
      <c r="B327" s="139"/>
      <c r="C327" s="139"/>
      <c r="D327" s="139"/>
      <c r="E327" s="139"/>
      <c r="F327" s="44"/>
      <c r="G327" s="44"/>
      <c r="H327" s="44"/>
      <c r="I327" s="44"/>
      <c r="J327" s="145"/>
      <c r="K327" s="143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144"/>
      <c r="B328" s="139"/>
      <c r="C328" s="139"/>
      <c r="D328" s="139"/>
      <c r="E328" s="139"/>
      <c r="F328" s="44"/>
      <c r="G328" s="44"/>
      <c r="H328" s="44"/>
      <c r="I328" s="44"/>
      <c r="J328" s="145"/>
      <c r="K328" s="143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144"/>
      <c r="B329" s="139"/>
      <c r="C329" s="139"/>
      <c r="D329" s="139"/>
      <c r="E329" s="139"/>
      <c r="F329" s="44"/>
      <c r="G329" s="44"/>
      <c r="H329" s="44"/>
      <c r="I329" s="44"/>
      <c r="J329" s="145"/>
      <c r="K329" s="143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144"/>
      <c r="B330" s="139"/>
      <c r="C330" s="139"/>
      <c r="D330" s="139"/>
      <c r="E330" s="139"/>
      <c r="F330" s="44"/>
      <c r="G330" s="44"/>
      <c r="H330" s="44"/>
      <c r="I330" s="44"/>
      <c r="J330" s="145"/>
      <c r="K330" s="143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144"/>
      <c r="B331" s="139"/>
      <c r="C331" s="139"/>
      <c r="D331" s="139"/>
      <c r="E331" s="139"/>
      <c r="F331" s="44"/>
      <c r="G331" s="44"/>
      <c r="H331" s="44"/>
      <c r="I331" s="44"/>
      <c r="J331" s="145"/>
      <c r="K331" s="143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144"/>
      <c r="B332" s="139"/>
      <c r="C332" s="139"/>
      <c r="D332" s="139"/>
      <c r="E332" s="139"/>
      <c r="F332" s="44"/>
      <c r="G332" s="44"/>
      <c r="H332" s="44"/>
      <c r="I332" s="44"/>
      <c r="J332" s="145"/>
      <c r="K332" s="143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144"/>
      <c r="B333" s="139"/>
      <c r="C333" s="139"/>
      <c r="D333" s="139"/>
      <c r="E333" s="139"/>
      <c r="F333" s="44"/>
      <c r="G333" s="44"/>
      <c r="H333" s="44"/>
      <c r="I333" s="44"/>
      <c r="J333" s="145"/>
      <c r="K333" s="143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144"/>
      <c r="B334" s="139"/>
      <c r="C334" s="139"/>
      <c r="D334" s="139"/>
      <c r="E334" s="139"/>
      <c r="F334" s="44"/>
      <c r="G334" s="44"/>
      <c r="H334" s="44"/>
      <c r="I334" s="44"/>
      <c r="J334" s="145"/>
      <c r="K334" s="143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144"/>
      <c r="B335" s="139"/>
      <c r="C335" s="139"/>
      <c r="D335" s="139"/>
      <c r="E335" s="139"/>
      <c r="F335" s="44"/>
      <c r="G335" s="44"/>
      <c r="H335" s="44"/>
      <c r="I335" s="44"/>
      <c r="J335" s="145"/>
      <c r="K335" s="143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144"/>
      <c r="B336" s="139"/>
      <c r="C336" s="139"/>
      <c r="D336" s="139"/>
      <c r="E336" s="139"/>
      <c r="F336" s="44"/>
      <c r="G336" s="44"/>
      <c r="H336" s="44"/>
      <c r="I336" s="44"/>
      <c r="J336" s="145"/>
      <c r="K336" s="143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144"/>
      <c r="B337" s="139"/>
      <c r="C337" s="139"/>
      <c r="D337" s="139"/>
      <c r="E337" s="139"/>
      <c r="F337" s="44"/>
      <c r="G337" s="44"/>
      <c r="H337" s="44"/>
      <c r="I337" s="44"/>
      <c r="J337" s="145"/>
      <c r="K337" s="143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144"/>
      <c r="B338" s="139"/>
      <c r="C338" s="139"/>
      <c r="D338" s="139"/>
      <c r="E338" s="139"/>
      <c r="F338" s="44"/>
      <c r="G338" s="44"/>
      <c r="H338" s="44"/>
      <c r="I338" s="44"/>
      <c r="J338" s="145"/>
      <c r="K338" s="143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144"/>
      <c r="B339" s="139"/>
      <c r="C339" s="139"/>
      <c r="D339" s="139"/>
      <c r="E339" s="139"/>
      <c r="F339" s="44"/>
      <c r="G339" s="44"/>
      <c r="H339" s="44"/>
      <c r="I339" s="44"/>
      <c r="J339" s="145"/>
      <c r="K339" s="143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144"/>
      <c r="B340" s="139"/>
      <c r="C340" s="139"/>
      <c r="D340" s="139"/>
      <c r="E340" s="139"/>
      <c r="F340" s="44"/>
      <c r="G340" s="44"/>
      <c r="H340" s="44"/>
      <c r="I340" s="44"/>
      <c r="J340" s="145"/>
      <c r="K340" s="143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144"/>
      <c r="B341" s="139"/>
      <c r="C341" s="139"/>
      <c r="D341" s="139"/>
      <c r="E341" s="139"/>
      <c r="F341" s="44"/>
      <c r="G341" s="44"/>
      <c r="H341" s="44"/>
      <c r="I341" s="44"/>
      <c r="J341" s="145"/>
      <c r="K341" s="143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144"/>
      <c r="B342" s="139"/>
      <c r="C342" s="139"/>
      <c r="D342" s="139"/>
      <c r="E342" s="139"/>
      <c r="F342" s="44"/>
      <c r="G342" s="44"/>
      <c r="H342" s="44"/>
      <c r="I342" s="44"/>
      <c r="J342" s="145"/>
      <c r="K342" s="143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144"/>
      <c r="B343" s="139"/>
      <c r="C343" s="139"/>
      <c r="D343" s="139"/>
      <c r="E343" s="139"/>
      <c r="F343" s="44"/>
      <c r="G343" s="44"/>
      <c r="H343" s="44"/>
      <c r="I343" s="44"/>
      <c r="J343" s="145"/>
      <c r="K343" s="143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144"/>
      <c r="B344" s="139"/>
      <c r="C344" s="139"/>
      <c r="D344" s="139"/>
      <c r="E344" s="139"/>
      <c r="F344" s="44"/>
      <c r="G344" s="44"/>
      <c r="H344" s="44"/>
      <c r="I344" s="44"/>
      <c r="J344" s="145"/>
      <c r="K344" s="143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144"/>
      <c r="B345" s="139"/>
      <c r="C345" s="139"/>
      <c r="D345" s="139"/>
      <c r="E345" s="139"/>
      <c r="F345" s="44"/>
      <c r="G345" s="44"/>
      <c r="H345" s="44"/>
      <c r="I345" s="44"/>
      <c r="J345" s="145"/>
      <c r="K345" s="143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144"/>
      <c r="B346" s="139"/>
      <c r="C346" s="139"/>
      <c r="D346" s="139"/>
      <c r="E346" s="139"/>
      <c r="F346" s="44"/>
      <c r="G346" s="44"/>
      <c r="H346" s="44"/>
      <c r="I346" s="44"/>
      <c r="J346" s="145"/>
      <c r="K346" s="143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144"/>
      <c r="B347" s="139"/>
      <c r="C347" s="139"/>
      <c r="D347" s="139"/>
      <c r="E347" s="139"/>
      <c r="F347" s="44"/>
      <c r="G347" s="44"/>
      <c r="H347" s="44"/>
      <c r="I347" s="44"/>
      <c r="J347" s="145"/>
      <c r="K347" s="143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144"/>
      <c r="B348" s="139"/>
      <c r="C348" s="139"/>
      <c r="D348" s="139"/>
      <c r="E348" s="139"/>
      <c r="F348" s="44"/>
      <c r="G348" s="44"/>
      <c r="H348" s="44"/>
      <c r="I348" s="44"/>
      <c r="J348" s="145"/>
      <c r="K348" s="143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144"/>
      <c r="B349" s="139"/>
      <c r="C349" s="139"/>
      <c r="D349" s="139"/>
      <c r="E349" s="139"/>
      <c r="F349" s="44"/>
      <c r="G349" s="44"/>
      <c r="H349" s="44"/>
      <c r="I349" s="44"/>
      <c r="J349" s="145"/>
      <c r="K349" s="143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144"/>
      <c r="B350" s="139"/>
      <c r="C350" s="139"/>
      <c r="D350" s="139"/>
      <c r="E350" s="139"/>
      <c r="F350" s="44"/>
      <c r="G350" s="44"/>
      <c r="H350" s="44"/>
      <c r="I350" s="44"/>
      <c r="J350" s="145"/>
      <c r="K350" s="143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144"/>
      <c r="B351" s="139"/>
      <c r="C351" s="139"/>
      <c r="D351" s="139"/>
      <c r="E351" s="139"/>
      <c r="F351" s="44"/>
      <c r="G351" s="44"/>
      <c r="H351" s="44"/>
      <c r="I351" s="44"/>
      <c r="J351" s="145"/>
      <c r="K351" s="143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144"/>
      <c r="B352" s="139"/>
      <c r="C352" s="139"/>
      <c r="D352" s="139"/>
      <c r="E352" s="139"/>
      <c r="F352" s="44"/>
      <c r="G352" s="44"/>
      <c r="H352" s="44"/>
      <c r="I352" s="44"/>
      <c r="J352" s="145"/>
      <c r="K352" s="143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144"/>
      <c r="B353" s="139"/>
      <c r="C353" s="139"/>
      <c r="D353" s="139"/>
      <c r="E353" s="139"/>
      <c r="F353" s="44"/>
      <c r="G353" s="44"/>
      <c r="H353" s="44"/>
      <c r="I353" s="44"/>
      <c r="J353" s="145"/>
      <c r="K353" s="143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144"/>
      <c r="B354" s="139"/>
      <c r="C354" s="139"/>
      <c r="D354" s="139"/>
      <c r="E354" s="139"/>
      <c r="F354" s="44"/>
      <c r="G354" s="44"/>
      <c r="H354" s="44"/>
      <c r="I354" s="44"/>
      <c r="J354" s="145"/>
      <c r="K354" s="143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144"/>
      <c r="B355" s="139"/>
      <c r="C355" s="139"/>
      <c r="D355" s="139"/>
      <c r="E355" s="139"/>
      <c r="F355" s="44"/>
      <c r="G355" s="44"/>
      <c r="H355" s="44"/>
      <c r="I355" s="44"/>
      <c r="J355" s="145"/>
      <c r="K355" s="143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144"/>
      <c r="B356" s="139"/>
      <c r="C356" s="139"/>
      <c r="D356" s="139"/>
      <c r="E356" s="139"/>
      <c r="F356" s="44"/>
      <c r="G356" s="44"/>
      <c r="H356" s="44"/>
      <c r="I356" s="44"/>
      <c r="J356" s="145"/>
      <c r="K356" s="143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144"/>
      <c r="B357" s="139"/>
      <c r="C357" s="139"/>
      <c r="D357" s="139"/>
      <c r="E357" s="139"/>
      <c r="F357" s="44"/>
      <c r="G357" s="44"/>
      <c r="H357" s="44"/>
      <c r="I357" s="44"/>
      <c r="J357" s="145"/>
      <c r="K357" s="143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144"/>
      <c r="B358" s="139"/>
      <c r="C358" s="139"/>
      <c r="D358" s="139"/>
      <c r="E358" s="139"/>
      <c r="F358" s="44"/>
      <c r="G358" s="44"/>
      <c r="H358" s="44"/>
      <c r="I358" s="44"/>
      <c r="J358" s="145"/>
      <c r="K358" s="143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144"/>
      <c r="B359" s="139"/>
      <c r="C359" s="139"/>
      <c r="D359" s="139"/>
      <c r="E359" s="139"/>
      <c r="F359" s="44"/>
      <c r="G359" s="44"/>
      <c r="H359" s="44"/>
      <c r="I359" s="44"/>
      <c r="J359" s="145"/>
      <c r="K359" s="143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144"/>
      <c r="B360" s="139"/>
      <c r="C360" s="139"/>
      <c r="D360" s="139"/>
      <c r="E360" s="139"/>
      <c r="F360" s="44"/>
      <c r="G360" s="44"/>
      <c r="H360" s="44"/>
      <c r="I360" s="44"/>
      <c r="J360" s="145"/>
      <c r="K360" s="143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144"/>
      <c r="B361" s="139"/>
      <c r="C361" s="139"/>
      <c r="D361" s="139"/>
      <c r="E361" s="139"/>
      <c r="F361" s="44"/>
      <c r="G361" s="44"/>
      <c r="H361" s="44"/>
      <c r="I361" s="44"/>
      <c r="J361" s="145"/>
      <c r="K361" s="143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144"/>
      <c r="B362" s="139"/>
      <c r="C362" s="139"/>
      <c r="D362" s="139"/>
      <c r="E362" s="139"/>
      <c r="F362" s="44"/>
      <c r="G362" s="44"/>
      <c r="H362" s="44"/>
      <c r="I362" s="44"/>
      <c r="J362" s="145"/>
      <c r="K362" s="143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144"/>
      <c r="B363" s="139"/>
      <c r="C363" s="139"/>
      <c r="D363" s="139"/>
      <c r="E363" s="139"/>
      <c r="F363" s="44"/>
      <c r="G363" s="44"/>
      <c r="H363" s="44"/>
      <c r="I363" s="44"/>
      <c r="J363" s="145"/>
      <c r="K363" s="143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144"/>
      <c r="B364" s="139"/>
      <c r="C364" s="139"/>
      <c r="D364" s="139"/>
      <c r="E364" s="139"/>
      <c r="F364" s="44"/>
      <c r="G364" s="44"/>
      <c r="H364" s="44"/>
      <c r="I364" s="44"/>
      <c r="J364" s="145"/>
      <c r="K364" s="143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144"/>
      <c r="B365" s="139"/>
      <c r="C365" s="139"/>
      <c r="D365" s="139"/>
      <c r="E365" s="139"/>
      <c r="F365" s="44"/>
      <c r="G365" s="44"/>
      <c r="H365" s="44"/>
      <c r="I365" s="44"/>
      <c r="J365" s="145"/>
      <c r="K365" s="143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144"/>
      <c r="B366" s="139"/>
      <c r="C366" s="139"/>
      <c r="D366" s="139"/>
      <c r="E366" s="139"/>
      <c r="F366" s="44"/>
      <c r="G366" s="44"/>
      <c r="H366" s="44"/>
      <c r="I366" s="44"/>
      <c r="J366" s="145"/>
      <c r="K366" s="143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144"/>
      <c r="B367" s="139"/>
      <c r="C367" s="139"/>
      <c r="D367" s="139"/>
      <c r="E367" s="139"/>
      <c r="F367" s="44"/>
      <c r="G367" s="44"/>
      <c r="H367" s="44"/>
      <c r="I367" s="44"/>
      <c r="J367" s="145"/>
      <c r="K367" s="143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144"/>
      <c r="B368" s="139"/>
      <c r="C368" s="139"/>
      <c r="D368" s="139"/>
      <c r="E368" s="139"/>
      <c r="F368" s="44"/>
      <c r="G368" s="44"/>
      <c r="H368" s="44"/>
      <c r="I368" s="44"/>
      <c r="J368" s="145"/>
      <c r="K368" s="143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144"/>
      <c r="B369" s="139"/>
      <c r="C369" s="139"/>
      <c r="D369" s="139"/>
      <c r="E369" s="139"/>
      <c r="F369" s="44"/>
      <c r="G369" s="44"/>
      <c r="H369" s="44"/>
      <c r="I369" s="44"/>
      <c r="J369" s="145"/>
      <c r="K369" s="143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144"/>
      <c r="B370" s="139"/>
      <c r="C370" s="139"/>
      <c r="D370" s="139"/>
      <c r="E370" s="139"/>
      <c r="F370" s="44"/>
      <c r="G370" s="44"/>
      <c r="H370" s="44"/>
      <c r="I370" s="44"/>
      <c r="J370" s="145"/>
      <c r="K370" s="143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144"/>
      <c r="B371" s="139"/>
      <c r="C371" s="139"/>
      <c r="D371" s="139"/>
      <c r="E371" s="139"/>
      <c r="F371" s="44"/>
      <c r="G371" s="44"/>
      <c r="H371" s="44"/>
      <c r="I371" s="44"/>
      <c r="J371" s="145"/>
      <c r="K371" s="143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144"/>
      <c r="B372" s="139"/>
      <c r="C372" s="139"/>
      <c r="D372" s="139"/>
      <c r="E372" s="139"/>
      <c r="F372" s="44"/>
      <c r="G372" s="44"/>
      <c r="H372" s="44"/>
      <c r="I372" s="44"/>
      <c r="J372" s="145"/>
      <c r="K372" s="143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144"/>
      <c r="B373" s="139"/>
      <c r="C373" s="139"/>
      <c r="D373" s="139"/>
      <c r="E373" s="139"/>
      <c r="F373" s="44"/>
      <c r="G373" s="44"/>
      <c r="H373" s="44"/>
      <c r="I373" s="44"/>
      <c r="J373" s="145"/>
      <c r="K373" s="143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144"/>
      <c r="B374" s="139"/>
      <c r="C374" s="139"/>
      <c r="D374" s="139"/>
      <c r="E374" s="139"/>
      <c r="F374" s="44"/>
      <c r="G374" s="44"/>
      <c r="H374" s="44"/>
      <c r="I374" s="44"/>
      <c r="J374" s="145"/>
      <c r="K374" s="143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144"/>
      <c r="B375" s="139"/>
      <c r="C375" s="139"/>
      <c r="D375" s="139"/>
      <c r="E375" s="139"/>
      <c r="F375" s="44"/>
      <c r="G375" s="44"/>
      <c r="H375" s="44"/>
      <c r="I375" s="44"/>
      <c r="J375" s="145"/>
      <c r="K375" s="143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144"/>
      <c r="B376" s="139"/>
      <c r="C376" s="139"/>
      <c r="D376" s="139"/>
      <c r="E376" s="139"/>
      <c r="F376" s="44"/>
      <c r="G376" s="44"/>
      <c r="H376" s="44"/>
      <c r="I376" s="44"/>
      <c r="J376" s="145"/>
      <c r="K376" s="143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144"/>
      <c r="B377" s="139"/>
      <c r="C377" s="139"/>
      <c r="D377" s="139"/>
      <c r="E377" s="139"/>
      <c r="F377" s="44"/>
      <c r="G377" s="44"/>
      <c r="H377" s="44"/>
      <c r="I377" s="44"/>
      <c r="J377" s="145"/>
      <c r="K377" s="143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144"/>
      <c r="B378" s="139"/>
      <c r="C378" s="139"/>
      <c r="D378" s="139"/>
      <c r="E378" s="139"/>
      <c r="F378" s="44"/>
      <c r="G378" s="44"/>
      <c r="H378" s="44"/>
      <c r="I378" s="44"/>
      <c r="J378" s="145"/>
      <c r="K378" s="143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144"/>
      <c r="B379" s="139"/>
      <c r="C379" s="139"/>
      <c r="D379" s="139"/>
      <c r="E379" s="139"/>
      <c r="F379" s="44"/>
      <c r="G379" s="44"/>
      <c r="H379" s="44"/>
      <c r="I379" s="44"/>
      <c r="J379" s="145"/>
      <c r="K379" s="143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144"/>
      <c r="B380" s="139"/>
      <c r="C380" s="139"/>
      <c r="D380" s="139"/>
      <c r="E380" s="139"/>
      <c r="F380" s="44"/>
      <c r="G380" s="44"/>
      <c r="H380" s="44"/>
      <c r="I380" s="44"/>
      <c r="J380" s="145"/>
      <c r="K380" s="143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144"/>
      <c r="B381" s="139"/>
      <c r="C381" s="139"/>
      <c r="D381" s="139"/>
      <c r="E381" s="139"/>
      <c r="F381" s="44"/>
      <c r="G381" s="44"/>
      <c r="H381" s="44"/>
      <c r="I381" s="44"/>
      <c r="J381" s="145"/>
      <c r="K381" s="143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144"/>
      <c r="B382" s="139"/>
      <c r="C382" s="139"/>
      <c r="D382" s="139"/>
      <c r="E382" s="139"/>
      <c r="F382" s="44"/>
      <c r="G382" s="44"/>
      <c r="H382" s="44"/>
      <c r="I382" s="44"/>
      <c r="J382" s="145"/>
      <c r="K382" s="143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144"/>
      <c r="B383" s="139"/>
      <c r="C383" s="139"/>
      <c r="D383" s="139"/>
      <c r="E383" s="139"/>
      <c r="F383" s="44"/>
      <c r="G383" s="44"/>
      <c r="H383" s="44"/>
      <c r="I383" s="44"/>
      <c r="J383" s="145"/>
      <c r="K383" s="143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144"/>
      <c r="B384" s="139"/>
      <c r="C384" s="139"/>
      <c r="D384" s="139"/>
      <c r="E384" s="139"/>
      <c r="F384" s="44"/>
      <c r="G384" s="44"/>
      <c r="H384" s="44"/>
      <c r="I384" s="44"/>
      <c r="J384" s="145"/>
      <c r="K384" s="143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144"/>
      <c r="B385" s="139"/>
      <c r="C385" s="139"/>
      <c r="D385" s="139"/>
      <c r="E385" s="139"/>
      <c r="F385" s="44"/>
      <c r="G385" s="44"/>
      <c r="H385" s="44"/>
      <c r="I385" s="44"/>
      <c r="J385" s="145"/>
      <c r="K385" s="143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144"/>
      <c r="B386" s="139"/>
      <c r="C386" s="139"/>
      <c r="D386" s="139"/>
      <c r="E386" s="139"/>
      <c r="F386" s="44"/>
      <c r="G386" s="44"/>
      <c r="H386" s="44"/>
      <c r="I386" s="44"/>
      <c r="J386" s="145"/>
      <c r="K386" s="143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144"/>
      <c r="B387" s="139"/>
      <c r="C387" s="139"/>
      <c r="D387" s="139"/>
      <c r="E387" s="139"/>
      <c r="F387" s="44"/>
      <c r="G387" s="44"/>
      <c r="H387" s="44"/>
      <c r="I387" s="44"/>
      <c r="J387" s="145"/>
      <c r="K387" s="143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144"/>
      <c r="B388" s="139"/>
      <c r="C388" s="139"/>
      <c r="D388" s="139"/>
      <c r="E388" s="139"/>
      <c r="F388" s="44"/>
      <c r="G388" s="44"/>
      <c r="H388" s="44"/>
      <c r="I388" s="44"/>
      <c r="J388" s="145"/>
      <c r="K388" s="143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144"/>
      <c r="B389" s="139"/>
      <c r="C389" s="139"/>
      <c r="D389" s="139"/>
      <c r="E389" s="139"/>
      <c r="F389" s="44"/>
      <c r="G389" s="44"/>
      <c r="H389" s="44"/>
      <c r="I389" s="44"/>
      <c r="J389" s="145"/>
      <c r="K389" s="143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144"/>
      <c r="B390" s="139"/>
      <c r="C390" s="139"/>
      <c r="D390" s="139"/>
      <c r="E390" s="139"/>
      <c r="F390" s="44"/>
      <c r="G390" s="44"/>
      <c r="H390" s="44"/>
      <c r="I390" s="44"/>
      <c r="J390" s="145"/>
      <c r="K390" s="143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144"/>
      <c r="B391" s="139"/>
      <c r="C391" s="139"/>
      <c r="D391" s="139"/>
      <c r="E391" s="139"/>
      <c r="F391" s="44"/>
      <c r="G391" s="44"/>
      <c r="H391" s="44"/>
      <c r="I391" s="44"/>
      <c r="J391" s="145"/>
      <c r="K391" s="143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144"/>
      <c r="B392" s="139"/>
      <c r="C392" s="139"/>
      <c r="D392" s="139"/>
      <c r="E392" s="139"/>
      <c r="F392" s="44"/>
      <c r="G392" s="44"/>
      <c r="H392" s="44"/>
      <c r="I392" s="44"/>
      <c r="J392" s="145"/>
      <c r="K392" s="143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144"/>
      <c r="B393" s="139"/>
      <c r="C393" s="139"/>
      <c r="D393" s="139"/>
      <c r="E393" s="139"/>
      <c r="F393" s="44"/>
      <c r="G393" s="44"/>
      <c r="H393" s="44"/>
      <c r="I393" s="44"/>
      <c r="J393" s="145"/>
      <c r="K393" s="143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144"/>
      <c r="B394" s="139"/>
      <c r="C394" s="139"/>
      <c r="D394" s="139"/>
      <c r="E394" s="139"/>
      <c r="F394" s="44"/>
      <c r="G394" s="44"/>
      <c r="H394" s="44"/>
      <c r="I394" s="44"/>
      <c r="J394" s="145"/>
      <c r="K394" s="143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144"/>
      <c r="B395" s="139"/>
      <c r="C395" s="139"/>
      <c r="D395" s="139"/>
      <c r="E395" s="139"/>
      <c r="F395" s="44"/>
      <c r="G395" s="44"/>
      <c r="H395" s="44"/>
      <c r="I395" s="44"/>
      <c r="J395" s="145"/>
      <c r="K395" s="143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144"/>
      <c r="B396" s="139"/>
      <c r="C396" s="139"/>
      <c r="D396" s="139"/>
      <c r="E396" s="139"/>
      <c r="F396" s="44"/>
      <c r="G396" s="44"/>
      <c r="H396" s="44"/>
      <c r="I396" s="44"/>
      <c r="J396" s="145"/>
      <c r="K396" s="143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144"/>
      <c r="B397" s="139"/>
      <c r="C397" s="139"/>
      <c r="D397" s="139"/>
      <c r="E397" s="139"/>
      <c r="F397" s="44"/>
      <c r="G397" s="44"/>
      <c r="H397" s="44"/>
      <c r="I397" s="44"/>
      <c r="J397" s="145"/>
      <c r="K397" s="143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144"/>
      <c r="B398" s="139"/>
      <c r="C398" s="139"/>
      <c r="D398" s="139"/>
      <c r="E398" s="139"/>
      <c r="F398" s="44"/>
      <c r="G398" s="44"/>
      <c r="H398" s="44"/>
      <c r="I398" s="44"/>
      <c r="J398" s="145"/>
      <c r="K398" s="143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144"/>
      <c r="B399" s="139"/>
      <c r="C399" s="139"/>
      <c r="D399" s="139"/>
      <c r="E399" s="139"/>
      <c r="F399" s="44"/>
      <c r="G399" s="44"/>
      <c r="H399" s="44"/>
      <c r="I399" s="44"/>
      <c r="J399" s="145"/>
      <c r="K399" s="143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144"/>
      <c r="B400" s="139"/>
      <c r="C400" s="139"/>
      <c r="D400" s="139"/>
      <c r="E400" s="139"/>
      <c r="F400" s="44"/>
      <c r="G400" s="44"/>
      <c r="H400" s="44"/>
      <c r="I400" s="44"/>
      <c r="J400" s="145"/>
      <c r="K400" s="143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144"/>
      <c r="B401" s="139"/>
      <c r="C401" s="139"/>
      <c r="D401" s="139"/>
      <c r="E401" s="139"/>
      <c r="F401" s="44"/>
      <c r="G401" s="44"/>
      <c r="H401" s="44"/>
      <c r="I401" s="44"/>
      <c r="J401" s="145"/>
      <c r="K401" s="143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144"/>
      <c r="B402" s="139"/>
      <c r="C402" s="139"/>
      <c r="D402" s="139"/>
      <c r="E402" s="139"/>
      <c r="F402" s="44"/>
      <c r="G402" s="44"/>
      <c r="H402" s="44"/>
      <c r="I402" s="44"/>
      <c r="J402" s="145"/>
      <c r="K402" s="143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144"/>
      <c r="B403" s="139"/>
      <c r="C403" s="139"/>
      <c r="D403" s="139"/>
      <c r="E403" s="139"/>
      <c r="F403" s="44"/>
      <c r="G403" s="44"/>
      <c r="H403" s="44"/>
      <c r="I403" s="44"/>
      <c r="J403" s="145"/>
      <c r="K403" s="143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144"/>
      <c r="B404" s="139"/>
      <c r="C404" s="139"/>
      <c r="D404" s="139"/>
      <c r="E404" s="139"/>
      <c r="F404" s="44"/>
      <c r="G404" s="44"/>
      <c r="H404" s="44"/>
      <c r="I404" s="44"/>
      <c r="J404" s="145"/>
      <c r="K404" s="143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144"/>
      <c r="B405" s="139"/>
      <c r="C405" s="139"/>
      <c r="D405" s="139"/>
      <c r="E405" s="139"/>
      <c r="F405" s="44"/>
      <c r="G405" s="44"/>
      <c r="H405" s="44"/>
      <c r="I405" s="44"/>
      <c r="J405" s="145"/>
      <c r="K405" s="143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144"/>
      <c r="B406" s="139"/>
      <c r="C406" s="139"/>
      <c r="D406" s="139"/>
      <c r="E406" s="139"/>
      <c r="F406" s="44"/>
      <c r="G406" s="44"/>
      <c r="H406" s="44"/>
      <c r="I406" s="44"/>
      <c r="J406" s="145"/>
      <c r="K406" s="143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144"/>
      <c r="B407" s="139"/>
      <c r="C407" s="139"/>
      <c r="D407" s="139"/>
      <c r="E407" s="139"/>
      <c r="F407" s="44"/>
      <c r="G407" s="44"/>
      <c r="H407" s="44"/>
      <c r="I407" s="44"/>
      <c r="J407" s="145"/>
      <c r="K407" s="143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144"/>
      <c r="B408" s="139"/>
      <c r="C408" s="139"/>
      <c r="D408" s="139"/>
      <c r="E408" s="139"/>
      <c r="F408" s="44"/>
      <c r="G408" s="44"/>
      <c r="H408" s="44"/>
      <c r="I408" s="44"/>
      <c r="J408" s="145"/>
      <c r="K408" s="143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144"/>
      <c r="B409" s="139"/>
      <c r="C409" s="139"/>
      <c r="D409" s="139"/>
      <c r="E409" s="139"/>
      <c r="F409" s="44"/>
      <c r="G409" s="44"/>
      <c r="H409" s="44"/>
      <c r="I409" s="44"/>
      <c r="J409" s="145"/>
      <c r="K409" s="143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144"/>
      <c r="B410" s="139"/>
      <c r="C410" s="139"/>
      <c r="D410" s="139"/>
      <c r="E410" s="139"/>
      <c r="F410" s="44"/>
      <c r="G410" s="44"/>
      <c r="H410" s="44"/>
      <c r="I410" s="44"/>
      <c r="J410" s="145"/>
      <c r="K410" s="143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144"/>
      <c r="B411" s="139"/>
      <c r="C411" s="139"/>
      <c r="D411" s="139"/>
      <c r="E411" s="139"/>
      <c r="F411" s="44"/>
      <c r="G411" s="44"/>
      <c r="H411" s="44"/>
      <c r="I411" s="44"/>
      <c r="J411" s="145"/>
      <c r="K411" s="143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144"/>
      <c r="B412" s="139"/>
      <c r="C412" s="139"/>
      <c r="D412" s="139"/>
      <c r="E412" s="139"/>
      <c r="F412" s="44"/>
      <c r="G412" s="44"/>
      <c r="H412" s="44"/>
      <c r="I412" s="44"/>
      <c r="J412" s="145"/>
      <c r="K412" s="143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144"/>
      <c r="B413" s="139"/>
      <c r="C413" s="139"/>
      <c r="D413" s="139"/>
      <c r="E413" s="139"/>
      <c r="F413" s="44"/>
      <c r="G413" s="44"/>
      <c r="H413" s="44"/>
      <c r="I413" s="44"/>
      <c r="J413" s="145"/>
      <c r="K413" s="143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144"/>
      <c r="B414" s="139"/>
      <c r="C414" s="139"/>
      <c r="D414" s="139"/>
      <c r="E414" s="139"/>
      <c r="F414" s="44"/>
      <c r="G414" s="44"/>
      <c r="H414" s="44"/>
      <c r="I414" s="44"/>
      <c r="J414" s="145"/>
      <c r="K414" s="143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144"/>
      <c r="B415" s="139"/>
      <c r="C415" s="139"/>
      <c r="D415" s="139"/>
      <c r="E415" s="139"/>
      <c r="F415" s="44"/>
      <c r="G415" s="44"/>
      <c r="H415" s="44"/>
      <c r="I415" s="44"/>
      <c r="J415" s="145"/>
      <c r="K415" s="143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144"/>
      <c r="B416" s="139"/>
      <c r="C416" s="139"/>
      <c r="D416" s="139"/>
      <c r="E416" s="139"/>
      <c r="F416" s="44"/>
      <c r="G416" s="44"/>
      <c r="H416" s="44"/>
      <c r="I416" s="44"/>
      <c r="J416" s="145"/>
      <c r="K416" s="143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144"/>
      <c r="B417" s="139"/>
      <c r="C417" s="139"/>
      <c r="D417" s="139"/>
      <c r="E417" s="139"/>
      <c r="F417" s="44"/>
      <c r="G417" s="44"/>
      <c r="H417" s="44"/>
      <c r="I417" s="44"/>
      <c r="J417" s="145"/>
      <c r="K417" s="143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144"/>
      <c r="B418" s="139"/>
      <c r="C418" s="139"/>
      <c r="D418" s="139"/>
      <c r="E418" s="139"/>
      <c r="F418" s="44"/>
      <c r="G418" s="44"/>
      <c r="H418" s="44"/>
      <c r="I418" s="44"/>
      <c r="J418" s="145"/>
      <c r="K418" s="143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144"/>
      <c r="B419" s="139"/>
      <c r="C419" s="139"/>
      <c r="D419" s="139"/>
      <c r="E419" s="139"/>
      <c r="F419" s="44"/>
      <c r="G419" s="44"/>
      <c r="H419" s="44"/>
      <c r="I419" s="44"/>
      <c r="J419" s="145"/>
      <c r="K419" s="143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144"/>
      <c r="B420" s="139"/>
      <c r="C420" s="139"/>
      <c r="D420" s="139"/>
      <c r="E420" s="139"/>
      <c r="F420" s="44"/>
      <c r="G420" s="44"/>
      <c r="H420" s="44"/>
      <c r="I420" s="44"/>
      <c r="J420" s="145"/>
      <c r="K420" s="143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144"/>
      <c r="B421" s="139"/>
      <c r="C421" s="139"/>
      <c r="D421" s="139"/>
      <c r="E421" s="139"/>
      <c r="F421" s="44"/>
      <c r="G421" s="44"/>
      <c r="H421" s="44"/>
      <c r="I421" s="44"/>
      <c r="J421" s="145"/>
      <c r="K421" s="143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144"/>
      <c r="B422" s="139"/>
      <c r="C422" s="139"/>
      <c r="D422" s="139"/>
      <c r="E422" s="139"/>
      <c r="F422" s="44"/>
      <c r="G422" s="44"/>
      <c r="H422" s="44"/>
      <c r="I422" s="44"/>
      <c r="J422" s="145"/>
      <c r="K422" s="143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144"/>
      <c r="B423" s="139"/>
      <c r="C423" s="139"/>
      <c r="D423" s="139"/>
      <c r="E423" s="139"/>
      <c r="F423" s="44"/>
      <c r="G423" s="44"/>
      <c r="H423" s="44"/>
      <c r="I423" s="44"/>
      <c r="J423" s="145"/>
      <c r="K423" s="143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144"/>
      <c r="B424" s="139"/>
      <c r="C424" s="139"/>
      <c r="D424" s="139"/>
      <c r="E424" s="139"/>
      <c r="F424" s="44"/>
      <c r="G424" s="44"/>
      <c r="H424" s="44"/>
      <c r="I424" s="44"/>
      <c r="J424" s="145"/>
      <c r="K424" s="143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144"/>
      <c r="B425" s="139"/>
      <c r="C425" s="139"/>
      <c r="D425" s="139"/>
      <c r="E425" s="139"/>
      <c r="F425" s="44"/>
      <c r="G425" s="44"/>
      <c r="H425" s="44"/>
      <c r="I425" s="44"/>
      <c r="J425" s="145"/>
      <c r="K425" s="143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144"/>
      <c r="B426" s="139"/>
      <c r="C426" s="139"/>
      <c r="D426" s="139"/>
      <c r="E426" s="139"/>
      <c r="F426" s="44"/>
      <c r="G426" s="44"/>
      <c r="H426" s="44"/>
      <c r="I426" s="44"/>
      <c r="J426" s="145"/>
      <c r="K426" s="143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144"/>
      <c r="B427" s="139"/>
      <c r="C427" s="139"/>
      <c r="D427" s="139"/>
      <c r="E427" s="139"/>
      <c r="F427" s="44"/>
      <c r="G427" s="44"/>
      <c r="H427" s="44"/>
      <c r="I427" s="44"/>
      <c r="J427" s="145"/>
      <c r="K427" s="143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144"/>
      <c r="B428" s="139"/>
      <c r="C428" s="139"/>
      <c r="D428" s="139"/>
      <c r="E428" s="139"/>
      <c r="F428" s="44"/>
      <c r="G428" s="44"/>
      <c r="H428" s="44"/>
      <c r="I428" s="44"/>
      <c r="J428" s="145"/>
      <c r="K428" s="143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144"/>
      <c r="B429" s="139"/>
      <c r="C429" s="139"/>
      <c r="D429" s="139"/>
      <c r="E429" s="139"/>
      <c r="F429" s="44"/>
      <c r="G429" s="44"/>
      <c r="H429" s="44"/>
      <c r="I429" s="44"/>
      <c r="J429" s="145"/>
      <c r="K429" s="143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144"/>
      <c r="B430" s="139"/>
      <c r="C430" s="139"/>
      <c r="D430" s="139"/>
      <c r="E430" s="139"/>
      <c r="F430" s="44"/>
      <c r="G430" s="44"/>
      <c r="H430" s="44"/>
      <c r="I430" s="44"/>
      <c r="J430" s="145"/>
      <c r="K430" s="143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144"/>
      <c r="B431" s="139"/>
      <c r="C431" s="139"/>
      <c r="D431" s="139"/>
      <c r="E431" s="139"/>
      <c r="F431" s="44"/>
      <c r="G431" s="44"/>
      <c r="H431" s="44"/>
      <c r="I431" s="44"/>
      <c r="J431" s="145"/>
      <c r="K431" s="143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144"/>
      <c r="B432" s="139"/>
      <c r="C432" s="139"/>
      <c r="D432" s="139"/>
      <c r="E432" s="139"/>
      <c r="F432" s="44"/>
      <c r="G432" s="44"/>
      <c r="H432" s="44"/>
      <c r="I432" s="44"/>
      <c r="J432" s="145"/>
      <c r="K432" s="143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144"/>
      <c r="B433" s="139"/>
      <c r="C433" s="139"/>
      <c r="D433" s="139"/>
      <c r="E433" s="139"/>
      <c r="F433" s="44"/>
      <c r="G433" s="44"/>
      <c r="H433" s="44"/>
      <c r="I433" s="44"/>
      <c r="J433" s="145"/>
      <c r="K433" s="143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144"/>
      <c r="B434" s="139"/>
      <c r="C434" s="139"/>
      <c r="D434" s="139"/>
      <c r="E434" s="139"/>
      <c r="F434" s="44"/>
      <c r="G434" s="44"/>
      <c r="H434" s="44"/>
      <c r="I434" s="44"/>
      <c r="J434" s="145"/>
      <c r="K434" s="143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144"/>
      <c r="B435" s="139"/>
      <c r="C435" s="139"/>
      <c r="D435" s="139"/>
      <c r="E435" s="139"/>
      <c r="F435" s="44"/>
      <c r="G435" s="44"/>
      <c r="H435" s="44"/>
      <c r="I435" s="44"/>
      <c r="J435" s="145"/>
      <c r="K435" s="143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144"/>
      <c r="B436" s="139"/>
      <c r="C436" s="139"/>
      <c r="D436" s="139"/>
      <c r="E436" s="139"/>
      <c r="F436" s="44"/>
      <c r="G436" s="44"/>
      <c r="H436" s="44"/>
      <c r="I436" s="44"/>
      <c r="J436" s="145"/>
      <c r="K436" s="143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144"/>
      <c r="B437" s="139"/>
      <c r="C437" s="139"/>
      <c r="D437" s="139"/>
      <c r="E437" s="139"/>
      <c r="F437" s="44"/>
      <c r="G437" s="44"/>
      <c r="H437" s="44"/>
      <c r="I437" s="44"/>
      <c r="J437" s="145"/>
      <c r="K437" s="143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144"/>
      <c r="B438" s="139"/>
      <c r="C438" s="139"/>
      <c r="D438" s="139"/>
      <c r="E438" s="139"/>
      <c r="F438" s="44"/>
      <c r="G438" s="44"/>
      <c r="H438" s="44"/>
      <c r="I438" s="44"/>
      <c r="J438" s="145"/>
      <c r="K438" s="143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144"/>
      <c r="B439" s="139"/>
      <c r="C439" s="139"/>
      <c r="D439" s="139"/>
      <c r="E439" s="139"/>
      <c r="F439" s="44"/>
      <c r="G439" s="44"/>
      <c r="H439" s="44"/>
      <c r="I439" s="44"/>
      <c r="J439" s="145"/>
      <c r="K439" s="143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144"/>
      <c r="B440" s="139"/>
      <c r="C440" s="139"/>
      <c r="D440" s="139"/>
      <c r="E440" s="139"/>
      <c r="F440" s="44"/>
      <c r="G440" s="44"/>
      <c r="H440" s="44"/>
      <c r="I440" s="44"/>
      <c r="J440" s="145"/>
      <c r="K440" s="143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144"/>
      <c r="B441" s="139"/>
      <c r="C441" s="139"/>
      <c r="D441" s="139"/>
      <c r="E441" s="139"/>
      <c r="F441" s="44"/>
      <c r="G441" s="44"/>
      <c r="H441" s="44"/>
      <c r="I441" s="44"/>
      <c r="J441" s="145"/>
      <c r="K441" s="143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144"/>
      <c r="B442" s="139"/>
      <c r="C442" s="139"/>
      <c r="D442" s="139"/>
      <c r="E442" s="139"/>
      <c r="F442" s="44"/>
      <c r="G442" s="44"/>
      <c r="H442" s="44"/>
      <c r="I442" s="44"/>
      <c r="J442" s="145"/>
      <c r="K442" s="143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144"/>
      <c r="B443" s="139"/>
      <c r="C443" s="139"/>
      <c r="D443" s="139"/>
      <c r="E443" s="139"/>
      <c r="F443" s="44"/>
      <c r="G443" s="44"/>
      <c r="H443" s="44"/>
      <c r="I443" s="44"/>
      <c r="J443" s="145"/>
      <c r="K443" s="143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144"/>
      <c r="B444" s="139"/>
      <c r="C444" s="139"/>
      <c r="D444" s="139"/>
      <c r="E444" s="139"/>
      <c r="F444" s="44"/>
      <c r="G444" s="44"/>
      <c r="H444" s="44"/>
      <c r="I444" s="44"/>
      <c r="J444" s="145"/>
      <c r="K444" s="143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144"/>
      <c r="B445" s="139"/>
      <c r="C445" s="139"/>
      <c r="D445" s="139"/>
      <c r="E445" s="139"/>
      <c r="F445" s="44"/>
      <c r="G445" s="44"/>
      <c r="H445" s="44"/>
      <c r="I445" s="44"/>
      <c r="J445" s="145"/>
      <c r="K445" s="143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144"/>
      <c r="B446" s="139"/>
      <c r="C446" s="139"/>
      <c r="D446" s="139"/>
      <c r="E446" s="139"/>
      <c r="F446" s="44"/>
      <c r="G446" s="44"/>
      <c r="H446" s="44"/>
      <c r="I446" s="44"/>
      <c r="J446" s="145"/>
      <c r="K446" s="143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144"/>
      <c r="B447" s="139"/>
      <c r="C447" s="139"/>
      <c r="D447" s="139"/>
      <c r="E447" s="139"/>
      <c r="F447" s="44"/>
      <c r="G447" s="44"/>
      <c r="H447" s="44"/>
      <c r="I447" s="44"/>
      <c r="J447" s="145"/>
      <c r="K447" s="143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144"/>
      <c r="B448" s="139"/>
      <c r="C448" s="139"/>
      <c r="D448" s="139"/>
      <c r="E448" s="139"/>
      <c r="F448" s="44"/>
      <c r="G448" s="44"/>
      <c r="H448" s="44"/>
      <c r="I448" s="44"/>
      <c r="J448" s="145"/>
      <c r="K448" s="143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144"/>
      <c r="B449" s="139"/>
      <c r="C449" s="139"/>
      <c r="D449" s="139"/>
      <c r="E449" s="139"/>
      <c r="F449" s="44"/>
      <c r="G449" s="44"/>
      <c r="H449" s="44"/>
      <c r="I449" s="44"/>
      <c r="J449" s="145"/>
      <c r="K449" s="143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144"/>
      <c r="B450" s="139"/>
      <c r="C450" s="139"/>
      <c r="D450" s="139"/>
      <c r="E450" s="139"/>
      <c r="F450" s="44"/>
      <c r="G450" s="44"/>
      <c r="H450" s="44"/>
      <c r="I450" s="44"/>
      <c r="J450" s="145"/>
      <c r="K450" s="143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144"/>
      <c r="B451" s="139"/>
      <c r="C451" s="139"/>
      <c r="D451" s="139"/>
      <c r="E451" s="139"/>
      <c r="F451" s="44"/>
      <c r="G451" s="44"/>
      <c r="H451" s="44"/>
      <c r="I451" s="44"/>
      <c r="J451" s="145"/>
      <c r="K451" s="143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144"/>
      <c r="B452" s="139"/>
      <c r="C452" s="139"/>
      <c r="D452" s="139"/>
      <c r="E452" s="139"/>
      <c r="F452" s="44"/>
      <c r="G452" s="44"/>
      <c r="H452" s="44"/>
      <c r="I452" s="44"/>
      <c r="J452" s="145"/>
      <c r="K452" s="143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144"/>
      <c r="B453" s="139"/>
      <c r="C453" s="139"/>
      <c r="D453" s="139"/>
      <c r="E453" s="139"/>
      <c r="F453" s="44"/>
      <c r="G453" s="44"/>
      <c r="H453" s="44"/>
      <c r="I453" s="44"/>
      <c r="J453" s="145"/>
      <c r="K453" s="143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144"/>
      <c r="B454" s="139"/>
      <c r="C454" s="139"/>
      <c r="D454" s="139"/>
      <c r="E454" s="139"/>
      <c r="F454" s="44"/>
      <c r="G454" s="44"/>
      <c r="H454" s="44"/>
      <c r="I454" s="44"/>
      <c r="J454" s="145"/>
      <c r="K454" s="143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144"/>
      <c r="B455" s="139"/>
      <c r="C455" s="139"/>
      <c r="D455" s="139"/>
      <c r="E455" s="139"/>
      <c r="F455" s="44"/>
      <c r="G455" s="44"/>
      <c r="H455" s="44"/>
      <c r="I455" s="44"/>
      <c r="J455" s="145"/>
      <c r="K455" s="143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144"/>
      <c r="B456" s="139"/>
      <c r="C456" s="139"/>
      <c r="D456" s="139"/>
      <c r="E456" s="139"/>
      <c r="F456" s="44"/>
      <c r="G456" s="44"/>
      <c r="H456" s="44"/>
      <c r="I456" s="44"/>
      <c r="J456" s="145"/>
      <c r="K456" s="143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144"/>
      <c r="B457" s="139"/>
      <c r="C457" s="139"/>
      <c r="D457" s="139"/>
      <c r="E457" s="139"/>
      <c r="F457" s="44"/>
      <c r="G457" s="44"/>
      <c r="H457" s="44"/>
      <c r="I457" s="44"/>
      <c r="J457" s="145"/>
      <c r="K457" s="143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144"/>
      <c r="B458" s="139"/>
      <c r="C458" s="139"/>
      <c r="D458" s="139"/>
      <c r="E458" s="139"/>
      <c r="F458" s="44"/>
      <c r="G458" s="44"/>
      <c r="H458" s="44"/>
      <c r="I458" s="44"/>
      <c r="J458" s="145"/>
      <c r="K458" s="143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144"/>
      <c r="B459" s="139"/>
      <c r="C459" s="139"/>
      <c r="D459" s="139"/>
      <c r="E459" s="139"/>
      <c r="F459" s="44"/>
      <c r="G459" s="44"/>
      <c r="H459" s="44"/>
      <c r="I459" s="44"/>
      <c r="J459" s="145"/>
      <c r="K459" s="143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144"/>
      <c r="B460" s="139"/>
      <c r="C460" s="139"/>
      <c r="D460" s="139"/>
      <c r="E460" s="139"/>
      <c r="F460" s="44"/>
      <c r="G460" s="44"/>
      <c r="H460" s="44"/>
      <c r="I460" s="44"/>
      <c r="J460" s="145"/>
      <c r="K460" s="143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144"/>
      <c r="B461" s="139"/>
      <c r="C461" s="139"/>
      <c r="D461" s="139"/>
      <c r="E461" s="139"/>
      <c r="F461" s="44"/>
      <c r="G461" s="44"/>
      <c r="H461" s="44"/>
      <c r="I461" s="44"/>
      <c r="J461" s="145"/>
      <c r="K461" s="143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144"/>
      <c r="B462" s="139"/>
      <c r="C462" s="139"/>
      <c r="D462" s="139"/>
      <c r="E462" s="139"/>
      <c r="F462" s="44"/>
      <c r="G462" s="44"/>
      <c r="H462" s="44"/>
      <c r="I462" s="44"/>
      <c r="J462" s="145"/>
      <c r="K462" s="143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144"/>
      <c r="B463" s="139"/>
      <c r="C463" s="139"/>
      <c r="D463" s="139"/>
      <c r="E463" s="139"/>
      <c r="F463" s="44"/>
      <c r="G463" s="44"/>
      <c r="H463" s="44"/>
      <c r="I463" s="44"/>
      <c r="J463" s="145"/>
      <c r="K463" s="143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144"/>
      <c r="B464" s="139"/>
      <c r="C464" s="139"/>
      <c r="D464" s="139"/>
      <c r="E464" s="139"/>
      <c r="F464" s="44"/>
      <c r="G464" s="44"/>
      <c r="H464" s="44"/>
      <c r="I464" s="44"/>
      <c r="J464" s="145"/>
      <c r="K464" s="143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144"/>
      <c r="B465" s="139"/>
      <c r="C465" s="139"/>
      <c r="D465" s="139"/>
      <c r="E465" s="139"/>
      <c r="F465" s="44"/>
      <c r="G465" s="44"/>
      <c r="H465" s="44"/>
      <c r="I465" s="44"/>
      <c r="J465" s="145"/>
      <c r="K465" s="143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144"/>
      <c r="B466" s="139"/>
      <c r="C466" s="139"/>
      <c r="D466" s="139"/>
      <c r="E466" s="139"/>
      <c r="F466" s="44"/>
      <c r="G466" s="44"/>
      <c r="H466" s="44"/>
      <c r="I466" s="44"/>
      <c r="J466" s="145"/>
      <c r="K466" s="143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144"/>
      <c r="B467" s="139"/>
      <c r="C467" s="139"/>
      <c r="D467" s="139"/>
      <c r="E467" s="139"/>
      <c r="F467" s="44"/>
      <c r="G467" s="44"/>
      <c r="H467" s="44"/>
      <c r="I467" s="44"/>
      <c r="J467" s="145"/>
      <c r="K467" s="143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144"/>
      <c r="B468" s="139"/>
      <c r="C468" s="139"/>
      <c r="D468" s="139"/>
      <c r="E468" s="139"/>
      <c r="F468" s="44"/>
      <c r="G468" s="44"/>
      <c r="H468" s="44"/>
      <c r="I468" s="44"/>
      <c r="J468" s="145"/>
      <c r="K468" s="143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144"/>
      <c r="B469" s="139"/>
      <c r="C469" s="139"/>
      <c r="D469" s="139"/>
      <c r="E469" s="139"/>
      <c r="F469" s="44"/>
      <c r="G469" s="44"/>
      <c r="H469" s="44"/>
      <c r="I469" s="44"/>
      <c r="J469" s="145"/>
      <c r="K469" s="143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144"/>
      <c r="B470" s="139"/>
      <c r="C470" s="139"/>
      <c r="D470" s="139"/>
      <c r="E470" s="139"/>
      <c r="F470" s="44"/>
      <c r="G470" s="44"/>
      <c r="H470" s="44"/>
      <c r="I470" s="44"/>
      <c r="J470" s="145"/>
      <c r="K470" s="143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144"/>
      <c r="B471" s="139"/>
      <c r="C471" s="139"/>
      <c r="D471" s="139"/>
      <c r="E471" s="139"/>
      <c r="F471" s="44"/>
      <c r="G471" s="44"/>
      <c r="H471" s="44"/>
      <c r="I471" s="44"/>
      <c r="J471" s="145"/>
      <c r="K471" s="143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144"/>
      <c r="B472" s="139"/>
      <c r="C472" s="139"/>
      <c r="D472" s="139"/>
      <c r="E472" s="139"/>
      <c r="F472" s="44"/>
      <c r="G472" s="44"/>
      <c r="H472" s="44"/>
      <c r="I472" s="44"/>
      <c r="J472" s="145"/>
      <c r="K472" s="143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144"/>
      <c r="B473" s="139"/>
      <c r="C473" s="139"/>
      <c r="D473" s="139"/>
      <c r="E473" s="139"/>
      <c r="F473" s="44"/>
      <c r="G473" s="44"/>
      <c r="H473" s="44"/>
      <c r="I473" s="44"/>
      <c r="J473" s="145"/>
      <c r="K473" s="143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144"/>
      <c r="B474" s="139"/>
      <c r="C474" s="139"/>
      <c r="D474" s="139"/>
      <c r="E474" s="139"/>
      <c r="F474" s="44"/>
      <c r="G474" s="44"/>
      <c r="H474" s="44"/>
      <c r="I474" s="44"/>
      <c r="J474" s="145"/>
      <c r="K474" s="143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144"/>
      <c r="B475" s="139"/>
      <c r="C475" s="139"/>
      <c r="D475" s="139"/>
      <c r="E475" s="139"/>
      <c r="F475" s="44"/>
      <c r="G475" s="44"/>
      <c r="H475" s="44"/>
      <c r="I475" s="44"/>
      <c r="J475" s="145"/>
      <c r="K475" s="143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144"/>
      <c r="B476" s="139"/>
      <c r="C476" s="139"/>
      <c r="D476" s="139"/>
      <c r="E476" s="139"/>
      <c r="F476" s="44"/>
      <c r="G476" s="44"/>
      <c r="H476" s="44"/>
      <c r="I476" s="44"/>
      <c r="J476" s="145"/>
      <c r="K476" s="143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144"/>
      <c r="B477" s="139"/>
      <c r="C477" s="139"/>
      <c r="D477" s="139"/>
      <c r="E477" s="139"/>
      <c r="F477" s="44"/>
      <c r="G477" s="44"/>
      <c r="H477" s="44"/>
      <c r="I477" s="44"/>
      <c r="J477" s="145"/>
      <c r="K477" s="143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144"/>
      <c r="B478" s="139"/>
      <c r="C478" s="139"/>
      <c r="D478" s="139"/>
      <c r="E478" s="139"/>
      <c r="F478" s="44"/>
      <c r="G478" s="44"/>
      <c r="H478" s="44"/>
      <c r="I478" s="44"/>
      <c r="J478" s="145"/>
      <c r="K478" s="143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144"/>
      <c r="B479" s="139"/>
      <c r="C479" s="139"/>
      <c r="D479" s="139"/>
      <c r="E479" s="139"/>
      <c r="F479" s="44"/>
      <c r="G479" s="44"/>
      <c r="H479" s="44"/>
      <c r="I479" s="44"/>
      <c r="J479" s="145"/>
      <c r="K479" s="143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144"/>
      <c r="B480" s="139"/>
      <c r="C480" s="139"/>
      <c r="D480" s="139"/>
      <c r="E480" s="139"/>
      <c r="F480" s="44"/>
      <c r="G480" s="44"/>
      <c r="H480" s="44"/>
      <c r="I480" s="44"/>
      <c r="J480" s="145"/>
      <c r="K480" s="143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144"/>
      <c r="B481" s="139"/>
      <c r="C481" s="139"/>
      <c r="D481" s="139"/>
      <c r="E481" s="139"/>
      <c r="F481" s="44"/>
      <c r="G481" s="44"/>
      <c r="H481" s="44"/>
      <c r="I481" s="44"/>
      <c r="J481" s="145"/>
      <c r="K481" s="143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144"/>
      <c r="B482" s="139"/>
      <c r="C482" s="139"/>
      <c r="D482" s="139"/>
      <c r="E482" s="139"/>
      <c r="F482" s="44"/>
      <c r="G482" s="44"/>
      <c r="H482" s="44"/>
      <c r="I482" s="44"/>
      <c r="J482" s="145"/>
      <c r="K482" s="143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144"/>
      <c r="B483" s="139"/>
      <c r="C483" s="139"/>
      <c r="D483" s="139"/>
      <c r="E483" s="139"/>
      <c r="F483" s="44"/>
      <c r="G483" s="44"/>
      <c r="H483" s="44"/>
      <c r="I483" s="44"/>
      <c r="J483" s="145"/>
      <c r="K483" s="143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144"/>
      <c r="B484" s="139"/>
      <c r="C484" s="139"/>
      <c r="D484" s="139"/>
      <c r="E484" s="139"/>
      <c r="F484" s="44"/>
      <c r="G484" s="44"/>
      <c r="H484" s="44"/>
      <c r="I484" s="44"/>
      <c r="J484" s="145"/>
      <c r="K484" s="143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144"/>
      <c r="B485" s="139"/>
      <c r="C485" s="139"/>
      <c r="D485" s="139"/>
      <c r="E485" s="139"/>
      <c r="F485" s="44"/>
      <c r="G485" s="44"/>
      <c r="H485" s="44"/>
      <c r="I485" s="44"/>
      <c r="J485" s="145"/>
      <c r="K485" s="143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144"/>
      <c r="B486" s="139"/>
      <c r="C486" s="139"/>
      <c r="D486" s="139"/>
      <c r="E486" s="139"/>
      <c r="F486" s="44"/>
      <c r="G486" s="44"/>
      <c r="H486" s="44"/>
      <c r="I486" s="44"/>
      <c r="J486" s="145"/>
      <c r="K486" s="143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144"/>
      <c r="B487" s="139"/>
      <c r="C487" s="139"/>
      <c r="D487" s="139"/>
      <c r="E487" s="139"/>
      <c r="F487" s="44"/>
      <c r="G487" s="44"/>
      <c r="H487" s="44"/>
      <c r="I487" s="44"/>
      <c r="J487" s="145"/>
      <c r="K487" s="143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144"/>
      <c r="B488" s="139"/>
      <c r="C488" s="139"/>
      <c r="D488" s="139"/>
      <c r="E488" s="139"/>
      <c r="F488" s="44"/>
      <c r="G488" s="44"/>
      <c r="H488" s="44"/>
      <c r="I488" s="44"/>
      <c r="J488" s="145"/>
      <c r="K488" s="143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144"/>
      <c r="B489" s="139"/>
      <c r="C489" s="139"/>
      <c r="D489" s="139"/>
      <c r="E489" s="139"/>
      <c r="F489" s="44"/>
      <c r="G489" s="44"/>
      <c r="H489" s="44"/>
      <c r="I489" s="44"/>
      <c r="J489" s="145"/>
      <c r="K489" s="143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144"/>
      <c r="B490" s="139"/>
      <c r="C490" s="139"/>
      <c r="D490" s="139"/>
      <c r="E490" s="139"/>
      <c r="F490" s="44"/>
      <c r="G490" s="44"/>
      <c r="H490" s="44"/>
      <c r="I490" s="44"/>
      <c r="J490" s="145"/>
      <c r="K490" s="143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144"/>
      <c r="B491" s="139"/>
      <c r="C491" s="139"/>
      <c r="D491" s="139"/>
      <c r="E491" s="139"/>
      <c r="F491" s="44"/>
      <c r="G491" s="44"/>
      <c r="H491" s="44"/>
      <c r="I491" s="44"/>
      <c r="J491" s="145"/>
      <c r="K491" s="143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144"/>
      <c r="B492" s="139"/>
      <c r="C492" s="139"/>
      <c r="D492" s="139"/>
      <c r="E492" s="139"/>
      <c r="F492" s="44"/>
      <c r="G492" s="44"/>
      <c r="H492" s="44"/>
      <c r="I492" s="44"/>
      <c r="J492" s="145"/>
      <c r="K492" s="143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144"/>
      <c r="B493" s="139"/>
      <c r="C493" s="139"/>
      <c r="D493" s="139"/>
      <c r="E493" s="139"/>
      <c r="F493" s="44"/>
      <c r="G493" s="44"/>
      <c r="H493" s="44"/>
      <c r="I493" s="44"/>
      <c r="J493" s="145"/>
      <c r="K493" s="143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144"/>
      <c r="B494" s="139"/>
      <c r="C494" s="139"/>
      <c r="D494" s="139"/>
      <c r="E494" s="139"/>
      <c r="F494" s="44"/>
      <c r="G494" s="44"/>
      <c r="H494" s="44"/>
      <c r="I494" s="44"/>
      <c r="J494" s="145"/>
      <c r="K494" s="143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144"/>
      <c r="B495" s="139"/>
      <c r="C495" s="139"/>
      <c r="D495" s="139"/>
      <c r="E495" s="139"/>
      <c r="F495" s="44"/>
      <c r="G495" s="44"/>
      <c r="H495" s="44"/>
      <c r="I495" s="44"/>
      <c r="J495" s="145"/>
      <c r="K495" s="143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144"/>
      <c r="B496" s="139"/>
      <c r="C496" s="139"/>
      <c r="D496" s="139"/>
      <c r="E496" s="139"/>
      <c r="F496" s="44"/>
      <c r="G496" s="44"/>
      <c r="H496" s="44"/>
      <c r="I496" s="44"/>
      <c r="J496" s="145"/>
      <c r="K496" s="143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144"/>
      <c r="B497" s="139"/>
      <c r="C497" s="139"/>
      <c r="D497" s="139"/>
      <c r="E497" s="139"/>
      <c r="F497" s="44"/>
      <c r="G497" s="44"/>
      <c r="H497" s="44"/>
      <c r="I497" s="44"/>
      <c r="J497" s="145"/>
      <c r="K497" s="143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144"/>
      <c r="B498" s="139"/>
      <c r="C498" s="139"/>
      <c r="D498" s="139"/>
      <c r="E498" s="139"/>
      <c r="F498" s="44"/>
      <c r="G498" s="44"/>
      <c r="H498" s="44"/>
      <c r="I498" s="44"/>
      <c r="J498" s="145"/>
      <c r="K498" s="143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144"/>
      <c r="B499" s="139"/>
      <c r="C499" s="139"/>
      <c r="D499" s="139"/>
      <c r="E499" s="139"/>
      <c r="F499" s="44"/>
      <c r="G499" s="44"/>
      <c r="H499" s="44"/>
      <c r="I499" s="44"/>
      <c r="J499" s="145"/>
      <c r="K499" s="143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144"/>
      <c r="B500" s="139"/>
      <c r="C500" s="139"/>
      <c r="D500" s="139"/>
      <c r="E500" s="139"/>
      <c r="F500" s="44"/>
      <c r="G500" s="44"/>
      <c r="H500" s="44"/>
      <c r="I500" s="44"/>
      <c r="J500" s="145"/>
      <c r="K500" s="143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144"/>
      <c r="B501" s="139"/>
      <c r="C501" s="139"/>
      <c r="D501" s="139"/>
      <c r="E501" s="139"/>
      <c r="F501" s="44"/>
      <c r="G501" s="44"/>
      <c r="H501" s="44"/>
      <c r="I501" s="44"/>
      <c r="J501" s="145"/>
      <c r="K501" s="143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144"/>
      <c r="B502" s="139"/>
      <c r="C502" s="139"/>
      <c r="D502" s="139"/>
      <c r="E502" s="139"/>
      <c r="F502" s="44"/>
      <c r="G502" s="44"/>
      <c r="H502" s="44"/>
      <c r="I502" s="44"/>
      <c r="J502" s="145"/>
      <c r="K502" s="143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144"/>
      <c r="B503" s="139"/>
      <c r="C503" s="139"/>
      <c r="D503" s="139"/>
      <c r="E503" s="139"/>
      <c r="F503" s="44"/>
      <c r="G503" s="44"/>
      <c r="H503" s="44"/>
      <c r="I503" s="44"/>
      <c r="J503" s="145"/>
      <c r="K503" s="143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144"/>
      <c r="B504" s="139"/>
      <c r="C504" s="139"/>
      <c r="D504" s="139"/>
      <c r="E504" s="139"/>
      <c r="F504" s="44"/>
      <c r="G504" s="44"/>
      <c r="H504" s="44"/>
      <c r="I504" s="44"/>
      <c r="J504" s="145"/>
      <c r="K504" s="143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144"/>
      <c r="B505" s="139"/>
      <c r="C505" s="139"/>
      <c r="D505" s="139"/>
      <c r="E505" s="139"/>
      <c r="F505" s="44"/>
      <c r="G505" s="44"/>
      <c r="H505" s="44"/>
      <c r="I505" s="44"/>
      <c r="J505" s="145"/>
      <c r="K505" s="143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144"/>
      <c r="B506" s="139"/>
      <c r="C506" s="139"/>
      <c r="D506" s="139"/>
      <c r="E506" s="139"/>
      <c r="F506" s="44"/>
      <c r="G506" s="44"/>
      <c r="H506" s="44"/>
      <c r="I506" s="44"/>
      <c r="J506" s="145"/>
      <c r="K506" s="143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144"/>
      <c r="B507" s="139"/>
      <c r="C507" s="139"/>
      <c r="D507" s="139"/>
      <c r="E507" s="139"/>
      <c r="F507" s="44"/>
      <c r="G507" s="44"/>
      <c r="H507" s="44"/>
      <c r="I507" s="44"/>
      <c r="J507" s="145"/>
      <c r="K507" s="143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144"/>
      <c r="B508" s="139"/>
      <c r="C508" s="139"/>
      <c r="D508" s="139"/>
      <c r="E508" s="139"/>
      <c r="F508" s="44"/>
      <c r="G508" s="44"/>
      <c r="H508" s="44"/>
      <c r="I508" s="44"/>
      <c r="J508" s="145"/>
      <c r="K508" s="143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144"/>
      <c r="B509" s="139"/>
      <c r="C509" s="139"/>
      <c r="D509" s="139"/>
      <c r="E509" s="139"/>
      <c r="F509" s="44"/>
      <c r="G509" s="44"/>
      <c r="H509" s="44"/>
      <c r="I509" s="44"/>
      <c r="J509" s="145"/>
      <c r="K509" s="143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144"/>
      <c r="B510" s="139"/>
      <c r="C510" s="139"/>
      <c r="D510" s="139"/>
      <c r="E510" s="139"/>
      <c r="F510" s="44"/>
      <c r="G510" s="44"/>
      <c r="H510" s="44"/>
      <c r="I510" s="44"/>
      <c r="J510" s="145"/>
      <c r="K510" s="143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144"/>
      <c r="B511" s="139"/>
      <c r="C511" s="139"/>
      <c r="D511" s="139"/>
      <c r="E511" s="139"/>
      <c r="F511" s="44"/>
      <c r="G511" s="44"/>
      <c r="H511" s="44"/>
      <c r="I511" s="44"/>
      <c r="J511" s="145"/>
      <c r="K511" s="143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144"/>
      <c r="B512" s="139"/>
      <c r="C512" s="139"/>
      <c r="D512" s="139"/>
      <c r="E512" s="139"/>
      <c r="F512" s="44"/>
      <c r="G512" s="44"/>
      <c r="H512" s="44"/>
      <c r="I512" s="44"/>
      <c r="J512" s="145"/>
      <c r="K512" s="143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144"/>
      <c r="B513" s="139"/>
      <c r="C513" s="139"/>
      <c r="D513" s="139"/>
      <c r="E513" s="139"/>
      <c r="F513" s="44"/>
      <c r="G513" s="44"/>
      <c r="H513" s="44"/>
      <c r="I513" s="44"/>
      <c r="J513" s="145"/>
      <c r="K513" s="143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144"/>
      <c r="B514" s="139"/>
      <c r="C514" s="139"/>
      <c r="D514" s="139"/>
      <c r="E514" s="139"/>
      <c r="F514" s="44"/>
      <c r="G514" s="44"/>
      <c r="H514" s="44"/>
      <c r="I514" s="44"/>
      <c r="J514" s="145"/>
      <c r="K514" s="143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144"/>
      <c r="B515" s="139"/>
      <c r="C515" s="139"/>
      <c r="D515" s="139"/>
      <c r="E515" s="139"/>
      <c r="F515" s="44"/>
      <c r="G515" s="44"/>
      <c r="H515" s="44"/>
      <c r="I515" s="44"/>
      <c r="J515" s="145"/>
      <c r="K515" s="143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144"/>
      <c r="B516" s="139"/>
      <c r="C516" s="139"/>
      <c r="D516" s="139"/>
      <c r="E516" s="139"/>
      <c r="F516" s="44"/>
      <c r="G516" s="44"/>
      <c r="H516" s="44"/>
      <c r="I516" s="44"/>
      <c r="J516" s="145"/>
      <c r="K516" s="143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144"/>
      <c r="B517" s="139"/>
      <c r="C517" s="139"/>
      <c r="D517" s="139"/>
      <c r="E517" s="139"/>
      <c r="F517" s="44"/>
      <c r="G517" s="44"/>
      <c r="H517" s="44"/>
      <c r="I517" s="44"/>
      <c r="J517" s="145"/>
      <c r="K517" s="143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>
      <c r="A518" s="144"/>
      <c r="B518" s="139"/>
      <c r="C518" s="139"/>
      <c r="D518" s="139"/>
      <c r="E518" s="139"/>
      <c r="F518" s="44"/>
      <c r="G518" s="44"/>
      <c r="H518" s="44"/>
      <c r="I518" s="44"/>
      <c r="J518" s="145"/>
      <c r="K518" s="143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>
      <c r="A519" s="144"/>
      <c r="B519" s="139"/>
      <c r="C519" s="139"/>
      <c r="D519" s="139"/>
      <c r="E519" s="139"/>
      <c r="F519" s="44"/>
      <c r="G519" s="44"/>
      <c r="H519" s="44"/>
      <c r="I519" s="44"/>
      <c r="J519" s="145"/>
      <c r="K519" s="143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>
      <c r="A520" s="144"/>
      <c r="B520" s="139"/>
      <c r="C520" s="139"/>
      <c r="D520" s="139"/>
      <c r="E520" s="139"/>
      <c r="F520" s="44"/>
      <c r="G520" s="44"/>
      <c r="H520" s="44"/>
      <c r="I520" s="44"/>
      <c r="J520" s="145"/>
      <c r="K520" s="143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>
      <c r="A521" s="144"/>
      <c r="B521" s="139"/>
      <c r="C521" s="139"/>
      <c r="D521" s="139"/>
      <c r="E521" s="139"/>
      <c r="F521" s="44"/>
      <c r="G521" s="44"/>
      <c r="H521" s="44"/>
      <c r="I521" s="44"/>
      <c r="J521" s="145"/>
      <c r="K521" s="143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>
      <c r="A522" s="144"/>
      <c r="B522" s="139"/>
      <c r="C522" s="139"/>
      <c r="D522" s="139"/>
      <c r="E522" s="139"/>
      <c r="F522" s="44"/>
      <c r="G522" s="44"/>
      <c r="H522" s="44"/>
      <c r="I522" s="44"/>
      <c r="J522" s="145"/>
      <c r="K522" s="143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>
      <c r="A523" s="144"/>
      <c r="B523" s="139"/>
      <c r="C523" s="139"/>
      <c r="D523" s="139"/>
      <c r="E523" s="139"/>
      <c r="F523" s="44"/>
      <c r="G523" s="44"/>
      <c r="H523" s="44"/>
      <c r="I523" s="44"/>
      <c r="J523" s="145"/>
      <c r="K523" s="143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>
      <c r="A524" s="144"/>
      <c r="B524" s="139"/>
      <c r="C524" s="139"/>
      <c r="D524" s="139"/>
      <c r="E524" s="139"/>
      <c r="F524" s="44"/>
      <c r="G524" s="44"/>
      <c r="H524" s="44"/>
      <c r="I524" s="44"/>
      <c r="J524" s="145"/>
      <c r="K524" s="143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>
      <c r="A525" s="144"/>
      <c r="B525" s="139"/>
      <c r="C525" s="139"/>
      <c r="D525" s="139"/>
      <c r="E525" s="139"/>
      <c r="F525" s="44"/>
      <c r="G525" s="44"/>
      <c r="H525" s="44"/>
      <c r="I525" s="44"/>
      <c r="J525" s="145"/>
      <c r="K525" s="143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>
      <c r="A526" s="144"/>
      <c r="B526" s="139"/>
      <c r="C526" s="139"/>
      <c r="D526" s="139"/>
      <c r="E526" s="139"/>
      <c r="F526" s="44"/>
      <c r="G526" s="44"/>
      <c r="H526" s="44"/>
      <c r="I526" s="44"/>
      <c r="J526" s="145"/>
      <c r="K526" s="143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>
      <c r="A527" s="144"/>
      <c r="B527" s="139"/>
      <c r="C527" s="139"/>
      <c r="D527" s="139"/>
      <c r="E527" s="139"/>
      <c r="F527" s="44"/>
      <c r="G527" s="44"/>
      <c r="H527" s="44"/>
      <c r="I527" s="44"/>
      <c r="J527" s="145"/>
      <c r="K527" s="143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>
      <c r="A528" s="144"/>
      <c r="B528" s="139"/>
      <c r="C528" s="139"/>
      <c r="D528" s="139"/>
      <c r="E528" s="139"/>
      <c r="F528" s="44"/>
      <c r="G528" s="44"/>
      <c r="H528" s="44"/>
      <c r="I528" s="44"/>
      <c r="J528" s="145"/>
      <c r="K528" s="143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>
      <c r="A529" s="144"/>
      <c r="B529" s="139"/>
      <c r="C529" s="139"/>
      <c r="D529" s="139"/>
      <c r="E529" s="139"/>
      <c r="F529" s="44"/>
      <c r="G529" s="44"/>
      <c r="H529" s="44"/>
      <c r="I529" s="44"/>
      <c r="J529" s="145"/>
      <c r="K529" s="143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>
      <c r="A530" s="144"/>
      <c r="B530" s="139"/>
      <c r="C530" s="139"/>
      <c r="D530" s="139"/>
      <c r="E530" s="139"/>
      <c r="F530" s="44"/>
      <c r="G530" s="44"/>
      <c r="H530" s="44"/>
      <c r="I530" s="44"/>
      <c r="J530" s="145"/>
      <c r="K530" s="143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>
      <c r="A531" s="144"/>
      <c r="B531" s="139"/>
      <c r="C531" s="139"/>
      <c r="D531" s="139"/>
      <c r="E531" s="139"/>
      <c r="F531" s="44"/>
      <c r="G531" s="44"/>
      <c r="H531" s="44"/>
      <c r="I531" s="44"/>
      <c r="J531" s="145"/>
      <c r="K531" s="143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>
      <c r="A532" s="144"/>
      <c r="B532" s="139"/>
      <c r="C532" s="139"/>
      <c r="D532" s="139"/>
      <c r="E532" s="139"/>
      <c r="F532" s="44"/>
      <c r="G532" s="44"/>
      <c r="H532" s="44"/>
      <c r="I532" s="44"/>
      <c r="J532" s="145"/>
      <c r="K532" s="143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>
      <c r="A533" s="144"/>
      <c r="B533" s="139"/>
      <c r="C533" s="139"/>
      <c r="D533" s="139"/>
      <c r="E533" s="139"/>
      <c r="F533" s="44"/>
      <c r="G533" s="44"/>
      <c r="H533" s="44"/>
      <c r="I533" s="44"/>
      <c r="J533" s="145"/>
      <c r="K533" s="143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>
      <c r="A534" s="144"/>
      <c r="B534" s="139"/>
      <c r="C534" s="139"/>
      <c r="D534" s="139"/>
      <c r="E534" s="139"/>
      <c r="F534" s="44"/>
      <c r="G534" s="44"/>
      <c r="H534" s="44"/>
      <c r="I534" s="44"/>
      <c r="J534" s="145"/>
      <c r="K534" s="143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>
      <c r="A535" s="144"/>
      <c r="B535" s="139"/>
      <c r="C535" s="139"/>
      <c r="D535" s="139"/>
      <c r="E535" s="139"/>
      <c r="F535" s="44"/>
      <c r="G535" s="44"/>
      <c r="H535" s="44"/>
      <c r="I535" s="44"/>
      <c r="J535" s="145"/>
      <c r="K535" s="143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>
      <c r="A536" s="144"/>
      <c r="B536" s="139"/>
      <c r="C536" s="139"/>
      <c r="D536" s="139"/>
      <c r="E536" s="139"/>
      <c r="F536" s="44"/>
      <c r="G536" s="44"/>
      <c r="H536" s="44"/>
      <c r="I536" s="44"/>
      <c r="J536" s="145"/>
      <c r="K536" s="143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>
      <c r="A537" s="144"/>
      <c r="B537" s="139"/>
      <c r="C537" s="139"/>
      <c r="D537" s="139"/>
      <c r="E537" s="139"/>
      <c r="F537" s="44"/>
      <c r="G537" s="44"/>
      <c r="H537" s="44"/>
      <c r="I537" s="44"/>
      <c r="J537" s="145"/>
      <c r="K537" s="143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>
      <c r="A538" s="144"/>
      <c r="B538" s="139"/>
      <c r="C538" s="139"/>
      <c r="D538" s="139"/>
      <c r="E538" s="139"/>
      <c r="F538" s="44"/>
      <c r="G538" s="44"/>
      <c r="H538" s="44"/>
      <c r="I538" s="44"/>
      <c r="J538" s="145"/>
      <c r="K538" s="143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>
      <c r="A539" s="144"/>
      <c r="B539" s="139"/>
      <c r="C539" s="139"/>
      <c r="D539" s="139"/>
      <c r="E539" s="139"/>
      <c r="F539" s="44"/>
      <c r="G539" s="44"/>
      <c r="H539" s="44"/>
      <c r="I539" s="44"/>
      <c r="J539" s="145"/>
      <c r="K539" s="143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>
      <c r="A540" s="144"/>
      <c r="B540" s="139"/>
      <c r="C540" s="139"/>
      <c r="D540" s="139"/>
      <c r="E540" s="139"/>
      <c r="F540" s="44"/>
      <c r="G540" s="44"/>
      <c r="H540" s="44"/>
      <c r="I540" s="44"/>
      <c r="J540" s="145"/>
      <c r="K540" s="143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>
      <c r="A541" s="144"/>
      <c r="B541" s="139"/>
      <c r="C541" s="139"/>
      <c r="D541" s="139"/>
      <c r="E541" s="139"/>
      <c r="F541" s="44"/>
      <c r="G541" s="44"/>
      <c r="H541" s="44"/>
      <c r="I541" s="44"/>
      <c r="J541" s="145"/>
      <c r="K541" s="143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>
      <c r="A542" s="144"/>
      <c r="B542" s="139"/>
      <c r="C542" s="139"/>
      <c r="D542" s="139"/>
      <c r="E542" s="139"/>
      <c r="F542" s="44"/>
      <c r="G542" s="44"/>
      <c r="H542" s="44"/>
      <c r="I542" s="44"/>
      <c r="J542" s="145"/>
      <c r="K542" s="143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>
      <c r="A543" s="144"/>
      <c r="B543" s="139"/>
      <c r="C543" s="139"/>
      <c r="D543" s="139"/>
      <c r="E543" s="139"/>
      <c r="F543" s="44"/>
      <c r="G543" s="44"/>
      <c r="H543" s="44"/>
      <c r="I543" s="44"/>
      <c r="J543" s="145"/>
      <c r="K543" s="143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>
      <c r="A544" s="144"/>
      <c r="B544" s="139"/>
      <c r="C544" s="139"/>
      <c r="D544" s="139"/>
      <c r="E544" s="139"/>
      <c r="F544" s="44"/>
      <c r="G544" s="44"/>
      <c r="H544" s="44"/>
      <c r="I544" s="44"/>
      <c r="J544" s="145"/>
      <c r="K544" s="143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>
      <c r="A545" s="144"/>
      <c r="B545" s="139"/>
      <c r="C545" s="139"/>
      <c r="D545" s="139"/>
      <c r="E545" s="139"/>
      <c r="F545" s="44"/>
      <c r="G545" s="44"/>
      <c r="H545" s="44"/>
      <c r="I545" s="44"/>
      <c r="J545" s="145"/>
      <c r="K545" s="143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>
      <c r="A546" s="144"/>
      <c r="B546" s="139"/>
      <c r="C546" s="139"/>
      <c r="D546" s="139"/>
      <c r="E546" s="139"/>
      <c r="F546" s="44"/>
      <c r="G546" s="44"/>
      <c r="H546" s="44"/>
      <c r="I546" s="44"/>
      <c r="J546" s="145"/>
      <c r="K546" s="143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>
      <c r="A547" s="144"/>
      <c r="B547" s="139"/>
      <c r="C547" s="139"/>
      <c r="D547" s="139"/>
      <c r="E547" s="139"/>
      <c r="F547" s="44"/>
      <c r="G547" s="44"/>
      <c r="H547" s="44"/>
      <c r="I547" s="44"/>
      <c r="J547" s="145"/>
      <c r="K547" s="143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>
      <c r="A548" s="144"/>
      <c r="B548" s="139"/>
      <c r="C548" s="139"/>
      <c r="D548" s="139"/>
      <c r="E548" s="139"/>
      <c r="F548" s="44"/>
      <c r="G548" s="44"/>
      <c r="H548" s="44"/>
      <c r="I548" s="44"/>
      <c r="J548" s="145"/>
      <c r="K548" s="143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>
      <c r="A549" s="144"/>
      <c r="B549" s="139"/>
      <c r="C549" s="139"/>
      <c r="D549" s="139"/>
      <c r="E549" s="139"/>
      <c r="F549" s="44"/>
      <c r="G549" s="44"/>
      <c r="H549" s="44"/>
      <c r="I549" s="44"/>
      <c r="J549" s="145"/>
      <c r="K549" s="143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>
      <c r="A550" s="144"/>
      <c r="B550" s="139"/>
      <c r="C550" s="139"/>
      <c r="D550" s="139"/>
      <c r="E550" s="139"/>
      <c r="F550" s="44"/>
      <c r="G550" s="44"/>
      <c r="H550" s="44"/>
      <c r="I550" s="44"/>
      <c r="J550" s="145"/>
      <c r="K550" s="143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>
      <c r="A551" s="144"/>
      <c r="B551" s="139"/>
      <c r="C551" s="139"/>
      <c r="D551" s="139"/>
      <c r="E551" s="139"/>
      <c r="F551" s="44"/>
      <c r="G551" s="44"/>
      <c r="H551" s="44"/>
      <c r="I551" s="44"/>
      <c r="J551" s="145"/>
      <c r="K551" s="143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>
      <c r="A552" s="144"/>
      <c r="B552" s="139"/>
      <c r="C552" s="139"/>
      <c r="D552" s="139"/>
      <c r="E552" s="139"/>
      <c r="F552" s="44"/>
      <c r="G552" s="44"/>
      <c r="H552" s="44"/>
      <c r="I552" s="44"/>
      <c r="J552" s="145"/>
      <c r="K552" s="143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>
      <c r="A553" s="144"/>
      <c r="B553" s="139"/>
      <c r="C553" s="139"/>
      <c r="D553" s="139"/>
      <c r="E553" s="139"/>
      <c r="F553" s="44"/>
      <c r="G553" s="44"/>
      <c r="H553" s="44"/>
      <c r="I553" s="44"/>
      <c r="J553" s="145"/>
      <c r="K553" s="143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>
      <c r="A554" s="144"/>
      <c r="B554" s="139"/>
      <c r="C554" s="139"/>
      <c r="D554" s="139"/>
      <c r="E554" s="139"/>
      <c r="F554" s="44"/>
      <c r="G554" s="44"/>
      <c r="H554" s="44"/>
      <c r="I554" s="44"/>
      <c r="J554" s="145"/>
      <c r="K554" s="143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>
      <c r="A555" s="144"/>
      <c r="B555" s="139"/>
      <c r="C555" s="139"/>
      <c r="D555" s="139"/>
      <c r="E555" s="139"/>
      <c r="F555" s="44"/>
      <c r="G555" s="44"/>
      <c r="H555" s="44"/>
      <c r="I555" s="44"/>
      <c r="J555" s="145"/>
      <c r="K555" s="143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>
      <c r="A556" s="144"/>
      <c r="B556" s="139"/>
      <c r="C556" s="139"/>
      <c r="D556" s="139"/>
      <c r="E556" s="139"/>
      <c r="F556" s="44"/>
      <c r="G556" s="44"/>
      <c r="H556" s="44"/>
      <c r="I556" s="44"/>
      <c r="J556" s="145"/>
      <c r="K556" s="143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>
      <c r="A557" s="144"/>
      <c r="B557" s="139"/>
      <c r="C557" s="139"/>
      <c r="D557" s="139"/>
      <c r="E557" s="139"/>
      <c r="F557" s="44"/>
      <c r="G557" s="44"/>
      <c r="H557" s="44"/>
      <c r="I557" s="44"/>
      <c r="J557" s="145"/>
      <c r="K557" s="143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>
      <c r="A558" s="144"/>
      <c r="B558" s="139"/>
      <c r="C558" s="139"/>
      <c r="D558" s="139"/>
      <c r="E558" s="139"/>
      <c r="F558" s="44"/>
      <c r="G558" s="44"/>
      <c r="H558" s="44"/>
      <c r="I558" s="44"/>
      <c r="J558" s="145"/>
      <c r="K558" s="143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>
      <c r="A559" s="144"/>
      <c r="B559" s="139"/>
      <c r="C559" s="139"/>
      <c r="D559" s="139"/>
      <c r="E559" s="139"/>
      <c r="F559" s="44"/>
      <c r="G559" s="44"/>
      <c r="H559" s="44"/>
      <c r="I559" s="44"/>
      <c r="J559" s="145"/>
      <c r="K559" s="143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>
      <c r="A560" s="144"/>
      <c r="B560" s="139"/>
      <c r="C560" s="139"/>
      <c r="D560" s="139"/>
      <c r="E560" s="139"/>
      <c r="F560" s="44"/>
      <c r="G560" s="44"/>
      <c r="H560" s="44"/>
      <c r="I560" s="44"/>
      <c r="J560" s="145"/>
      <c r="K560" s="143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>
      <c r="A561" s="144"/>
      <c r="B561" s="139"/>
      <c r="C561" s="139"/>
      <c r="D561" s="139"/>
      <c r="E561" s="139"/>
      <c r="F561" s="44"/>
      <c r="G561" s="44"/>
      <c r="H561" s="44"/>
      <c r="I561" s="44"/>
      <c r="J561" s="145"/>
      <c r="K561" s="143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>
      <c r="A562" s="144"/>
      <c r="B562" s="139"/>
      <c r="C562" s="139"/>
      <c r="D562" s="139"/>
      <c r="E562" s="139"/>
      <c r="F562" s="44"/>
      <c r="G562" s="44"/>
      <c r="H562" s="44"/>
      <c r="I562" s="44"/>
      <c r="J562" s="145"/>
      <c r="K562" s="143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>
      <c r="A563" s="144"/>
      <c r="B563" s="139"/>
      <c r="C563" s="139"/>
      <c r="D563" s="139"/>
      <c r="E563" s="139"/>
      <c r="F563" s="44"/>
      <c r="G563" s="44"/>
      <c r="H563" s="44"/>
      <c r="I563" s="44"/>
      <c r="J563" s="145"/>
      <c r="K563" s="143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>
      <c r="A564" s="144"/>
      <c r="B564" s="139"/>
      <c r="C564" s="139"/>
      <c r="D564" s="139"/>
      <c r="E564" s="139"/>
      <c r="F564" s="44"/>
      <c r="G564" s="44"/>
      <c r="H564" s="44"/>
      <c r="I564" s="44"/>
      <c r="J564" s="145"/>
      <c r="K564" s="143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>
      <c r="A565" s="144"/>
      <c r="B565" s="139"/>
      <c r="C565" s="139"/>
      <c r="D565" s="139"/>
      <c r="E565" s="139"/>
      <c r="F565" s="44"/>
      <c r="G565" s="44"/>
      <c r="H565" s="44"/>
      <c r="I565" s="44"/>
      <c r="J565" s="145"/>
      <c r="K565" s="143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>
      <c r="A566" s="144"/>
      <c r="B566" s="139"/>
      <c r="C566" s="139"/>
      <c r="D566" s="139"/>
      <c r="E566" s="139"/>
      <c r="F566" s="44"/>
      <c r="G566" s="44"/>
      <c r="H566" s="44"/>
      <c r="I566" s="44"/>
      <c r="J566" s="145"/>
      <c r="K566" s="143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>
      <c r="A567" s="144"/>
      <c r="B567" s="139"/>
      <c r="C567" s="139"/>
      <c r="D567" s="139"/>
      <c r="E567" s="139"/>
      <c r="F567" s="44"/>
      <c r="G567" s="44"/>
      <c r="H567" s="44"/>
      <c r="I567" s="44"/>
      <c r="J567" s="145"/>
      <c r="K567" s="143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>
      <c r="A568" s="144"/>
      <c r="B568" s="139"/>
      <c r="C568" s="139"/>
      <c r="D568" s="139"/>
      <c r="E568" s="139"/>
      <c r="F568" s="44"/>
      <c r="G568" s="44"/>
      <c r="H568" s="44"/>
      <c r="I568" s="44"/>
      <c r="J568" s="145"/>
      <c r="K568" s="143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>
      <c r="A569" s="144"/>
      <c r="B569" s="139"/>
      <c r="C569" s="139"/>
      <c r="D569" s="139"/>
      <c r="E569" s="139"/>
      <c r="F569" s="44"/>
      <c r="G569" s="44"/>
      <c r="H569" s="44"/>
      <c r="I569" s="44"/>
      <c r="J569" s="145"/>
      <c r="K569" s="143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>
      <c r="A570" s="144"/>
      <c r="B570" s="139"/>
      <c r="C570" s="139"/>
      <c r="D570" s="139"/>
      <c r="E570" s="139"/>
      <c r="F570" s="44"/>
      <c r="G570" s="44"/>
      <c r="H570" s="44"/>
      <c r="I570" s="44"/>
      <c r="J570" s="145"/>
      <c r="K570" s="143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>
      <c r="A571" s="144"/>
      <c r="B571" s="139"/>
      <c r="C571" s="139"/>
      <c r="D571" s="139"/>
      <c r="E571" s="139"/>
      <c r="F571" s="44"/>
      <c r="G571" s="44"/>
      <c r="H571" s="44"/>
      <c r="I571" s="44"/>
      <c r="J571" s="145"/>
      <c r="K571" s="143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>
      <c r="A572" s="144"/>
      <c r="B572" s="139"/>
      <c r="C572" s="139"/>
      <c r="D572" s="139"/>
      <c r="E572" s="139"/>
      <c r="F572" s="44"/>
      <c r="G572" s="44"/>
      <c r="H572" s="44"/>
      <c r="I572" s="44"/>
      <c r="J572" s="145"/>
      <c r="K572" s="143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>
      <c r="A573" s="144"/>
      <c r="B573" s="139"/>
      <c r="C573" s="139"/>
      <c r="D573" s="139"/>
      <c r="E573" s="139"/>
      <c r="F573" s="44"/>
      <c r="G573" s="44"/>
      <c r="H573" s="44"/>
      <c r="I573" s="44"/>
      <c r="J573" s="145"/>
      <c r="K573" s="143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>
      <c r="A574" s="144"/>
      <c r="B574" s="139"/>
      <c r="C574" s="139"/>
      <c r="D574" s="139"/>
      <c r="E574" s="139"/>
      <c r="F574" s="44"/>
      <c r="G574" s="44"/>
      <c r="H574" s="44"/>
      <c r="I574" s="44"/>
      <c r="J574" s="145"/>
      <c r="K574" s="143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>
      <c r="A575" s="144"/>
      <c r="B575" s="139"/>
      <c r="C575" s="139"/>
      <c r="D575" s="139"/>
      <c r="E575" s="139"/>
      <c r="F575" s="44"/>
      <c r="G575" s="44"/>
      <c r="H575" s="44"/>
      <c r="I575" s="44"/>
      <c r="J575" s="145"/>
      <c r="K575" s="143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>
      <c r="A576" s="144"/>
      <c r="B576" s="139"/>
      <c r="C576" s="139"/>
      <c r="D576" s="139"/>
      <c r="E576" s="139"/>
      <c r="F576" s="44"/>
      <c r="G576" s="44"/>
      <c r="H576" s="44"/>
      <c r="I576" s="44"/>
      <c r="J576" s="145"/>
      <c r="K576" s="143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>
      <c r="A577" s="144"/>
      <c r="B577" s="139"/>
      <c r="C577" s="139"/>
      <c r="D577" s="139"/>
      <c r="E577" s="139"/>
      <c r="F577" s="44"/>
      <c r="G577" s="44"/>
      <c r="H577" s="44"/>
      <c r="I577" s="44"/>
      <c r="J577" s="145"/>
      <c r="K577" s="143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>
      <c r="A578" s="144"/>
      <c r="B578" s="139"/>
      <c r="C578" s="139"/>
      <c r="D578" s="139"/>
      <c r="E578" s="139"/>
      <c r="F578" s="44"/>
      <c r="G578" s="44"/>
      <c r="H578" s="44"/>
      <c r="I578" s="44"/>
      <c r="J578" s="145"/>
      <c r="K578" s="143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>
      <c r="A579" s="144"/>
      <c r="B579" s="139"/>
      <c r="C579" s="139"/>
      <c r="D579" s="139"/>
      <c r="E579" s="139"/>
      <c r="F579" s="44"/>
      <c r="G579" s="44"/>
      <c r="H579" s="44"/>
      <c r="I579" s="44"/>
      <c r="J579" s="145"/>
      <c r="K579" s="143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>
      <c r="A580" s="144"/>
      <c r="B580" s="139"/>
      <c r="C580" s="139"/>
      <c r="D580" s="139"/>
      <c r="E580" s="139"/>
      <c r="F580" s="44"/>
      <c r="G580" s="44"/>
      <c r="H580" s="44"/>
      <c r="I580" s="44"/>
      <c r="J580" s="145"/>
      <c r="K580" s="143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>
      <c r="A581" s="144"/>
      <c r="B581" s="139"/>
      <c r="C581" s="139"/>
      <c r="D581" s="139"/>
      <c r="E581" s="139"/>
      <c r="F581" s="44"/>
      <c r="G581" s="44"/>
      <c r="H581" s="44"/>
      <c r="I581" s="44"/>
      <c r="J581" s="145"/>
      <c r="K581" s="143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>
      <c r="A582" s="144"/>
      <c r="B582" s="139"/>
      <c r="C582" s="139"/>
      <c r="D582" s="139"/>
      <c r="E582" s="139"/>
      <c r="F582" s="44"/>
      <c r="G582" s="44"/>
      <c r="H582" s="44"/>
      <c r="I582" s="44"/>
      <c r="J582" s="145"/>
      <c r="K582" s="143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>
      <c r="A583" s="144"/>
      <c r="B583" s="139"/>
      <c r="C583" s="139"/>
      <c r="D583" s="139"/>
      <c r="E583" s="139"/>
      <c r="F583" s="44"/>
      <c r="G583" s="44"/>
      <c r="H583" s="44"/>
      <c r="I583" s="44"/>
      <c r="J583" s="145"/>
      <c r="K583" s="143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>
      <c r="A584" s="144"/>
      <c r="B584" s="139"/>
      <c r="C584" s="139"/>
      <c r="D584" s="139"/>
      <c r="E584" s="139"/>
      <c r="F584" s="44"/>
      <c r="G584" s="44"/>
      <c r="H584" s="44"/>
      <c r="I584" s="44"/>
      <c r="J584" s="145"/>
      <c r="K584" s="143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>
      <c r="A585" s="144"/>
      <c r="B585" s="139"/>
      <c r="C585" s="139"/>
      <c r="D585" s="139"/>
      <c r="E585" s="139"/>
      <c r="F585" s="44"/>
      <c r="G585" s="44"/>
      <c r="H585" s="44"/>
      <c r="I585" s="44"/>
      <c r="J585" s="145"/>
      <c r="K585" s="143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>
      <c r="A586" s="144"/>
      <c r="B586" s="139"/>
      <c r="C586" s="139"/>
      <c r="D586" s="139"/>
      <c r="E586" s="139"/>
      <c r="F586" s="44"/>
      <c r="G586" s="44"/>
      <c r="H586" s="44"/>
      <c r="I586" s="44"/>
      <c r="J586" s="145"/>
      <c r="K586" s="143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>
      <c r="A587" s="144"/>
      <c r="B587" s="139"/>
      <c r="C587" s="139"/>
      <c r="D587" s="139"/>
      <c r="E587" s="139"/>
      <c r="F587" s="44"/>
      <c r="G587" s="44"/>
      <c r="H587" s="44"/>
      <c r="I587" s="44"/>
      <c r="J587" s="145"/>
      <c r="K587" s="143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>
      <c r="A588" s="144"/>
      <c r="B588" s="139"/>
      <c r="C588" s="139"/>
      <c r="D588" s="139"/>
      <c r="E588" s="139"/>
      <c r="F588" s="44"/>
      <c r="G588" s="44"/>
      <c r="H588" s="44"/>
      <c r="I588" s="44"/>
      <c r="J588" s="145"/>
      <c r="K588" s="143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>
      <c r="A589" s="144"/>
      <c r="B589" s="139"/>
      <c r="C589" s="139"/>
      <c r="D589" s="139"/>
      <c r="E589" s="139"/>
      <c r="F589" s="44"/>
      <c r="G589" s="44"/>
      <c r="H589" s="44"/>
      <c r="I589" s="44"/>
      <c r="J589" s="145"/>
      <c r="K589" s="143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>
      <c r="A590" s="144"/>
      <c r="B590" s="139"/>
      <c r="C590" s="139"/>
      <c r="D590" s="139"/>
      <c r="E590" s="139"/>
      <c r="F590" s="44"/>
      <c r="G590" s="44"/>
      <c r="H590" s="44"/>
      <c r="I590" s="44"/>
      <c r="J590" s="145"/>
      <c r="K590" s="143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>
      <c r="A591" s="144"/>
      <c r="B591" s="139"/>
      <c r="C591" s="139"/>
      <c r="D591" s="139"/>
      <c r="E591" s="139"/>
      <c r="F591" s="44"/>
      <c r="G591" s="44"/>
      <c r="H591" s="44"/>
      <c r="I591" s="44"/>
      <c r="J591" s="145"/>
      <c r="K591" s="143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>
      <c r="A592" s="144"/>
      <c r="B592" s="139"/>
      <c r="C592" s="139"/>
      <c r="D592" s="139"/>
      <c r="E592" s="139"/>
      <c r="F592" s="44"/>
      <c r="G592" s="44"/>
      <c r="H592" s="44"/>
      <c r="I592" s="44"/>
      <c r="J592" s="145"/>
      <c r="K592" s="143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>
      <c r="A593" s="144"/>
      <c r="B593" s="139"/>
      <c r="C593" s="139"/>
      <c r="D593" s="139"/>
      <c r="E593" s="139"/>
      <c r="F593" s="44"/>
      <c r="G593" s="44"/>
      <c r="H593" s="44"/>
      <c r="I593" s="44"/>
      <c r="J593" s="145"/>
      <c r="K593" s="143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>
      <c r="A594" s="144"/>
      <c r="B594" s="139"/>
      <c r="C594" s="139"/>
      <c r="D594" s="139"/>
      <c r="E594" s="139"/>
      <c r="F594" s="44"/>
      <c r="G594" s="44"/>
      <c r="H594" s="44"/>
      <c r="I594" s="44"/>
      <c r="J594" s="145"/>
      <c r="K594" s="143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>
      <c r="A595" s="144"/>
      <c r="B595" s="139"/>
      <c r="C595" s="139"/>
      <c r="D595" s="139"/>
      <c r="E595" s="139"/>
      <c r="F595" s="44"/>
      <c r="G595" s="44"/>
      <c r="H595" s="44"/>
      <c r="I595" s="44"/>
      <c r="J595" s="145"/>
      <c r="K595" s="143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>
      <c r="A596" s="144"/>
      <c r="B596" s="139"/>
      <c r="C596" s="139"/>
      <c r="D596" s="139"/>
      <c r="E596" s="139"/>
      <c r="F596" s="44"/>
      <c r="G596" s="44"/>
      <c r="H596" s="44"/>
      <c r="I596" s="44"/>
      <c r="J596" s="145"/>
      <c r="K596" s="143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>
      <c r="A597" s="144"/>
      <c r="B597" s="139"/>
      <c r="C597" s="139"/>
      <c r="D597" s="139"/>
      <c r="E597" s="139"/>
      <c r="F597" s="44"/>
      <c r="G597" s="44"/>
      <c r="H597" s="44"/>
      <c r="I597" s="44"/>
      <c r="J597" s="145"/>
      <c r="K597" s="143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>
      <c r="A598" s="144"/>
      <c r="B598" s="139"/>
      <c r="C598" s="139"/>
      <c r="D598" s="139"/>
      <c r="E598" s="139"/>
      <c r="F598" s="44"/>
      <c r="G598" s="44"/>
      <c r="H598" s="44"/>
      <c r="I598" s="44"/>
      <c r="J598" s="145"/>
      <c r="K598" s="143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>
      <c r="A599" s="144"/>
      <c r="B599" s="139"/>
      <c r="C599" s="139"/>
      <c r="D599" s="139"/>
      <c r="E599" s="139"/>
      <c r="F599" s="44"/>
      <c r="G599" s="44"/>
      <c r="H599" s="44"/>
      <c r="I599" s="44"/>
      <c r="J599" s="145"/>
      <c r="K599" s="143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>
      <c r="A600" s="144"/>
      <c r="B600" s="139"/>
      <c r="C600" s="139"/>
      <c r="D600" s="139"/>
      <c r="E600" s="139"/>
      <c r="F600" s="44"/>
      <c r="G600" s="44"/>
      <c r="H600" s="44"/>
      <c r="I600" s="44"/>
      <c r="J600" s="145"/>
      <c r="K600" s="143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>
      <c r="A601" s="144"/>
      <c r="B601" s="139"/>
      <c r="C601" s="139"/>
      <c r="D601" s="139"/>
      <c r="E601" s="139"/>
      <c r="F601" s="44"/>
      <c r="G601" s="44"/>
      <c r="H601" s="44"/>
      <c r="I601" s="44"/>
      <c r="J601" s="145"/>
      <c r="K601" s="143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>
      <c r="A602" s="144"/>
      <c r="B602" s="139"/>
      <c r="C602" s="139"/>
      <c r="D602" s="139"/>
      <c r="E602" s="139"/>
      <c r="F602" s="44"/>
      <c r="G602" s="44"/>
      <c r="H602" s="44"/>
      <c r="I602" s="44"/>
      <c r="J602" s="145"/>
      <c r="K602" s="143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>
      <c r="A603" s="144"/>
      <c r="B603" s="139"/>
      <c r="C603" s="139"/>
      <c r="D603" s="139"/>
      <c r="E603" s="139"/>
      <c r="F603" s="44"/>
      <c r="G603" s="44"/>
      <c r="H603" s="44"/>
      <c r="I603" s="44"/>
      <c r="J603" s="145"/>
      <c r="K603" s="143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>
      <c r="A604" s="144"/>
      <c r="B604" s="139"/>
      <c r="C604" s="139"/>
      <c r="D604" s="139"/>
      <c r="E604" s="139"/>
      <c r="F604" s="44"/>
      <c r="G604" s="44"/>
      <c r="H604" s="44"/>
      <c r="I604" s="44"/>
      <c r="J604" s="145"/>
      <c r="K604" s="143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>
      <c r="A605" s="144"/>
      <c r="B605" s="139"/>
      <c r="C605" s="139"/>
      <c r="D605" s="139"/>
      <c r="E605" s="139"/>
      <c r="F605" s="44"/>
      <c r="G605" s="44"/>
      <c r="H605" s="44"/>
      <c r="I605" s="44"/>
      <c r="J605" s="145"/>
      <c r="K605" s="143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>
      <c r="A606" s="144"/>
      <c r="B606" s="139"/>
      <c r="C606" s="139"/>
      <c r="D606" s="139"/>
      <c r="E606" s="139"/>
      <c r="F606" s="44"/>
      <c r="G606" s="44"/>
      <c r="H606" s="44"/>
      <c r="I606" s="44"/>
      <c r="J606" s="145"/>
      <c r="K606" s="143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>
      <c r="A607" s="144"/>
      <c r="B607" s="139"/>
      <c r="C607" s="139"/>
      <c r="D607" s="139"/>
      <c r="E607" s="139"/>
      <c r="F607" s="44"/>
      <c r="G607" s="44"/>
      <c r="H607" s="44"/>
      <c r="I607" s="44"/>
      <c r="J607" s="145"/>
      <c r="K607" s="143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>
      <c r="A608" s="144"/>
      <c r="B608" s="139"/>
      <c r="C608" s="139"/>
      <c r="D608" s="139"/>
      <c r="E608" s="139"/>
      <c r="F608" s="44"/>
      <c r="G608" s="44"/>
      <c r="H608" s="44"/>
      <c r="I608" s="44"/>
      <c r="J608" s="145"/>
      <c r="K608" s="143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>
      <c r="A609" s="144"/>
      <c r="B609" s="139"/>
      <c r="C609" s="139"/>
      <c r="D609" s="139"/>
      <c r="E609" s="139"/>
      <c r="F609" s="44"/>
      <c r="G609" s="44"/>
      <c r="H609" s="44"/>
      <c r="I609" s="44"/>
      <c r="J609" s="145"/>
      <c r="K609" s="143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>
      <c r="A610" s="144"/>
      <c r="B610" s="139"/>
      <c r="C610" s="139"/>
      <c r="D610" s="139"/>
      <c r="E610" s="139"/>
      <c r="F610" s="44"/>
      <c r="G610" s="44"/>
      <c r="H610" s="44"/>
      <c r="I610" s="44"/>
      <c r="J610" s="145"/>
      <c r="K610" s="143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>
      <c r="A611" s="144"/>
      <c r="B611" s="139"/>
      <c r="C611" s="139"/>
      <c r="D611" s="139"/>
      <c r="E611" s="139"/>
      <c r="F611" s="44"/>
      <c r="G611" s="44"/>
      <c r="H611" s="44"/>
      <c r="I611" s="44"/>
      <c r="J611" s="145"/>
      <c r="K611" s="143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>
      <c r="A612" s="144"/>
      <c r="B612" s="139"/>
      <c r="C612" s="139"/>
      <c r="D612" s="139"/>
      <c r="E612" s="139"/>
      <c r="F612" s="44"/>
      <c r="G612" s="44"/>
      <c r="H612" s="44"/>
      <c r="I612" s="44"/>
      <c r="J612" s="145"/>
      <c r="K612" s="143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>
      <c r="A613" s="144"/>
      <c r="B613" s="139"/>
      <c r="C613" s="139"/>
      <c r="D613" s="139"/>
      <c r="E613" s="139"/>
      <c r="F613" s="44"/>
      <c r="G613" s="44"/>
      <c r="H613" s="44"/>
      <c r="I613" s="44"/>
      <c r="J613" s="145"/>
      <c r="K613" s="143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>
      <c r="A614" s="144"/>
      <c r="B614" s="139"/>
      <c r="C614" s="139"/>
      <c r="D614" s="139"/>
      <c r="E614" s="139"/>
      <c r="F614" s="44"/>
      <c r="G614" s="44"/>
      <c r="H614" s="44"/>
      <c r="I614" s="44"/>
      <c r="J614" s="145"/>
      <c r="K614" s="143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>
      <c r="A615" s="144"/>
      <c r="B615" s="139"/>
      <c r="C615" s="139"/>
      <c r="D615" s="139"/>
      <c r="E615" s="139"/>
      <c r="F615" s="44"/>
      <c r="G615" s="44"/>
      <c r="H615" s="44"/>
      <c r="I615" s="44"/>
      <c r="J615" s="145"/>
      <c r="K615" s="143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>
      <c r="A616" s="144"/>
      <c r="B616" s="139"/>
      <c r="C616" s="139"/>
      <c r="D616" s="139"/>
      <c r="E616" s="139"/>
      <c r="F616" s="44"/>
      <c r="G616" s="44"/>
      <c r="H616" s="44"/>
      <c r="I616" s="44"/>
      <c r="J616" s="145"/>
      <c r="K616" s="143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>
      <c r="A617" s="144"/>
      <c r="B617" s="139"/>
      <c r="C617" s="139"/>
      <c r="D617" s="139"/>
      <c r="E617" s="139"/>
      <c r="F617" s="44"/>
      <c r="G617" s="44"/>
      <c r="H617" s="44"/>
      <c r="I617" s="44"/>
      <c r="J617" s="145"/>
      <c r="K617" s="143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>
      <c r="A618" s="144"/>
      <c r="B618" s="139"/>
      <c r="C618" s="139"/>
      <c r="D618" s="139"/>
      <c r="E618" s="139"/>
      <c r="F618" s="44"/>
      <c r="G618" s="44"/>
      <c r="H618" s="44"/>
      <c r="I618" s="44"/>
      <c r="J618" s="145"/>
      <c r="K618" s="143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>
      <c r="A619" s="144"/>
      <c r="B619" s="139"/>
      <c r="C619" s="139"/>
      <c r="D619" s="139"/>
      <c r="E619" s="139"/>
      <c r="F619" s="44"/>
      <c r="G619" s="44"/>
      <c r="H619" s="44"/>
      <c r="I619" s="44"/>
      <c r="J619" s="145"/>
      <c r="K619" s="143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>
      <c r="A620" s="144"/>
      <c r="B620" s="139"/>
      <c r="C620" s="139"/>
      <c r="D620" s="139"/>
      <c r="E620" s="139"/>
      <c r="F620" s="44"/>
      <c r="G620" s="44"/>
      <c r="H620" s="44"/>
      <c r="I620" s="44"/>
      <c r="J620" s="145"/>
      <c r="K620" s="143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>
      <c r="A621" s="144"/>
      <c r="B621" s="139"/>
      <c r="C621" s="139"/>
      <c r="D621" s="139"/>
      <c r="E621" s="139"/>
      <c r="F621" s="44"/>
      <c r="G621" s="44"/>
      <c r="H621" s="44"/>
      <c r="I621" s="44"/>
      <c r="J621" s="145"/>
      <c r="K621" s="143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>
      <c r="A622" s="144"/>
      <c r="B622" s="139"/>
      <c r="C622" s="139"/>
      <c r="D622" s="139"/>
      <c r="E622" s="139"/>
      <c r="F622" s="44"/>
      <c r="G622" s="44"/>
      <c r="H622" s="44"/>
      <c r="I622" s="44"/>
      <c r="J622" s="145"/>
      <c r="K622" s="143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>
      <c r="A623" s="144"/>
      <c r="B623" s="139"/>
      <c r="C623" s="139"/>
      <c r="D623" s="139"/>
      <c r="E623" s="139"/>
      <c r="F623" s="44"/>
      <c r="G623" s="44"/>
      <c r="H623" s="44"/>
      <c r="I623" s="44"/>
      <c r="J623" s="145"/>
      <c r="K623" s="143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>
      <c r="A624" s="144"/>
      <c r="B624" s="139"/>
      <c r="C624" s="139"/>
      <c r="D624" s="139"/>
      <c r="E624" s="139"/>
      <c r="F624" s="44"/>
      <c r="G624" s="44"/>
      <c r="H624" s="44"/>
      <c r="I624" s="44"/>
      <c r="J624" s="145"/>
      <c r="K624" s="143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>
      <c r="A625" s="144"/>
      <c r="B625" s="139"/>
      <c r="C625" s="139"/>
      <c r="D625" s="139"/>
      <c r="E625" s="139"/>
      <c r="F625" s="44"/>
      <c r="G625" s="44"/>
      <c r="H625" s="44"/>
      <c r="I625" s="44"/>
      <c r="J625" s="145"/>
      <c r="K625" s="143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>
      <c r="A626" s="144"/>
      <c r="B626" s="139"/>
      <c r="C626" s="139"/>
      <c r="D626" s="139"/>
      <c r="E626" s="139"/>
      <c r="F626" s="44"/>
      <c r="G626" s="44"/>
      <c r="H626" s="44"/>
      <c r="I626" s="44"/>
      <c r="J626" s="145"/>
      <c r="K626" s="143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>
      <c r="A627" s="144"/>
      <c r="B627" s="139"/>
      <c r="C627" s="139"/>
      <c r="D627" s="139"/>
      <c r="E627" s="139"/>
      <c r="F627" s="44"/>
      <c r="G627" s="44"/>
      <c r="H627" s="44"/>
      <c r="I627" s="44"/>
      <c r="J627" s="145"/>
      <c r="K627" s="143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>
      <c r="A628" s="144"/>
      <c r="B628" s="139"/>
      <c r="C628" s="139"/>
      <c r="D628" s="139"/>
      <c r="E628" s="139"/>
      <c r="F628" s="44"/>
      <c r="G628" s="44"/>
      <c r="H628" s="44"/>
      <c r="I628" s="44"/>
      <c r="J628" s="145"/>
      <c r="K628" s="143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>
      <c r="A629" s="144"/>
      <c r="B629" s="139"/>
      <c r="C629" s="139"/>
      <c r="D629" s="139"/>
      <c r="E629" s="139"/>
      <c r="F629" s="44"/>
      <c r="G629" s="44"/>
      <c r="H629" s="44"/>
      <c r="I629" s="44"/>
      <c r="J629" s="145"/>
      <c r="K629" s="143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>
      <c r="A630" s="144"/>
      <c r="B630" s="139"/>
      <c r="C630" s="139"/>
      <c r="D630" s="139"/>
      <c r="E630" s="139"/>
      <c r="F630" s="44"/>
      <c r="G630" s="44"/>
      <c r="H630" s="44"/>
      <c r="I630" s="44"/>
      <c r="J630" s="145"/>
      <c r="K630" s="143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>
      <c r="A631" s="144"/>
      <c r="B631" s="139"/>
      <c r="C631" s="139"/>
      <c r="D631" s="139"/>
      <c r="E631" s="139"/>
      <c r="F631" s="44"/>
      <c r="G631" s="44"/>
      <c r="H631" s="44"/>
      <c r="I631" s="44"/>
      <c r="J631" s="145"/>
      <c r="K631" s="143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>
      <c r="A632" s="144"/>
      <c r="B632" s="139"/>
      <c r="C632" s="139"/>
      <c r="D632" s="139"/>
      <c r="E632" s="139"/>
      <c r="F632" s="44"/>
      <c r="G632" s="44"/>
      <c r="H632" s="44"/>
      <c r="I632" s="44"/>
      <c r="J632" s="145"/>
      <c r="K632" s="143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>
      <c r="A633" s="144"/>
      <c r="B633" s="139"/>
      <c r="C633" s="139"/>
      <c r="D633" s="139"/>
      <c r="E633" s="139"/>
      <c r="F633" s="44"/>
      <c r="G633" s="44"/>
      <c r="H633" s="44"/>
      <c r="I633" s="44"/>
      <c r="J633" s="145"/>
      <c r="K633" s="143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>
      <c r="A634" s="144"/>
      <c r="B634" s="139"/>
      <c r="C634" s="139"/>
      <c r="D634" s="139"/>
      <c r="E634" s="139"/>
      <c r="F634" s="44"/>
      <c r="G634" s="44"/>
      <c r="H634" s="44"/>
      <c r="I634" s="44"/>
      <c r="J634" s="145"/>
      <c r="K634" s="143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>
      <c r="A635" s="144"/>
      <c r="B635" s="139"/>
      <c r="C635" s="139"/>
      <c r="D635" s="139"/>
      <c r="E635" s="139"/>
      <c r="F635" s="44"/>
      <c r="G635" s="44"/>
      <c r="H635" s="44"/>
      <c r="I635" s="44"/>
      <c r="J635" s="145"/>
      <c r="K635" s="143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>
      <c r="A636" s="144"/>
      <c r="B636" s="139"/>
      <c r="C636" s="139"/>
      <c r="D636" s="139"/>
      <c r="E636" s="139"/>
      <c r="F636" s="44"/>
      <c r="G636" s="44"/>
      <c r="H636" s="44"/>
      <c r="I636" s="44"/>
      <c r="J636" s="145"/>
      <c r="K636" s="143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>
      <c r="A637" s="144"/>
      <c r="B637" s="139"/>
      <c r="C637" s="139"/>
      <c r="D637" s="139"/>
      <c r="E637" s="139"/>
      <c r="F637" s="44"/>
      <c r="G637" s="44"/>
      <c r="H637" s="44"/>
      <c r="I637" s="44"/>
      <c r="J637" s="145"/>
      <c r="K637" s="143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>
      <c r="A638" s="144"/>
      <c r="B638" s="139"/>
      <c r="C638" s="139"/>
      <c r="D638" s="139"/>
      <c r="E638" s="139"/>
      <c r="F638" s="44"/>
      <c r="G638" s="44"/>
      <c r="H638" s="44"/>
      <c r="I638" s="44"/>
      <c r="J638" s="145"/>
      <c r="K638" s="143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>
      <c r="A639" s="144"/>
      <c r="B639" s="139"/>
      <c r="C639" s="139"/>
      <c r="D639" s="139"/>
      <c r="E639" s="139"/>
      <c r="F639" s="44"/>
      <c r="G639" s="44"/>
      <c r="H639" s="44"/>
      <c r="I639" s="44"/>
      <c r="J639" s="145"/>
      <c r="K639" s="143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>
      <c r="A640" s="144"/>
      <c r="B640" s="139"/>
      <c r="C640" s="139"/>
      <c r="D640" s="139"/>
      <c r="E640" s="139"/>
      <c r="F640" s="44"/>
      <c r="G640" s="44"/>
      <c r="H640" s="44"/>
      <c r="I640" s="44"/>
      <c r="J640" s="145"/>
      <c r="K640" s="143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>
      <c r="A641" s="144"/>
      <c r="B641" s="139"/>
      <c r="C641" s="139"/>
      <c r="D641" s="139"/>
      <c r="E641" s="139"/>
      <c r="F641" s="44"/>
      <c r="G641" s="44"/>
      <c r="H641" s="44"/>
      <c r="I641" s="44"/>
      <c r="J641" s="145"/>
      <c r="K641" s="143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>
      <c r="A642" s="144"/>
      <c r="B642" s="139"/>
      <c r="C642" s="139"/>
      <c r="D642" s="139"/>
      <c r="E642" s="139"/>
      <c r="F642" s="44"/>
      <c r="G642" s="44"/>
      <c r="H642" s="44"/>
      <c r="I642" s="44"/>
      <c r="J642" s="145"/>
      <c r="K642" s="143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>
      <c r="A643" s="144"/>
      <c r="B643" s="139"/>
      <c r="C643" s="139"/>
      <c r="D643" s="139"/>
      <c r="E643" s="139"/>
      <c r="F643" s="44"/>
      <c r="G643" s="44"/>
      <c r="H643" s="44"/>
      <c r="I643" s="44"/>
      <c r="J643" s="145"/>
      <c r="K643" s="143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>
      <c r="A644" s="144"/>
      <c r="B644" s="139"/>
      <c r="C644" s="139"/>
      <c r="D644" s="139"/>
      <c r="E644" s="139"/>
      <c r="F644" s="44"/>
      <c r="G644" s="44"/>
      <c r="H644" s="44"/>
      <c r="I644" s="44"/>
      <c r="J644" s="145"/>
      <c r="K644" s="143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>
      <c r="A645" s="144"/>
      <c r="B645" s="139"/>
      <c r="C645" s="139"/>
      <c r="D645" s="139"/>
      <c r="E645" s="139"/>
      <c r="F645" s="44"/>
      <c r="G645" s="44"/>
      <c r="H645" s="44"/>
      <c r="I645" s="44"/>
      <c r="J645" s="145"/>
      <c r="K645" s="143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>
      <c r="A646" s="144"/>
      <c r="B646" s="139"/>
      <c r="C646" s="139"/>
      <c r="D646" s="139"/>
      <c r="E646" s="139"/>
      <c r="F646" s="44"/>
      <c r="G646" s="44"/>
      <c r="H646" s="44"/>
      <c r="I646" s="44"/>
      <c r="J646" s="145"/>
      <c r="K646" s="143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>
      <c r="A647" s="144"/>
      <c r="B647" s="139"/>
      <c r="C647" s="139"/>
      <c r="D647" s="139"/>
      <c r="E647" s="139"/>
      <c r="F647" s="44"/>
      <c r="G647" s="44"/>
      <c r="H647" s="44"/>
      <c r="I647" s="44"/>
      <c r="J647" s="145"/>
      <c r="K647" s="143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>
      <c r="A648" s="144"/>
      <c r="B648" s="139"/>
      <c r="C648" s="139"/>
      <c r="D648" s="139"/>
      <c r="E648" s="139"/>
      <c r="F648" s="44"/>
      <c r="G648" s="44"/>
      <c r="H648" s="44"/>
      <c r="I648" s="44"/>
      <c r="J648" s="145"/>
      <c r="K648" s="143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>
      <c r="A649" s="144"/>
      <c r="B649" s="139"/>
      <c r="C649" s="139"/>
      <c r="D649" s="139"/>
      <c r="E649" s="139"/>
      <c r="F649" s="44"/>
      <c r="G649" s="44"/>
      <c r="H649" s="44"/>
      <c r="I649" s="44"/>
      <c r="J649" s="145"/>
      <c r="K649" s="143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>
      <c r="A650" s="144"/>
      <c r="B650" s="139"/>
      <c r="C650" s="139"/>
      <c r="D650" s="139"/>
      <c r="E650" s="139"/>
      <c r="F650" s="44"/>
      <c r="G650" s="44"/>
      <c r="H650" s="44"/>
      <c r="I650" s="44"/>
      <c r="J650" s="145"/>
      <c r="K650" s="143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>
      <c r="A651" s="144"/>
      <c r="B651" s="139"/>
      <c r="C651" s="139"/>
      <c r="D651" s="139"/>
      <c r="E651" s="139"/>
      <c r="F651" s="44"/>
      <c r="G651" s="44"/>
      <c r="H651" s="44"/>
      <c r="I651" s="44"/>
      <c r="J651" s="145"/>
      <c r="K651" s="143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>
      <c r="A652" s="144"/>
      <c r="B652" s="139"/>
      <c r="C652" s="139"/>
      <c r="D652" s="139"/>
      <c r="E652" s="139"/>
      <c r="F652" s="44"/>
      <c r="G652" s="44"/>
      <c r="H652" s="44"/>
      <c r="I652" s="44"/>
      <c r="J652" s="145"/>
      <c r="K652" s="143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>
      <c r="A653" s="144"/>
      <c r="B653" s="139"/>
      <c r="C653" s="139"/>
      <c r="D653" s="139"/>
      <c r="E653" s="139"/>
      <c r="F653" s="44"/>
      <c r="G653" s="44"/>
      <c r="H653" s="44"/>
      <c r="I653" s="44"/>
      <c r="J653" s="145"/>
      <c r="K653" s="143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>
      <c r="A654" s="144"/>
      <c r="B654" s="139"/>
      <c r="C654" s="139"/>
      <c r="D654" s="139"/>
      <c r="E654" s="139"/>
      <c r="F654" s="44"/>
      <c r="G654" s="44"/>
      <c r="H654" s="44"/>
      <c r="I654" s="44"/>
      <c r="J654" s="145"/>
      <c r="K654" s="143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>
      <c r="A655" s="144"/>
      <c r="B655" s="139"/>
      <c r="C655" s="139"/>
      <c r="D655" s="139"/>
      <c r="E655" s="139"/>
      <c r="F655" s="44"/>
      <c r="G655" s="44"/>
      <c r="H655" s="44"/>
      <c r="I655" s="44"/>
      <c r="J655" s="145"/>
      <c r="K655" s="143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>
      <c r="A656" s="144"/>
      <c r="B656" s="139"/>
      <c r="C656" s="139"/>
      <c r="D656" s="139"/>
      <c r="E656" s="139"/>
      <c r="F656" s="44"/>
      <c r="G656" s="44"/>
      <c r="H656" s="44"/>
      <c r="I656" s="44"/>
      <c r="J656" s="145"/>
      <c r="K656" s="143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>
      <c r="A657" s="144"/>
      <c r="B657" s="139"/>
      <c r="C657" s="139"/>
      <c r="D657" s="139"/>
      <c r="E657" s="139"/>
      <c r="F657" s="44"/>
      <c r="G657" s="44"/>
      <c r="H657" s="44"/>
      <c r="I657" s="44"/>
      <c r="J657" s="145"/>
      <c r="K657" s="143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>
      <c r="A658" s="144"/>
      <c r="B658" s="139"/>
      <c r="C658" s="139"/>
      <c r="D658" s="139"/>
      <c r="E658" s="139"/>
      <c r="F658" s="44"/>
      <c r="G658" s="44"/>
      <c r="H658" s="44"/>
      <c r="I658" s="44"/>
      <c r="J658" s="145"/>
      <c r="K658" s="143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>
      <c r="A659" s="144"/>
      <c r="B659" s="139"/>
      <c r="C659" s="139"/>
      <c r="D659" s="139"/>
      <c r="E659" s="139"/>
      <c r="F659" s="44"/>
      <c r="G659" s="44"/>
      <c r="H659" s="44"/>
      <c r="I659" s="44"/>
      <c r="J659" s="145"/>
      <c r="K659" s="143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>
      <c r="A660" s="144"/>
      <c r="B660" s="139"/>
      <c r="C660" s="139"/>
      <c r="D660" s="139"/>
      <c r="E660" s="139"/>
      <c r="F660" s="44"/>
      <c r="G660" s="44"/>
      <c r="H660" s="44"/>
      <c r="I660" s="44"/>
      <c r="J660" s="145"/>
      <c r="K660" s="143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>
      <c r="A661" s="144"/>
      <c r="B661" s="139"/>
      <c r="C661" s="139"/>
      <c r="D661" s="139"/>
      <c r="E661" s="139"/>
      <c r="F661" s="44"/>
      <c r="G661" s="44"/>
      <c r="H661" s="44"/>
      <c r="I661" s="44"/>
      <c r="J661" s="145"/>
      <c r="K661" s="143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>
      <c r="A662" s="144"/>
      <c r="B662" s="139"/>
      <c r="C662" s="139"/>
      <c r="D662" s="139"/>
      <c r="E662" s="139"/>
      <c r="F662" s="44"/>
      <c r="G662" s="44"/>
      <c r="H662" s="44"/>
      <c r="I662" s="44"/>
      <c r="J662" s="145"/>
      <c r="K662" s="143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>
      <c r="A663" s="144"/>
      <c r="B663" s="139"/>
      <c r="C663" s="139"/>
      <c r="D663" s="139"/>
      <c r="E663" s="139"/>
      <c r="F663" s="44"/>
      <c r="G663" s="44"/>
      <c r="H663" s="44"/>
      <c r="I663" s="44"/>
      <c r="J663" s="145"/>
      <c r="K663" s="143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>
      <c r="A664" s="144"/>
      <c r="B664" s="139"/>
      <c r="C664" s="139"/>
      <c r="D664" s="139"/>
      <c r="E664" s="139"/>
      <c r="F664" s="44"/>
      <c r="G664" s="44"/>
      <c r="H664" s="44"/>
      <c r="I664" s="44"/>
      <c r="J664" s="145"/>
      <c r="K664" s="143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>
      <c r="A665" s="144"/>
      <c r="B665" s="139"/>
      <c r="C665" s="139"/>
      <c r="D665" s="139"/>
      <c r="E665" s="139"/>
      <c r="F665" s="44"/>
      <c r="G665" s="44"/>
      <c r="H665" s="44"/>
      <c r="I665" s="44"/>
      <c r="J665" s="145"/>
      <c r="K665" s="143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>
      <c r="A666" s="144"/>
      <c r="B666" s="139"/>
      <c r="C666" s="139"/>
      <c r="D666" s="139"/>
      <c r="E666" s="139"/>
      <c r="F666" s="44"/>
      <c r="G666" s="44"/>
      <c r="H666" s="44"/>
      <c r="I666" s="44"/>
      <c r="J666" s="145"/>
      <c r="K666" s="143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>
      <c r="A667" s="144"/>
      <c r="B667" s="139"/>
      <c r="C667" s="139"/>
      <c r="D667" s="139"/>
      <c r="E667" s="139"/>
      <c r="F667" s="44"/>
      <c r="G667" s="44"/>
      <c r="H667" s="44"/>
      <c r="I667" s="44"/>
      <c r="J667" s="145"/>
      <c r="K667" s="143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>
      <c r="A668" s="144"/>
      <c r="B668" s="139"/>
      <c r="C668" s="139"/>
      <c r="D668" s="139"/>
      <c r="E668" s="139"/>
      <c r="F668" s="44"/>
      <c r="G668" s="44"/>
      <c r="H668" s="44"/>
      <c r="I668" s="44"/>
      <c r="J668" s="145"/>
      <c r="K668" s="143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>
      <c r="A669" s="144"/>
      <c r="B669" s="139"/>
      <c r="C669" s="139"/>
      <c r="D669" s="139"/>
      <c r="E669" s="139"/>
      <c r="F669" s="44"/>
      <c r="G669" s="44"/>
      <c r="H669" s="44"/>
      <c r="I669" s="44"/>
      <c r="J669" s="145"/>
      <c r="K669" s="143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>
      <c r="A670" s="144"/>
      <c r="B670" s="139"/>
      <c r="C670" s="139"/>
      <c r="D670" s="139"/>
      <c r="E670" s="139"/>
      <c r="F670" s="44"/>
      <c r="G670" s="44"/>
      <c r="H670" s="44"/>
      <c r="I670" s="44"/>
      <c r="J670" s="145"/>
      <c r="K670" s="143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>
      <c r="A671" s="144"/>
      <c r="B671" s="139"/>
      <c r="C671" s="139"/>
      <c r="D671" s="139"/>
      <c r="E671" s="139"/>
      <c r="F671" s="44"/>
      <c r="G671" s="44"/>
      <c r="H671" s="44"/>
      <c r="I671" s="44"/>
      <c r="J671" s="145"/>
      <c r="K671" s="143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>
      <c r="A672" s="144"/>
      <c r="B672" s="139"/>
      <c r="C672" s="139"/>
      <c r="D672" s="139"/>
      <c r="E672" s="139"/>
      <c r="F672" s="44"/>
      <c r="G672" s="44"/>
      <c r="H672" s="44"/>
      <c r="I672" s="44"/>
      <c r="J672" s="145"/>
      <c r="K672" s="143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>
      <c r="A673" s="144"/>
      <c r="B673" s="139"/>
      <c r="C673" s="139"/>
      <c r="D673" s="139"/>
      <c r="E673" s="139"/>
      <c r="F673" s="44"/>
      <c r="G673" s="44"/>
      <c r="H673" s="44"/>
      <c r="I673" s="44"/>
      <c r="J673" s="145"/>
      <c r="K673" s="143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>
      <c r="A674" s="144"/>
      <c r="B674" s="139"/>
      <c r="C674" s="139"/>
      <c r="D674" s="139"/>
      <c r="E674" s="139"/>
      <c r="F674" s="44"/>
      <c r="G674" s="44"/>
      <c r="H674" s="44"/>
      <c r="I674" s="44"/>
      <c r="J674" s="145"/>
      <c r="K674" s="143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>
      <c r="A675" s="144"/>
      <c r="B675" s="139"/>
      <c r="C675" s="139"/>
      <c r="D675" s="139"/>
      <c r="E675" s="139"/>
      <c r="F675" s="44"/>
      <c r="G675" s="44"/>
      <c r="H675" s="44"/>
      <c r="I675" s="44"/>
      <c r="J675" s="145"/>
      <c r="K675" s="143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>
      <c r="A676" s="144"/>
      <c r="B676" s="139"/>
      <c r="C676" s="139"/>
      <c r="D676" s="139"/>
      <c r="E676" s="139"/>
      <c r="F676" s="44"/>
      <c r="G676" s="44"/>
      <c r="H676" s="44"/>
      <c r="I676" s="44"/>
      <c r="J676" s="145"/>
      <c r="K676" s="143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>
      <c r="A677" s="144"/>
      <c r="B677" s="139"/>
      <c r="C677" s="139"/>
      <c r="D677" s="139"/>
      <c r="E677" s="139"/>
      <c r="F677" s="44"/>
      <c r="G677" s="44"/>
      <c r="H677" s="44"/>
      <c r="I677" s="44"/>
      <c r="J677" s="145"/>
      <c r="K677" s="143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>
      <c r="A678" s="144"/>
      <c r="B678" s="139"/>
      <c r="C678" s="139"/>
      <c r="D678" s="139"/>
      <c r="E678" s="139"/>
      <c r="F678" s="44"/>
      <c r="G678" s="44"/>
      <c r="H678" s="44"/>
      <c r="I678" s="44"/>
      <c r="J678" s="145"/>
      <c r="K678" s="143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>
      <c r="A679" s="144"/>
      <c r="B679" s="139"/>
      <c r="C679" s="139"/>
      <c r="D679" s="139"/>
      <c r="E679" s="139"/>
      <c r="F679" s="44"/>
      <c r="G679" s="44"/>
      <c r="H679" s="44"/>
      <c r="I679" s="44"/>
      <c r="J679" s="145"/>
      <c r="K679" s="143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>
      <c r="A680" s="144"/>
      <c r="B680" s="139"/>
      <c r="C680" s="139"/>
      <c r="D680" s="139"/>
      <c r="E680" s="139"/>
      <c r="F680" s="44"/>
      <c r="G680" s="44"/>
      <c r="H680" s="44"/>
      <c r="I680" s="44"/>
      <c r="J680" s="145"/>
      <c r="K680" s="143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>
      <c r="A681" s="144"/>
      <c r="B681" s="139"/>
      <c r="C681" s="139"/>
      <c r="D681" s="139"/>
      <c r="E681" s="139"/>
      <c r="F681" s="44"/>
      <c r="G681" s="44"/>
      <c r="H681" s="44"/>
      <c r="I681" s="44"/>
      <c r="J681" s="145"/>
      <c r="K681" s="143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>
      <c r="A682" s="144"/>
      <c r="B682" s="139"/>
      <c r="C682" s="139"/>
      <c r="D682" s="139"/>
      <c r="E682" s="139"/>
      <c r="F682" s="44"/>
      <c r="G682" s="44"/>
      <c r="H682" s="44"/>
      <c r="I682" s="44"/>
      <c r="J682" s="145"/>
      <c r="K682" s="143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>
      <c r="A683" s="144"/>
      <c r="B683" s="139"/>
      <c r="C683" s="139"/>
      <c r="D683" s="139"/>
      <c r="E683" s="139"/>
      <c r="F683" s="44"/>
      <c r="G683" s="44"/>
      <c r="H683" s="44"/>
      <c r="I683" s="44"/>
      <c r="J683" s="145"/>
      <c r="K683" s="143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>
      <c r="A684" s="144"/>
      <c r="B684" s="139"/>
      <c r="C684" s="139"/>
      <c r="D684" s="139"/>
      <c r="E684" s="139"/>
      <c r="F684" s="44"/>
      <c r="G684" s="44"/>
      <c r="H684" s="44"/>
      <c r="I684" s="44"/>
      <c r="J684" s="145"/>
      <c r="K684" s="143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>
      <c r="A685" s="144"/>
      <c r="B685" s="139"/>
      <c r="C685" s="139"/>
      <c r="D685" s="139"/>
      <c r="E685" s="139"/>
      <c r="F685" s="44"/>
      <c r="G685" s="44"/>
      <c r="H685" s="44"/>
      <c r="I685" s="44"/>
      <c r="J685" s="145"/>
      <c r="K685" s="143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>
      <c r="A686" s="144"/>
      <c r="B686" s="139"/>
      <c r="C686" s="139"/>
      <c r="D686" s="139"/>
      <c r="E686" s="139"/>
      <c r="F686" s="44"/>
      <c r="G686" s="44"/>
      <c r="H686" s="44"/>
      <c r="I686" s="44"/>
      <c r="J686" s="145"/>
      <c r="K686" s="143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>
      <c r="A687" s="144"/>
      <c r="B687" s="139"/>
      <c r="C687" s="139"/>
      <c r="D687" s="139"/>
      <c r="E687" s="139"/>
      <c r="F687" s="44"/>
      <c r="G687" s="44"/>
      <c r="H687" s="44"/>
      <c r="I687" s="44"/>
      <c r="J687" s="145"/>
      <c r="K687" s="143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>
      <c r="A688" s="144"/>
      <c r="B688" s="139"/>
      <c r="C688" s="139"/>
      <c r="D688" s="139"/>
      <c r="E688" s="139"/>
      <c r="F688" s="44"/>
      <c r="G688" s="44"/>
      <c r="H688" s="44"/>
      <c r="I688" s="44"/>
      <c r="J688" s="145"/>
      <c r="K688" s="143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>
      <c r="A689" s="144"/>
      <c r="B689" s="139"/>
      <c r="C689" s="139"/>
      <c r="D689" s="139"/>
      <c r="E689" s="139"/>
      <c r="F689" s="44"/>
      <c r="G689" s="44"/>
      <c r="H689" s="44"/>
      <c r="I689" s="44"/>
      <c r="J689" s="145"/>
      <c r="K689" s="143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>
      <c r="A690" s="144"/>
      <c r="B690" s="139"/>
      <c r="C690" s="139"/>
      <c r="D690" s="139"/>
      <c r="E690" s="139"/>
      <c r="F690" s="44"/>
      <c r="G690" s="44"/>
      <c r="H690" s="44"/>
      <c r="I690" s="44"/>
      <c r="J690" s="145"/>
      <c r="K690" s="143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>
      <c r="A691" s="144"/>
      <c r="B691" s="139"/>
      <c r="C691" s="139"/>
      <c r="D691" s="139"/>
      <c r="E691" s="139"/>
      <c r="F691" s="44"/>
      <c r="G691" s="44"/>
      <c r="H691" s="44"/>
      <c r="I691" s="44"/>
      <c r="J691" s="145"/>
      <c r="K691" s="143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>
      <c r="A692" s="144"/>
      <c r="B692" s="139"/>
      <c r="C692" s="139"/>
      <c r="D692" s="139"/>
      <c r="E692" s="139"/>
      <c r="F692" s="44"/>
      <c r="G692" s="44"/>
      <c r="H692" s="44"/>
      <c r="I692" s="44"/>
      <c r="J692" s="145"/>
      <c r="K692" s="143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>
      <c r="A693" s="144"/>
      <c r="B693" s="139"/>
      <c r="C693" s="139"/>
      <c r="D693" s="139"/>
      <c r="E693" s="139"/>
      <c r="F693" s="44"/>
      <c r="G693" s="44"/>
      <c r="H693" s="44"/>
      <c r="I693" s="44"/>
      <c r="J693" s="145"/>
      <c r="K693" s="143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>
      <c r="A694" s="144"/>
      <c r="B694" s="139"/>
      <c r="C694" s="139"/>
      <c r="D694" s="139"/>
      <c r="E694" s="139"/>
      <c r="F694" s="44"/>
      <c r="G694" s="44"/>
      <c r="H694" s="44"/>
      <c r="I694" s="44"/>
      <c r="J694" s="145"/>
      <c r="K694" s="143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>
      <c r="A695" s="144"/>
      <c r="B695" s="139"/>
      <c r="C695" s="139"/>
      <c r="D695" s="139"/>
      <c r="E695" s="139"/>
      <c r="F695" s="44"/>
      <c r="G695" s="44"/>
      <c r="H695" s="44"/>
      <c r="I695" s="44"/>
      <c r="J695" s="145"/>
      <c r="K695" s="143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>
      <c r="A696" s="144"/>
      <c r="B696" s="139"/>
      <c r="C696" s="139"/>
      <c r="D696" s="139"/>
      <c r="E696" s="139"/>
      <c r="F696" s="44"/>
      <c r="G696" s="44"/>
      <c r="H696" s="44"/>
      <c r="I696" s="44"/>
      <c r="J696" s="145"/>
      <c r="K696" s="143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>
      <c r="A697" s="144"/>
      <c r="B697" s="139"/>
      <c r="C697" s="139"/>
      <c r="D697" s="139"/>
      <c r="E697" s="139"/>
      <c r="F697" s="44"/>
      <c r="G697" s="44"/>
      <c r="H697" s="44"/>
      <c r="I697" s="44"/>
      <c r="J697" s="145"/>
      <c r="K697" s="143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>
      <c r="A698" s="144"/>
      <c r="B698" s="139"/>
      <c r="C698" s="139"/>
      <c r="D698" s="139"/>
      <c r="E698" s="139"/>
      <c r="F698" s="44"/>
      <c r="G698" s="44"/>
      <c r="H698" s="44"/>
      <c r="I698" s="44"/>
      <c r="J698" s="145"/>
      <c r="K698" s="143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>
      <c r="A699" s="144"/>
      <c r="B699" s="139"/>
      <c r="C699" s="139"/>
      <c r="D699" s="139"/>
      <c r="E699" s="139"/>
      <c r="F699" s="44"/>
      <c r="G699" s="44"/>
      <c r="H699" s="44"/>
      <c r="I699" s="44"/>
      <c r="J699" s="145"/>
      <c r="K699" s="143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>
      <c r="A700" s="144"/>
      <c r="B700" s="139"/>
      <c r="C700" s="139"/>
      <c r="D700" s="139"/>
      <c r="E700" s="139"/>
      <c r="F700" s="44"/>
      <c r="G700" s="44"/>
      <c r="H700" s="44"/>
      <c r="I700" s="44"/>
      <c r="J700" s="145"/>
      <c r="K700" s="143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>
      <c r="A701" s="144"/>
      <c r="B701" s="139"/>
      <c r="C701" s="139"/>
      <c r="D701" s="139"/>
      <c r="E701" s="139"/>
      <c r="F701" s="44"/>
      <c r="G701" s="44"/>
      <c r="H701" s="44"/>
      <c r="I701" s="44"/>
      <c r="J701" s="145"/>
      <c r="K701" s="143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>
      <c r="A702" s="144"/>
      <c r="B702" s="139"/>
      <c r="C702" s="139"/>
      <c r="D702" s="139"/>
      <c r="E702" s="139"/>
      <c r="F702" s="44"/>
      <c r="G702" s="44"/>
      <c r="H702" s="44"/>
      <c r="I702" s="44"/>
      <c r="J702" s="145"/>
      <c r="K702" s="143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>
      <c r="A703" s="144"/>
      <c r="B703" s="139"/>
      <c r="C703" s="139"/>
      <c r="D703" s="139"/>
      <c r="E703" s="139"/>
      <c r="F703" s="44"/>
      <c r="G703" s="44"/>
      <c r="H703" s="44"/>
      <c r="I703" s="44"/>
      <c r="J703" s="145"/>
      <c r="K703" s="143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>
      <c r="A704" s="144"/>
      <c r="B704" s="139"/>
      <c r="C704" s="139"/>
      <c r="D704" s="139"/>
      <c r="E704" s="139"/>
      <c r="F704" s="44"/>
      <c r="G704" s="44"/>
      <c r="H704" s="44"/>
      <c r="I704" s="44"/>
      <c r="J704" s="145"/>
      <c r="K704" s="143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>
      <c r="A705" s="144"/>
      <c r="B705" s="139"/>
      <c r="C705" s="139"/>
      <c r="D705" s="139"/>
      <c r="E705" s="139"/>
      <c r="F705" s="44"/>
      <c r="G705" s="44"/>
      <c r="H705" s="44"/>
      <c r="I705" s="44"/>
      <c r="J705" s="145"/>
      <c r="K705" s="143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>
      <c r="A706" s="144"/>
      <c r="B706" s="139"/>
      <c r="C706" s="139"/>
      <c r="D706" s="139"/>
      <c r="E706" s="139"/>
      <c r="F706" s="44"/>
      <c r="G706" s="44"/>
      <c r="H706" s="44"/>
      <c r="I706" s="44"/>
      <c r="J706" s="145"/>
      <c r="K706" s="143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>
      <c r="A707" s="144"/>
      <c r="B707" s="139"/>
      <c r="C707" s="139"/>
      <c r="D707" s="139"/>
      <c r="E707" s="139"/>
      <c r="F707" s="44"/>
      <c r="G707" s="44"/>
      <c r="H707" s="44"/>
      <c r="I707" s="44"/>
      <c r="J707" s="145"/>
      <c r="K707" s="143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>
      <c r="A708" s="144"/>
      <c r="B708" s="139"/>
      <c r="C708" s="139"/>
      <c r="D708" s="139"/>
      <c r="E708" s="139"/>
      <c r="F708" s="44"/>
      <c r="G708" s="44"/>
      <c r="H708" s="44"/>
      <c r="I708" s="44"/>
      <c r="J708" s="145"/>
      <c r="K708" s="143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>
      <c r="A709" s="144"/>
      <c r="B709" s="139"/>
      <c r="C709" s="139"/>
      <c r="D709" s="139"/>
      <c r="E709" s="139"/>
      <c r="F709" s="44"/>
      <c r="G709" s="44"/>
      <c r="H709" s="44"/>
      <c r="I709" s="44"/>
      <c r="J709" s="145"/>
      <c r="K709" s="143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>
      <c r="A710" s="144"/>
      <c r="B710" s="139"/>
      <c r="C710" s="139"/>
      <c r="D710" s="139"/>
      <c r="E710" s="139"/>
      <c r="F710" s="44"/>
      <c r="G710" s="44"/>
      <c r="H710" s="44"/>
      <c r="I710" s="44"/>
      <c r="J710" s="145"/>
      <c r="K710" s="143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>
      <c r="A711" s="144"/>
      <c r="B711" s="139"/>
      <c r="C711" s="139"/>
      <c r="D711" s="139"/>
      <c r="E711" s="139"/>
      <c r="F711" s="44"/>
      <c r="G711" s="44"/>
      <c r="H711" s="44"/>
      <c r="I711" s="44"/>
      <c r="J711" s="145"/>
      <c r="K711" s="143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>
      <c r="A712" s="144"/>
      <c r="B712" s="139"/>
      <c r="C712" s="139"/>
      <c r="D712" s="139"/>
      <c r="E712" s="139"/>
      <c r="F712" s="44"/>
      <c r="G712" s="44"/>
      <c r="H712" s="44"/>
      <c r="I712" s="44"/>
      <c r="J712" s="145"/>
      <c r="K712" s="143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>
      <c r="A713" s="144"/>
      <c r="B713" s="139"/>
      <c r="C713" s="139"/>
      <c r="D713" s="139"/>
      <c r="E713" s="139"/>
      <c r="F713" s="44"/>
      <c r="G713" s="44"/>
      <c r="H713" s="44"/>
      <c r="I713" s="44"/>
      <c r="J713" s="145"/>
      <c r="K713" s="143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>
      <c r="A714" s="144"/>
      <c r="B714" s="139"/>
      <c r="C714" s="139"/>
      <c r="D714" s="139"/>
      <c r="E714" s="139"/>
      <c r="F714" s="44"/>
      <c r="G714" s="44"/>
      <c r="H714" s="44"/>
      <c r="I714" s="44"/>
      <c r="J714" s="145"/>
      <c r="K714" s="143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>
      <c r="A715" s="144"/>
      <c r="B715" s="139"/>
      <c r="C715" s="139"/>
      <c r="D715" s="139"/>
      <c r="E715" s="139"/>
      <c r="F715" s="44"/>
      <c r="G715" s="44"/>
      <c r="H715" s="44"/>
      <c r="I715" s="44"/>
      <c r="J715" s="145"/>
      <c r="K715" s="143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>
      <c r="A716" s="144"/>
      <c r="B716" s="139"/>
      <c r="C716" s="139"/>
      <c r="D716" s="139"/>
      <c r="E716" s="139"/>
      <c r="F716" s="44"/>
      <c r="G716" s="44"/>
      <c r="H716" s="44"/>
      <c r="I716" s="44"/>
      <c r="J716" s="145"/>
      <c r="K716" s="143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>
      <c r="A717" s="144"/>
      <c r="B717" s="139"/>
      <c r="C717" s="139"/>
      <c r="D717" s="139"/>
      <c r="E717" s="139"/>
      <c r="F717" s="44"/>
      <c r="G717" s="44"/>
      <c r="H717" s="44"/>
      <c r="I717" s="44"/>
      <c r="J717" s="145"/>
      <c r="K717" s="143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>
      <c r="A718" s="144"/>
      <c r="B718" s="139"/>
      <c r="C718" s="139"/>
      <c r="D718" s="139"/>
      <c r="E718" s="139"/>
      <c r="F718" s="44"/>
      <c r="G718" s="44"/>
      <c r="H718" s="44"/>
      <c r="I718" s="44"/>
      <c r="J718" s="145"/>
      <c r="K718" s="143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>
      <c r="A719" s="144"/>
      <c r="B719" s="139"/>
      <c r="C719" s="139"/>
      <c r="D719" s="139"/>
      <c r="E719" s="139"/>
      <c r="F719" s="44"/>
      <c r="G719" s="44"/>
      <c r="H719" s="44"/>
      <c r="I719" s="44"/>
      <c r="J719" s="145"/>
      <c r="K719" s="143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>
      <c r="A720" s="144"/>
      <c r="B720" s="139"/>
      <c r="C720" s="139"/>
      <c r="D720" s="139"/>
      <c r="E720" s="139"/>
      <c r="F720" s="44"/>
      <c r="G720" s="44"/>
      <c r="H720" s="44"/>
      <c r="I720" s="44"/>
      <c r="J720" s="145"/>
      <c r="K720" s="143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>
      <c r="A721" s="144"/>
      <c r="B721" s="139"/>
      <c r="C721" s="139"/>
      <c r="D721" s="139"/>
      <c r="E721" s="139"/>
      <c r="F721" s="44"/>
      <c r="G721" s="44"/>
      <c r="H721" s="44"/>
      <c r="I721" s="44"/>
      <c r="J721" s="145"/>
      <c r="K721" s="143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>
      <c r="A722" s="144"/>
      <c r="B722" s="139"/>
      <c r="C722" s="139"/>
      <c r="D722" s="139"/>
      <c r="E722" s="139"/>
      <c r="F722" s="44"/>
      <c r="G722" s="44"/>
      <c r="H722" s="44"/>
      <c r="I722" s="44"/>
      <c r="J722" s="145"/>
      <c r="K722" s="143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>
      <c r="A723" s="144"/>
      <c r="B723" s="139"/>
      <c r="C723" s="139"/>
      <c r="D723" s="139"/>
      <c r="E723" s="139"/>
      <c r="F723" s="44"/>
      <c r="G723" s="44"/>
      <c r="H723" s="44"/>
      <c r="I723" s="44"/>
      <c r="J723" s="145"/>
      <c r="K723" s="143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>
      <c r="A724" s="144"/>
      <c r="B724" s="139"/>
      <c r="C724" s="139"/>
      <c r="D724" s="139"/>
      <c r="E724" s="139"/>
      <c r="F724" s="44"/>
      <c r="G724" s="44"/>
      <c r="H724" s="44"/>
      <c r="I724" s="44"/>
      <c r="J724" s="145"/>
      <c r="K724" s="143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>
      <c r="A725" s="144"/>
      <c r="B725" s="139"/>
      <c r="C725" s="139"/>
      <c r="D725" s="139"/>
      <c r="E725" s="139"/>
      <c r="F725" s="44"/>
      <c r="G725" s="44"/>
      <c r="H725" s="44"/>
      <c r="I725" s="44"/>
      <c r="J725" s="145"/>
      <c r="K725" s="143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>
      <c r="A726" s="144"/>
      <c r="B726" s="139"/>
      <c r="C726" s="139"/>
      <c r="D726" s="139"/>
      <c r="E726" s="139"/>
      <c r="F726" s="44"/>
      <c r="G726" s="44"/>
      <c r="H726" s="44"/>
      <c r="I726" s="44"/>
      <c r="J726" s="145"/>
      <c r="K726" s="143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>
      <c r="A727" s="144"/>
      <c r="B727" s="139"/>
      <c r="C727" s="139"/>
      <c r="D727" s="139"/>
      <c r="E727" s="139"/>
      <c r="F727" s="44"/>
      <c r="G727" s="44"/>
      <c r="H727" s="44"/>
      <c r="I727" s="44"/>
      <c r="J727" s="145"/>
      <c r="K727" s="143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>
      <c r="A728" s="144"/>
      <c r="B728" s="139"/>
      <c r="C728" s="139"/>
      <c r="D728" s="139"/>
      <c r="E728" s="139"/>
      <c r="F728" s="44"/>
      <c r="G728" s="44"/>
      <c r="H728" s="44"/>
      <c r="I728" s="44"/>
      <c r="J728" s="145"/>
      <c r="K728" s="143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>
      <c r="A729" s="144"/>
      <c r="B729" s="139"/>
      <c r="C729" s="139"/>
      <c r="D729" s="139"/>
      <c r="E729" s="139"/>
      <c r="F729" s="44"/>
      <c r="G729" s="44"/>
      <c r="H729" s="44"/>
      <c r="I729" s="44"/>
      <c r="J729" s="145"/>
      <c r="K729" s="143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>
      <c r="A730" s="144"/>
      <c r="B730" s="139"/>
      <c r="C730" s="139"/>
      <c r="D730" s="139"/>
      <c r="E730" s="139"/>
      <c r="F730" s="44"/>
      <c r="G730" s="44"/>
      <c r="H730" s="44"/>
      <c r="I730" s="44"/>
      <c r="J730" s="145"/>
      <c r="K730" s="143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>
      <c r="A731" s="144"/>
      <c r="B731" s="139"/>
      <c r="C731" s="139"/>
      <c r="D731" s="139"/>
      <c r="E731" s="139"/>
      <c r="F731" s="44"/>
      <c r="G731" s="44"/>
      <c r="H731" s="44"/>
      <c r="I731" s="44"/>
      <c r="J731" s="145"/>
      <c r="K731" s="143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>
      <c r="A732" s="144"/>
      <c r="B732" s="139"/>
      <c r="C732" s="139"/>
      <c r="D732" s="139"/>
      <c r="E732" s="139"/>
      <c r="F732" s="44"/>
      <c r="G732" s="44"/>
      <c r="H732" s="44"/>
      <c r="I732" s="44"/>
      <c r="J732" s="145"/>
      <c r="K732" s="143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>
      <c r="A733" s="144"/>
      <c r="B733" s="139"/>
      <c r="C733" s="139"/>
      <c r="D733" s="139"/>
      <c r="E733" s="139"/>
      <c r="F733" s="44"/>
      <c r="G733" s="44"/>
      <c r="H733" s="44"/>
      <c r="I733" s="44"/>
      <c r="J733" s="145"/>
      <c r="K733" s="143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>
      <c r="A734" s="144"/>
      <c r="B734" s="139"/>
      <c r="C734" s="139"/>
      <c r="D734" s="139"/>
      <c r="E734" s="139"/>
      <c r="F734" s="44"/>
      <c r="G734" s="44"/>
      <c r="H734" s="44"/>
      <c r="I734" s="44"/>
      <c r="J734" s="145"/>
      <c r="K734" s="143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>
      <c r="A735" s="144"/>
      <c r="B735" s="139"/>
      <c r="C735" s="139"/>
      <c r="D735" s="139"/>
      <c r="E735" s="139"/>
      <c r="F735" s="44"/>
      <c r="G735" s="44"/>
      <c r="H735" s="44"/>
      <c r="I735" s="44"/>
      <c r="J735" s="145"/>
      <c r="K735" s="143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>
      <c r="A736" s="144"/>
      <c r="B736" s="139"/>
      <c r="C736" s="139"/>
      <c r="D736" s="139"/>
      <c r="E736" s="139"/>
      <c r="F736" s="44"/>
      <c r="G736" s="44"/>
      <c r="H736" s="44"/>
      <c r="I736" s="44"/>
      <c r="J736" s="145"/>
      <c r="K736" s="143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>
      <c r="A737" s="144"/>
      <c r="B737" s="139"/>
      <c r="C737" s="139"/>
      <c r="D737" s="139"/>
      <c r="E737" s="139"/>
      <c r="F737" s="44"/>
      <c r="G737" s="44"/>
      <c r="H737" s="44"/>
      <c r="I737" s="44"/>
      <c r="J737" s="145"/>
      <c r="K737" s="143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>
      <c r="A738" s="144"/>
      <c r="B738" s="139"/>
      <c r="C738" s="139"/>
      <c r="D738" s="139"/>
      <c r="E738" s="139"/>
      <c r="F738" s="44"/>
      <c r="G738" s="44"/>
      <c r="H738" s="44"/>
      <c r="I738" s="44"/>
      <c r="J738" s="145"/>
      <c r="K738" s="143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>
      <c r="A739" s="144"/>
      <c r="B739" s="139"/>
      <c r="C739" s="139"/>
      <c r="D739" s="139"/>
      <c r="E739" s="139"/>
      <c r="F739" s="44"/>
      <c r="G739" s="44"/>
      <c r="H739" s="44"/>
      <c r="I739" s="44"/>
      <c r="J739" s="145"/>
      <c r="K739" s="143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>
      <c r="A740" s="144"/>
      <c r="B740" s="139"/>
      <c r="C740" s="139"/>
      <c r="D740" s="139"/>
      <c r="E740" s="139"/>
      <c r="F740" s="44"/>
      <c r="G740" s="44"/>
      <c r="H740" s="44"/>
      <c r="I740" s="44"/>
      <c r="J740" s="145"/>
      <c r="K740" s="143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>
      <c r="A741" s="144"/>
      <c r="B741" s="139"/>
      <c r="C741" s="139"/>
      <c r="D741" s="139"/>
      <c r="E741" s="139"/>
      <c r="F741" s="44"/>
      <c r="G741" s="44"/>
      <c r="H741" s="44"/>
      <c r="I741" s="44"/>
      <c r="J741" s="145"/>
      <c r="K741" s="143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>
      <c r="A742" s="144"/>
      <c r="B742" s="139"/>
      <c r="C742" s="139"/>
      <c r="D742" s="139"/>
      <c r="E742" s="139"/>
      <c r="F742" s="44"/>
      <c r="G742" s="44"/>
      <c r="H742" s="44"/>
      <c r="I742" s="44"/>
      <c r="J742" s="145"/>
      <c r="K742" s="143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>
      <c r="A743" s="144"/>
      <c r="B743" s="139"/>
      <c r="C743" s="139"/>
      <c r="D743" s="139"/>
      <c r="E743" s="139"/>
      <c r="F743" s="44"/>
      <c r="G743" s="44"/>
      <c r="H743" s="44"/>
      <c r="I743" s="44"/>
      <c r="J743" s="145"/>
      <c r="K743" s="143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>
      <c r="A744" s="144"/>
      <c r="B744" s="139"/>
      <c r="C744" s="139"/>
      <c r="D744" s="139"/>
      <c r="E744" s="139"/>
      <c r="F744" s="44"/>
      <c r="G744" s="44"/>
      <c r="H744" s="44"/>
      <c r="I744" s="44"/>
      <c r="J744" s="145"/>
      <c r="K744" s="143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>
      <c r="A745" s="144"/>
      <c r="B745" s="139"/>
      <c r="C745" s="139"/>
      <c r="D745" s="139"/>
      <c r="E745" s="139"/>
      <c r="F745" s="44"/>
      <c r="G745" s="44"/>
      <c r="H745" s="44"/>
      <c r="I745" s="44"/>
      <c r="J745" s="145"/>
      <c r="K745" s="143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>
      <c r="A746" s="144"/>
      <c r="B746" s="139"/>
      <c r="C746" s="139"/>
      <c r="D746" s="139"/>
      <c r="E746" s="139"/>
      <c r="F746" s="44"/>
      <c r="G746" s="44"/>
      <c r="H746" s="44"/>
      <c r="I746" s="44"/>
      <c r="J746" s="145"/>
      <c r="K746" s="143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>
      <c r="A747" s="144"/>
      <c r="B747" s="139"/>
      <c r="C747" s="139"/>
      <c r="D747" s="139"/>
      <c r="E747" s="139"/>
      <c r="F747" s="44"/>
      <c r="G747" s="44"/>
      <c r="H747" s="44"/>
      <c r="I747" s="44"/>
      <c r="J747" s="145"/>
      <c r="K747" s="143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>
      <c r="A748" s="144"/>
      <c r="B748" s="139"/>
      <c r="C748" s="139"/>
      <c r="D748" s="139"/>
      <c r="E748" s="139"/>
      <c r="F748" s="44"/>
      <c r="G748" s="44"/>
      <c r="H748" s="44"/>
      <c r="I748" s="44"/>
      <c r="J748" s="145"/>
      <c r="K748" s="143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>
      <c r="A749" s="144"/>
      <c r="B749" s="139"/>
      <c r="C749" s="139"/>
      <c r="D749" s="139"/>
      <c r="E749" s="139"/>
      <c r="F749" s="44"/>
      <c r="G749" s="44"/>
      <c r="H749" s="44"/>
      <c r="I749" s="44"/>
      <c r="J749" s="145"/>
      <c r="K749" s="143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>
      <c r="A750" s="144"/>
      <c r="B750" s="139"/>
      <c r="C750" s="139"/>
      <c r="D750" s="139"/>
      <c r="E750" s="139"/>
      <c r="F750" s="44"/>
      <c r="G750" s="44"/>
      <c r="H750" s="44"/>
      <c r="I750" s="44"/>
      <c r="J750" s="145"/>
      <c r="K750" s="143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>
      <c r="A751" s="144"/>
      <c r="B751" s="139"/>
      <c r="C751" s="139"/>
      <c r="D751" s="139"/>
      <c r="E751" s="139"/>
      <c r="F751" s="44"/>
      <c r="G751" s="44"/>
      <c r="H751" s="44"/>
      <c r="I751" s="44"/>
      <c r="J751" s="145"/>
      <c r="K751" s="143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>
      <c r="A752" s="144"/>
      <c r="B752" s="139"/>
      <c r="C752" s="139"/>
      <c r="D752" s="139"/>
      <c r="E752" s="139"/>
      <c r="F752" s="44"/>
      <c r="G752" s="44"/>
      <c r="H752" s="44"/>
      <c r="I752" s="44"/>
      <c r="J752" s="145"/>
      <c r="K752" s="143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>
      <c r="A753" s="144"/>
      <c r="B753" s="139"/>
      <c r="C753" s="139"/>
      <c r="D753" s="139"/>
      <c r="E753" s="139"/>
      <c r="F753" s="44"/>
      <c r="G753" s="44"/>
      <c r="H753" s="44"/>
      <c r="I753" s="44"/>
      <c r="J753" s="145"/>
      <c r="K753" s="143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>
      <c r="A754" s="144"/>
      <c r="B754" s="139"/>
      <c r="C754" s="139"/>
      <c r="D754" s="139"/>
      <c r="E754" s="139"/>
      <c r="F754" s="44"/>
      <c r="G754" s="44"/>
      <c r="H754" s="44"/>
      <c r="I754" s="44"/>
      <c r="J754" s="145"/>
      <c r="K754" s="143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>
      <c r="A755" s="144"/>
      <c r="B755" s="139"/>
      <c r="C755" s="139"/>
      <c r="D755" s="139"/>
      <c r="E755" s="139"/>
      <c r="F755" s="44"/>
      <c r="G755" s="44"/>
      <c r="H755" s="44"/>
      <c r="I755" s="44"/>
      <c r="J755" s="145"/>
      <c r="K755" s="143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>
      <c r="A756" s="144"/>
      <c r="B756" s="139"/>
      <c r="C756" s="139"/>
      <c r="D756" s="139"/>
      <c r="E756" s="139"/>
      <c r="F756" s="44"/>
      <c r="G756" s="44"/>
      <c r="H756" s="44"/>
      <c r="I756" s="44"/>
      <c r="J756" s="145"/>
      <c r="K756" s="143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>
      <c r="A757" s="144"/>
      <c r="B757" s="139"/>
      <c r="C757" s="139"/>
      <c r="D757" s="139"/>
      <c r="E757" s="139"/>
      <c r="F757" s="44"/>
      <c r="G757" s="44"/>
      <c r="H757" s="44"/>
      <c r="I757" s="44"/>
      <c r="J757" s="145"/>
      <c r="K757" s="143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>
      <c r="A758" s="144"/>
      <c r="B758" s="139"/>
      <c r="C758" s="139"/>
      <c r="D758" s="139"/>
      <c r="E758" s="139"/>
      <c r="F758" s="44"/>
      <c r="G758" s="44"/>
      <c r="H758" s="44"/>
      <c r="I758" s="44"/>
      <c r="J758" s="145"/>
      <c r="K758" s="143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>
      <c r="A759" s="144"/>
      <c r="B759" s="139"/>
      <c r="C759" s="139"/>
      <c r="D759" s="139"/>
      <c r="E759" s="139"/>
      <c r="F759" s="44"/>
      <c r="G759" s="44"/>
      <c r="H759" s="44"/>
      <c r="I759" s="44"/>
      <c r="J759" s="145"/>
      <c r="K759" s="143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>
      <c r="A760" s="144"/>
      <c r="B760" s="139"/>
      <c r="C760" s="139"/>
      <c r="D760" s="139"/>
      <c r="E760" s="139"/>
      <c r="F760" s="44"/>
      <c r="G760" s="44"/>
      <c r="H760" s="44"/>
      <c r="I760" s="44"/>
      <c r="J760" s="145"/>
      <c r="K760" s="143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>
      <c r="A761" s="144"/>
      <c r="B761" s="139"/>
      <c r="C761" s="139"/>
      <c r="D761" s="139"/>
      <c r="E761" s="139"/>
      <c r="F761" s="44"/>
      <c r="G761" s="44"/>
      <c r="H761" s="44"/>
      <c r="I761" s="44"/>
      <c r="J761" s="145"/>
      <c r="K761" s="143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>
      <c r="A762" s="144"/>
      <c r="B762" s="139"/>
      <c r="C762" s="139"/>
      <c r="D762" s="139"/>
      <c r="E762" s="139"/>
      <c r="F762" s="44"/>
      <c r="G762" s="44"/>
      <c r="H762" s="44"/>
      <c r="I762" s="44"/>
      <c r="J762" s="145"/>
      <c r="K762" s="143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>
      <c r="A763" s="144"/>
      <c r="B763" s="139"/>
      <c r="C763" s="139"/>
      <c r="D763" s="139"/>
      <c r="E763" s="139"/>
      <c r="F763" s="44"/>
      <c r="G763" s="44"/>
      <c r="H763" s="44"/>
      <c r="I763" s="44"/>
      <c r="J763" s="145"/>
      <c r="K763" s="143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>
      <c r="A764" s="144"/>
      <c r="B764" s="139"/>
      <c r="C764" s="139"/>
      <c r="D764" s="139"/>
      <c r="E764" s="139"/>
      <c r="F764" s="44"/>
      <c r="G764" s="44"/>
      <c r="H764" s="44"/>
      <c r="I764" s="44"/>
      <c r="J764" s="145"/>
      <c r="K764" s="143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>
      <c r="A765" s="144"/>
      <c r="B765" s="139"/>
      <c r="C765" s="139"/>
      <c r="D765" s="139"/>
      <c r="E765" s="139"/>
      <c r="F765" s="44"/>
      <c r="G765" s="44"/>
      <c r="H765" s="44"/>
      <c r="I765" s="44"/>
      <c r="J765" s="145"/>
      <c r="K765" s="143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>
      <c r="A766" s="144"/>
      <c r="B766" s="139"/>
      <c r="C766" s="139"/>
      <c r="D766" s="139"/>
      <c r="E766" s="139"/>
      <c r="F766" s="44"/>
      <c r="G766" s="44"/>
      <c r="H766" s="44"/>
      <c r="I766" s="44"/>
      <c r="J766" s="145"/>
      <c r="K766" s="143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>
      <c r="A767" s="144"/>
      <c r="B767" s="139"/>
      <c r="C767" s="139"/>
      <c r="D767" s="139"/>
      <c r="E767" s="139"/>
      <c r="F767" s="44"/>
      <c r="G767" s="44"/>
      <c r="H767" s="44"/>
      <c r="I767" s="44"/>
      <c r="J767" s="145"/>
      <c r="K767" s="143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>
      <c r="A768" s="144"/>
      <c r="B768" s="139"/>
      <c r="C768" s="139"/>
      <c r="D768" s="139"/>
      <c r="E768" s="139"/>
      <c r="F768" s="44"/>
      <c r="G768" s="44"/>
      <c r="H768" s="44"/>
      <c r="I768" s="44"/>
      <c r="J768" s="145"/>
      <c r="K768" s="143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>
      <c r="A769" s="144"/>
      <c r="B769" s="139"/>
      <c r="C769" s="139"/>
      <c r="D769" s="139"/>
      <c r="E769" s="139"/>
      <c r="F769" s="44"/>
      <c r="G769" s="44"/>
      <c r="H769" s="44"/>
      <c r="I769" s="44"/>
      <c r="J769" s="145"/>
      <c r="K769" s="143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>
      <c r="A770" s="144"/>
      <c r="B770" s="139"/>
      <c r="C770" s="139"/>
      <c r="D770" s="139"/>
      <c r="E770" s="139"/>
      <c r="F770" s="44"/>
      <c r="G770" s="44"/>
      <c r="H770" s="44"/>
      <c r="I770" s="44"/>
      <c r="J770" s="145"/>
      <c r="K770" s="143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>
      <c r="A771" s="144"/>
      <c r="B771" s="139"/>
      <c r="C771" s="139"/>
      <c r="D771" s="139"/>
      <c r="E771" s="139"/>
      <c r="F771" s="44"/>
      <c r="G771" s="44"/>
      <c r="H771" s="44"/>
      <c r="I771" s="44"/>
      <c r="J771" s="145"/>
      <c r="K771" s="143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>
      <c r="A772" s="144"/>
      <c r="B772" s="139"/>
      <c r="C772" s="139"/>
      <c r="D772" s="139"/>
      <c r="E772" s="139"/>
      <c r="F772" s="44"/>
      <c r="G772" s="44"/>
      <c r="H772" s="44"/>
      <c r="I772" s="44"/>
      <c r="J772" s="145"/>
      <c r="K772" s="143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>
      <c r="A773" s="144"/>
      <c r="B773" s="139"/>
      <c r="C773" s="139"/>
      <c r="D773" s="139"/>
      <c r="E773" s="139"/>
      <c r="F773" s="44"/>
      <c r="G773" s="44"/>
      <c r="H773" s="44"/>
      <c r="I773" s="44"/>
      <c r="J773" s="145"/>
      <c r="K773" s="143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>
      <c r="A774" s="144"/>
      <c r="B774" s="139"/>
      <c r="C774" s="139"/>
      <c r="D774" s="139"/>
      <c r="E774" s="139"/>
      <c r="F774" s="44"/>
      <c r="G774" s="44"/>
      <c r="H774" s="44"/>
      <c r="I774" s="44"/>
      <c r="J774" s="145"/>
      <c r="K774" s="143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>
      <c r="A775" s="144"/>
      <c r="B775" s="139"/>
      <c r="C775" s="139"/>
      <c r="D775" s="139"/>
      <c r="E775" s="139"/>
      <c r="F775" s="44"/>
      <c r="G775" s="44"/>
      <c r="H775" s="44"/>
      <c r="I775" s="44"/>
      <c r="J775" s="145"/>
      <c r="K775" s="143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>
      <c r="A776" s="144"/>
      <c r="B776" s="139"/>
      <c r="C776" s="139"/>
      <c r="D776" s="139"/>
      <c r="E776" s="139"/>
      <c r="F776" s="44"/>
      <c r="G776" s="44"/>
      <c r="H776" s="44"/>
      <c r="I776" s="44"/>
      <c r="J776" s="145"/>
      <c r="K776" s="143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>
      <c r="A777" s="144"/>
      <c r="B777" s="139"/>
      <c r="C777" s="139"/>
      <c r="D777" s="139"/>
      <c r="E777" s="139"/>
      <c r="F777" s="44"/>
      <c r="G777" s="44"/>
      <c r="H777" s="44"/>
      <c r="I777" s="44"/>
      <c r="J777" s="145"/>
      <c r="K777" s="143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>
      <c r="A778" s="144"/>
      <c r="B778" s="139"/>
      <c r="C778" s="139"/>
      <c r="D778" s="139"/>
      <c r="E778" s="139"/>
      <c r="F778" s="44"/>
      <c r="G778" s="44"/>
      <c r="H778" s="44"/>
      <c r="I778" s="44"/>
      <c r="J778" s="145"/>
      <c r="K778" s="143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>
      <c r="A779" s="144"/>
      <c r="B779" s="139"/>
      <c r="C779" s="139"/>
      <c r="D779" s="139"/>
      <c r="E779" s="139"/>
      <c r="F779" s="44"/>
      <c r="G779" s="44"/>
      <c r="H779" s="44"/>
      <c r="I779" s="44"/>
      <c r="J779" s="145"/>
      <c r="K779" s="143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>
      <c r="A780" s="144"/>
      <c r="B780" s="139"/>
      <c r="C780" s="139"/>
      <c r="D780" s="139"/>
      <c r="E780" s="139"/>
      <c r="F780" s="44"/>
      <c r="G780" s="44"/>
      <c r="H780" s="44"/>
      <c r="I780" s="44"/>
      <c r="J780" s="145"/>
      <c r="K780" s="143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>
      <c r="A781" s="144"/>
      <c r="B781" s="139"/>
      <c r="C781" s="139"/>
      <c r="D781" s="139"/>
      <c r="E781" s="139"/>
      <c r="F781" s="44"/>
      <c r="G781" s="44"/>
      <c r="H781" s="44"/>
      <c r="I781" s="44"/>
      <c r="J781" s="145"/>
      <c r="K781" s="143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>
      <c r="A782" s="144"/>
      <c r="B782" s="139"/>
      <c r="C782" s="139"/>
      <c r="D782" s="139"/>
      <c r="E782" s="139"/>
      <c r="F782" s="44"/>
      <c r="G782" s="44"/>
      <c r="H782" s="44"/>
      <c r="I782" s="44"/>
      <c r="J782" s="145"/>
      <c r="K782" s="143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>
      <c r="A783" s="144"/>
      <c r="B783" s="139"/>
      <c r="C783" s="139"/>
      <c r="D783" s="139"/>
      <c r="E783" s="139"/>
      <c r="F783" s="44"/>
      <c r="G783" s="44"/>
      <c r="H783" s="44"/>
      <c r="I783" s="44"/>
      <c r="J783" s="145"/>
      <c r="K783" s="143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>
      <c r="A784" s="144"/>
      <c r="B784" s="139"/>
      <c r="C784" s="139"/>
      <c r="D784" s="139"/>
      <c r="E784" s="139"/>
      <c r="F784" s="44"/>
      <c r="G784" s="44"/>
      <c r="H784" s="44"/>
      <c r="I784" s="44"/>
      <c r="J784" s="145"/>
      <c r="K784" s="143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>
      <c r="A785" s="144"/>
      <c r="B785" s="139"/>
      <c r="C785" s="139"/>
      <c r="D785" s="139"/>
      <c r="E785" s="139"/>
      <c r="F785" s="44"/>
      <c r="G785" s="44"/>
      <c r="H785" s="44"/>
      <c r="I785" s="44"/>
      <c r="J785" s="145"/>
      <c r="K785" s="143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>
      <c r="A786" s="144"/>
      <c r="B786" s="139"/>
      <c r="C786" s="139"/>
      <c r="D786" s="139"/>
      <c r="E786" s="139"/>
      <c r="F786" s="44"/>
      <c r="G786" s="44"/>
      <c r="H786" s="44"/>
      <c r="I786" s="44"/>
      <c r="J786" s="145"/>
      <c r="K786" s="143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>
      <c r="A787" s="144"/>
      <c r="B787" s="139"/>
      <c r="C787" s="139"/>
      <c r="D787" s="139"/>
      <c r="E787" s="139"/>
      <c r="F787" s="44"/>
      <c r="G787" s="44"/>
      <c r="H787" s="44"/>
      <c r="I787" s="44"/>
      <c r="J787" s="145"/>
      <c r="K787" s="143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>
      <c r="A788" s="144"/>
      <c r="B788" s="139"/>
      <c r="C788" s="139"/>
      <c r="D788" s="139"/>
      <c r="E788" s="139"/>
      <c r="F788" s="44"/>
      <c r="G788" s="44"/>
      <c r="H788" s="44"/>
      <c r="I788" s="44"/>
      <c r="J788" s="145"/>
      <c r="K788" s="143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>
      <c r="A789" s="144"/>
      <c r="B789" s="139"/>
      <c r="C789" s="139"/>
      <c r="D789" s="139"/>
      <c r="E789" s="139"/>
      <c r="F789" s="44"/>
      <c r="G789" s="44"/>
      <c r="H789" s="44"/>
      <c r="I789" s="44"/>
      <c r="J789" s="145"/>
      <c r="K789" s="143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>
      <c r="A790" s="144"/>
      <c r="B790" s="139"/>
      <c r="C790" s="139"/>
      <c r="D790" s="139"/>
      <c r="E790" s="139"/>
      <c r="F790" s="44"/>
      <c r="G790" s="44"/>
      <c r="H790" s="44"/>
      <c r="I790" s="44"/>
      <c r="J790" s="145"/>
      <c r="K790" s="143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>
      <c r="A791" s="144"/>
      <c r="B791" s="139"/>
      <c r="C791" s="139"/>
      <c r="D791" s="139"/>
      <c r="E791" s="139"/>
      <c r="F791" s="44"/>
      <c r="G791" s="44"/>
      <c r="H791" s="44"/>
      <c r="I791" s="44"/>
      <c r="J791" s="145"/>
      <c r="K791" s="143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>
      <c r="A792" s="144"/>
      <c r="B792" s="139"/>
      <c r="C792" s="139"/>
      <c r="D792" s="139"/>
      <c r="E792" s="139"/>
      <c r="F792" s="44"/>
      <c r="G792" s="44"/>
      <c r="H792" s="44"/>
      <c r="I792" s="44"/>
      <c r="J792" s="145"/>
      <c r="K792" s="143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>
      <c r="A793" s="144"/>
      <c r="B793" s="139"/>
      <c r="C793" s="139"/>
      <c r="D793" s="139"/>
      <c r="E793" s="139"/>
      <c r="F793" s="44"/>
      <c r="G793" s="44"/>
      <c r="H793" s="44"/>
      <c r="I793" s="44"/>
      <c r="J793" s="145"/>
      <c r="K793" s="143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>
      <c r="A794" s="144"/>
      <c r="B794" s="139"/>
      <c r="C794" s="139"/>
      <c r="D794" s="139"/>
      <c r="E794" s="139"/>
      <c r="F794" s="44"/>
      <c r="G794" s="44"/>
      <c r="H794" s="44"/>
      <c r="I794" s="44"/>
      <c r="J794" s="145"/>
      <c r="K794" s="143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>
      <c r="A795" s="144"/>
      <c r="B795" s="139"/>
      <c r="C795" s="139"/>
      <c r="D795" s="139"/>
      <c r="E795" s="139"/>
      <c r="F795" s="44"/>
      <c r="G795" s="44"/>
      <c r="H795" s="44"/>
      <c r="I795" s="44"/>
      <c r="J795" s="145"/>
      <c r="K795" s="143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>
      <c r="A796" s="144"/>
      <c r="B796" s="139"/>
      <c r="C796" s="139"/>
      <c r="D796" s="139"/>
      <c r="E796" s="139"/>
      <c r="F796" s="44"/>
      <c r="G796" s="44"/>
      <c r="H796" s="44"/>
      <c r="I796" s="44"/>
      <c r="J796" s="145"/>
      <c r="K796" s="143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>
      <c r="A797" s="144"/>
      <c r="B797" s="139"/>
      <c r="C797" s="139"/>
      <c r="D797" s="139"/>
      <c r="E797" s="139"/>
      <c r="F797" s="44"/>
      <c r="G797" s="44"/>
      <c r="H797" s="44"/>
      <c r="I797" s="44"/>
      <c r="J797" s="145"/>
      <c r="K797" s="143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>
      <c r="A798" s="144"/>
      <c r="B798" s="139"/>
      <c r="C798" s="139"/>
      <c r="D798" s="139"/>
      <c r="E798" s="139"/>
      <c r="F798" s="44"/>
      <c r="G798" s="44"/>
      <c r="H798" s="44"/>
      <c r="I798" s="44"/>
      <c r="J798" s="145"/>
      <c r="K798" s="143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>
      <c r="A799" s="144"/>
      <c r="B799" s="139"/>
      <c r="C799" s="139"/>
      <c r="D799" s="139"/>
      <c r="E799" s="139"/>
      <c r="F799" s="44"/>
      <c r="G799" s="44"/>
      <c r="H799" s="44"/>
      <c r="I799" s="44"/>
      <c r="J799" s="145"/>
      <c r="K799" s="143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>
      <c r="A800" s="144"/>
      <c r="B800" s="139"/>
      <c r="C800" s="139"/>
      <c r="D800" s="139"/>
      <c r="E800" s="139"/>
      <c r="F800" s="44"/>
      <c r="G800" s="44"/>
      <c r="H800" s="44"/>
      <c r="I800" s="44"/>
      <c r="J800" s="145"/>
      <c r="K800" s="143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>
      <c r="A801" s="144"/>
      <c r="B801" s="139"/>
      <c r="C801" s="139"/>
      <c r="D801" s="139"/>
      <c r="E801" s="139"/>
      <c r="F801" s="44"/>
      <c r="G801" s="44"/>
      <c r="H801" s="44"/>
      <c r="I801" s="44"/>
      <c r="J801" s="145"/>
      <c r="K801" s="143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>
      <c r="A802" s="144"/>
      <c r="B802" s="139"/>
      <c r="C802" s="139"/>
      <c r="D802" s="139"/>
      <c r="E802" s="139"/>
      <c r="F802" s="44"/>
      <c r="G802" s="44"/>
      <c r="H802" s="44"/>
      <c r="I802" s="44"/>
      <c r="J802" s="145"/>
      <c r="K802" s="143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>
      <c r="A803" s="144"/>
      <c r="B803" s="139"/>
      <c r="C803" s="139"/>
      <c r="D803" s="139"/>
      <c r="E803" s="139"/>
      <c r="F803" s="44"/>
      <c r="G803" s="44"/>
      <c r="H803" s="44"/>
      <c r="I803" s="44"/>
      <c r="J803" s="145"/>
      <c r="K803" s="143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>
      <c r="A804" s="144"/>
      <c r="B804" s="139"/>
      <c r="C804" s="139"/>
      <c r="D804" s="139"/>
      <c r="E804" s="139"/>
      <c r="F804" s="44"/>
      <c r="G804" s="44"/>
      <c r="H804" s="44"/>
      <c r="I804" s="44"/>
      <c r="J804" s="145"/>
      <c r="K804" s="143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>
      <c r="A805" s="144"/>
      <c r="B805" s="139"/>
      <c r="C805" s="139"/>
      <c r="D805" s="139"/>
      <c r="E805" s="139"/>
      <c r="F805" s="44"/>
      <c r="G805" s="44"/>
      <c r="H805" s="44"/>
      <c r="I805" s="44"/>
      <c r="J805" s="145"/>
      <c r="K805" s="143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>
      <c r="A806" s="144"/>
      <c r="B806" s="139"/>
      <c r="C806" s="139"/>
      <c r="D806" s="139"/>
      <c r="E806" s="139"/>
      <c r="F806" s="44"/>
      <c r="G806" s="44"/>
      <c r="H806" s="44"/>
      <c r="I806" s="44"/>
      <c r="J806" s="145"/>
      <c r="K806" s="143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>
      <c r="A807" s="144"/>
      <c r="B807" s="139"/>
      <c r="C807" s="139"/>
      <c r="D807" s="139"/>
      <c r="E807" s="139"/>
      <c r="F807" s="44"/>
      <c r="G807" s="44"/>
      <c r="H807" s="44"/>
      <c r="I807" s="44"/>
      <c r="J807" s="145"/>
      <c r="K807" s="143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>
      <c r="A808" s="144"/>
      <c r="B808" s="139"/>
      <c r="C808" s="139"/>
      <c r="D808" s="139"/>
      <c r="E808" s="139"/>
      <c r="F808" s="44"/>
      <c r="G808" s="44"/>
      <c r="H808" s="44"/>
      <c r="I808" s="44"/>
      <c r="J808" s="145"/>
      <c r="K808" s="143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>
      <c r="A809" s="144"/>
      <c r="B809" s="139"/>
      <c r="C809" s="139"/>
      <c r="D809" s="139"/>
      <c r="E809" s="139"/>
      <c r="F809" s="44"/>
      <c r="G809" s="44"/>
      <c r="H809" s="44"/>
      <c r="I809" s="44"/>
      <c r="J809" s="145"/>
      <c r="K809" s="143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>
      <c r="A810" s="144"/>
      <c r="B810" s="139"/>
      <c r="C810" s="139"/>
      <c r="D810" s="139"/>
      <c r="E810" s="139"/>
      <c r="F810" s="44"/>
      <c r="G810" s="44"/>
      <c r="H810" s="44"/>
      <c r="I810" s="44"/>
      <c r="J810" s="145"/>
      <c r="K810" s="143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>
      <c r="A811" s="144"/>
      <c r="B811" s="139"/>
      <c r="C811" s="139"/>
      <c r="D811" s="139"/>
      <c r="E811" s="139"/>
      <c r="F811" s="44"/>
      <c r="G811" s="44"/>
      <c r="H811" s="44"/>
      <c r="I811" s="44"/>
      <c r="J811" s="145"/>
      <c r="K811" s="143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>
      <c r="A812" s="144"/>
      <c r="B812" s="139"/>
      <c r="C812" s="139"/>
      <c r="D812" s="139"/>
      <c r="E812" s="139"/>
      <c r="F812" s="44"/>
      <c r="G812" s="44"/>
      <c r="H812" s="44"/>
      <c r="I812" s="44"/>
      <c r="J812" s="145"/>
      <c r="K812" s="143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>
      <c r="A813" s="144"/>
      <c r="B813" s="139"/>
      <c r="C813" s="139"/>
      <c r="D813" s="139"/>
      <c r="E813" s="139"/>
      <c r="F813" s="44"/>
      <c r="G813" s="44"/>
      <c r="H813" s="44"/>
      <c r="I813" s="44"/>
      <c r="J813" s="145"/>
      <c r="K813" s="143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>
      <c r="A814" s="144"/>
      <c r="B814" s="139"/>
      <c r="C814" s="139"/>
      <c r="D814" s="139"/>
      <c r="E814" s="139"/>
      <c r="F814" s="44"/>
      <c r="G814" s="44"/>
      <c r="H814" s="44"/>
      <c r="I814" s="44"/>
      <c r="J814" s="145"/>
      <c r="K814" s="143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>
      <c r="A815" s="144"/>
      <c r="B815" s="139"/>
      <c r="C815" s="139"/>
      <c r="D815" s="139"/>
      <c r="E815" s="139"/>
      <c r="F815" s="44"/>
      <c r="G815" s="44"/>
      <c r="H815" s="44"/>
      <c r="I815" s="44"/>
      <c r="J815" s="145"/>
      <c r="K815" s="143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>
      <c r="A816" s="144"/>
      <c r="B816" s="139"/>
      <c r="C816" s="139"/>
      <c r="D816" s="139"/>
      <c r="E816" s="139"/>
      <c r="F816" s="44"/>
      <c r="G816" s="44"/>
      <c r="H816" s="44"/>
      <c r="I816" s="44"/>
      <c r="J816" s="145"/>
      <c r="K816" s="143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>
      <c r="A817" s="144"/>
      <c r="B817" s="139"/>
      <c r="C817" s="139"/>
      <c r="D817" s="139"/>
      <c r="E817" s="139"/>
      <c r="F817" s="44"/>
      <c r="G817" s="44"/>
      <c r="H817" s="44"/>
      <c r="I817" s="44"/>
      <c r="J817" s="145"/>
      <c r="K817" s="143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>
      <c r="A818" s="144"/>
      <c r="B818" s="139"/>
      <c r="C818" s="139"/>
      <c r="D818" s="139"/>
      <c r="E818" s="139"/>
      <c r="F818" s="44"/>
      <c r="G818" s="44"/>
      <c r="H818" s="44"/>
      <c r="I818" s="44"/>
      <c r="J818" s="145"/>
      <c r="K818" s="143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>
      <c r="A819" s="144"/>
      <c r="B819" s="139"/>
      <c r="C819" s="139"/>
      <c r="D819" s="139"/>
      <c r="E819" s="139"/>
      <c r="F819" s="44"/>
      <c r="G819" s="44"/>
      <c r="H819" s="44"/>
      <c r="I819" s="44"/>
      <c r="J819" s="145"/>
      <c r="K819" s="143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>
      <c r="A820" s="144"/>
      <c r="B820" s="139"/>
      <c r="C820" s="139"/>
      <c r="D820" s="139"/>
      <c r="E820" s="139"/>
      <c r="F820" s="44"/>
      <c r="G820" s="44"/>
      <c r="H820" s="44"/>
      <c r="I820" s="44"/>
      <c r="J820" s="145"/>
      <c r="K820" s="143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>
      <c r="A821" s="144"/>
      <c r="B821" s="139"/>
      <c r="C821" s="139"/>
      <c r="D821" s="139"/>
      <c r="E821" s="139"/>
      <c r="F821" s="44"/>
      <c r="G821" s="44"/>
      <c r="H821" s="44"/>
      <c r="I821" s="44"/>
      <c r="J821" s="145"/>
      <c r="K821" s="143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>
      <c r="A822" s="144"/>
      <c r="B822" s="139"/>
      <c r="C822" s="139"/>
      <c r="D822" s="139"/>
      <c r="E822" s="139"/>
      <c r="F822" s="44"/>
      <c r="G822" s="44"/>
      <c r="H822" s="44"/>
      <c r="I822" s="44"/>
      <c r="J822" s="145"/>
      <c r="K822" s="143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>
      <c r="A823" s="144"/>
      <c r="B823" s="139"/>
      <c r="C823" s="139"/>
      <c r="D823" s="139"/>
      <c r="E823" s="139"/>
      <c r="F823" s="44"/>
      <c r="G823" s="44"/>
      <c r="H823" s="44"/>
      <c r="I823" s="44"/>
      <c r="J823" s="145"/>
      <c r="K823" s="143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>
      <c r="A824" s="144"/>
      <c r="B824" s="139"/>
      <c r="C824" s="139"/>
      <c r="D824" s="139"/>
      <c r="E824" s="139"/>
      <c r="F824" s="44"/>
      <c r="G824" s="44"/>
      <c r="H824" s="44"/>
      <c r="I824" s="44"/>
      <c r="J824" s="145"/>
      <c r="K824" s="143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>
      <c r="A825" s="144"/>
      <c r="B825" s="139"/>
      <c r="C825" s="139"/>
      <c r="D825" s="139"/>
      <c r="E825" s="139"/>
      <c r="F825" s="44"/>
      <c r="G825" s="44"/>
      <c r="H825" s="44"/>
      <c r="I825" s="44"/>
      <c r="J825" s="145"/>
      <c r="K825" s="143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>
      <c r="A826" s="144"/>
      <c r="B826" s="139"/>
      <c r="C826" s="139"/>
      <c r="D826" s="139"/>
      <c r="E826" s="139"/>
      <c r="F826" s="44"/>
      <c r="G826" s="44"/>
      <c r="H826" s="44"/>
      <c r="I826" s="44"/>
      <c r="J826" s="145"/>
      <c r="K826" s="143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>
      <c r="A827" s="144"/>
      <c r="B827" s="139"/>
      <c r="C827" s="139"/>
      <c r="D827" s="139"/>
      <c r="E827" s="139"/>
      <c r="F827" s="44"/>
      <c r="G827" s="44"/>
      <c r="H827" s="44"/>
      <c r="I827" s="44"/>
      <c r="J827" s="145"/>
      <c r="K827" s="143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>
      <c r="A828" s="144"/>
      <c r="B828" s="139"/>
      <c r="C828" s="139"/>
      <c r="D828" s="139"/>
      <c r="E828" s="139"/>
      <c r="F828" s="44"/>
      <c r="G828" s="44"/>
      <c r="H828" s="44"/>
      <c r="I828" s="44"/>
      <c r="J828" s="145"/>
      <c r="K828" s="143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>
      <c r="A829" s="144"/>
      <c r="B829" s="139"/>
      <c r="C829" s="139"/>
      <c r="D829" s="139"/>
      <c r="E829" s="139"/>
      <c r="F829" s="44"/>
      <c r="G829" s="44"/>
      <c r="H829" s="44"/>
      <c r="I829" s="44"/>
      <c r="J829" s="145"/>
      <c r="K829" s="143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>
      <c r="A830" s="144"/>
      <c r="B830" s="139"/>
      <c r="C830" s="139"/>
      <c r="D830" s="139"/>
      <c r="E830" s="139"/>
      <c r="F830" s="44"/>
      <c r="G830" s="44"/>
      <c r="H830" s="44"/>
      <c r="I830" s="44"/>
      <c r="J830" s="145"/>
      <c r="K830" s="143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>
      <c r="A831" s="144"/>
      <c r="B831" s="139"/>
      <c r="C831" s="139"/>
      <c r="D831" s="139"/>
      <c r="E831" s="139"/>
      <c r="F831" s="44"/>
      <c r="G831" s="44"/>
      <c r="H831" s="44"/>
      <c r="I831" s="44"/>
      <c r="J831" s="145"/>
      <c r="K831" s="143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>
      <c r="A832" s="144"/>
      <c r="B832" s="139"/>
      <c r="C832" s="139"/>
      <c r="D832" s="139"/>
      <c r="E832" s="139"/>
      <c r="F832" s="44"/>
      <c r="G832" s="44"/>
      <c r="H832" s="44"/>
      <c r="I832" s="44"/>
      <c r="J832" s="145"/>
      <c r="K832" s="143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>
      <c r="A833" s="144"/>
      <c r="B833" s="139"/>
      <c r="C833" s="139"/>
      <c r="D833" s="139"/>
      <c r="E833" s="139"/>
      <c r="F833" s="44"/>
      <c r="G833" s="44"/>
      <c r="H833" s="44"/>
      <c r="I833" s="44"/>
      <c r="J833" s="145"/>
      <c r="K833" s="143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>
      <c r="A834" s="144"/>
      <c r="B834" s="139"/>
      <c r="C834" s="139"/>
      <c r="D834" s="139"/>
      <c r="E834" s="139"/>
      <c r="F834" s="44"/>
      <c r="G834" s="44"/>
      <c r="H834" s="44"/>
      <c r="I834" s="44"/>
      <c r="J834" s="145"/>
      <c r="K834" s="143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>
      <c r="A835" s="144"/>
      <c r="B835" s="139"/>
      <c r="C835" s="139"/>
      <c r="D835" s="139"/>
      <c r="E835" s="139"/>
      <c r="F835" s="44"/>
      <c r="G835" s="44"/>
      <c r="H835" s="44"/>
      <c r="I835" s="44"/>
      <c r="J835" s="145"/>
      <c r="K835" s="143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>
      <c r="A836" s="144"/>
      <c r="B836" s="139"/>
      <c r="C836" s="139"/>
      <c r="D836" s="139"/>
      <c r="E836" s="139"/>
      <c r="F836" s="44"/>
      <c r="G836" s="44"/>
      <c r="H836" s="44"/>
      <c r="I836" s="44"/>
      <c r="J836" s="145"/>
      <c r="K836" s="143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>
      <c r="A837" s="144"/>
      <c r="B837" s="139"/>
      <c r="C837" s="139"/>
      <c r="D837" s="139"/>
      <c r="E837" s="139"/>
      <c r="F837" s="44"/>
      <c r="G837" s="44"/>
      <c r="H837" s="44"/>
      <c r="I837" s="44"/>
      <c r="J837" s="145"/>
      <c r="K837" s="143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>
      <c r="A838" s="144"/>
      <c r="B838" s="139"/>
      <c r="C838" s="139"/>
      <c r="D838" s="139"/>
      <c r="E838" s="139"/>
      <c r="F838" s="44"/>
      <c r="G838" s="44"/>
      <c r="H838" s="44"/>
      <c r="I838" s="44"/>
      <c r="J838" s="145"/>
      <c r="K838" s="143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>
      <c r="A839" s="144"/>
      <c r="B839" s="139"/>
      <c r="C839" s="139"/>
      <c r="D839" s="139"/>
      <c r="E839" s="139"/>
      <c r="F839" s="44"/>
      <c r="G839" s="44"/>
      <c r="H839" s="44"/>
      <c r="I839" s="44"/>
      <c r="J839" s="145"/>
      <c r="K839" s="143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>
      <c r="A840" s="144"/>
      <c r="B840" s="139"/>
      <c r="C840" s="139"/>
      <c r="D840" s="139"/>
      <c r="E840" s="139"/>
      <c r="F840" s="44"/>
      <c r="G840" s="44"/>
      <c r="H840" s="44"/>
      <c r="I840" s="44"/>
      <c r="J840" s="145"/>
      <c r="K840" s="143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>
      <c r="A841" s="144"/>
      <c r="B841" s="139"/>
      <c r="C841" s="139"/>
      <c r="D841" s="139"/>
      <c r="E841" s="139"/>
      <c r="F841" s="44"/>
      <c r="G841" s="44"/>
      <c r="H841" s="44"/>
      <c r="I841" s="44"/>
      <c r="J841" s="145"/>
      <c r="K841" s="143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>
      <c r="A842" s="144"/>
      <c r="B842" s="139"/>
      <c r="C842" s="139"/>
      <c r="D842" s="139"/>
      <c r="E842" s="139"/>
      <c r="F842" s="44"/>
      <c r="G842" s="44"/>
      <c r="H842" s="44"/>
      <c r="I842" s="44"/>
      <c r="J842" s="145"/>
      <c r="K842" s="143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>
      <c r="A843" s="144"/>
      <c r="B843" s="139"/>
      <c r="C843" s="139"/>
      <c r="D843" s="139"/>
      <c r="E843" s="139"/>
      <c r="F843" s="44"/>
      <c r="G843" s="44"/>
      <c r="H843" s="44"/>
      <c r="I843" s="44"/>
      <c r="J843" s="145"/>
      <c r="K843" s="143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>
      <c r="A844" s="144"/>
      <c r="B844" s="139"/>
      <c r="C844" s="139"/>
      <c r="D844" s="139"/>
      <c r="E844" s="139"/>
      <c r="F844" s="44"/>
      <c r="G844" s="44"/>
      <c r="H844" s="44"/>
      <c r="I844" s="44"/>
      <c r="J844" s="145"/>
      <c r="K844" s="143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>
      <c r="A845" s="144"/>
      <c r="B845" s="139"/>
      <c r="C845" s="139"/>
      <c r="D845" s="139"/>
      <c r="E845" s="139"/>
      <c r="F845" s="44"/>
      <c r="G845" s="44"/>
      <c r="H845" s="44"/>
      <c r="I845" s="44"/>
      <c r="J845" s="145"/>
      <c r="K845" s="143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>
      <c r="A846" s="144"/>
      <c r="B846" s="139"/>
      <c r="C846" s="139"/>
      <c r="D846" s="139"/>
      <c r="E846" s="139"/>
      <c r="F846" s="44"/>
      <c r="G846" s="44"/>
      <c r="H846" s="44"/>
      <c r="I846" s="44"/>
      <c r="J846" s="145"/>
      <c r="K846" s="143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>
      <c r="A847" s="144"/>
      <c r="B847" s="139"/>
      <c r="C847" s="139"/>
      <c r="D847" s="139"/>
      <c r="E847" s="139"/>
      <c r="F847" s="44"/>
      <c r="G847" s="44"/>
      <c r="H847" s="44"/>
      <c r="I847" s="44"/>
      <c r="J847" s="145"/>
      <c r="K847" s="143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>
      <c r="A848" s="144"/>
      <c r="B848" s="139"/>
      <c r="C848" s="139"/>
      <c r="D848" s="139"/>
      <c r="E848" s="139"/>
      <c r="F848" s="44"/>
      <c r="G848" s="44"/>
      <c r="H848" s="44"/>
      <c r="I848" s="44"/>
      <c r="J848" s="145"/>
      <c r="K848" s="143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>
      <c r="A849" s="144"/>
      <c r="B849" s="139"/>
      <c r="C849" s="139"/>
      <c r="D849" s="139"/>
      <c r="E849" s="139"/>
      <c r="F849" s="44"/>
      <c r="G849" s="44"/>
      <c r="H849" s="44"/>
      <c r="I849" s="44"/>
      <c r="J849" s="145"/>
      <c r="K849" s="143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>
      <c r="A850" s="144"/>
      <c r="B850" s="139"/>
      <c r="C850" s="139"/>
      <c r="D850" s="139"/>
      <c r="E850" s="139"/>
      <c r="F850" s="44"/>
      <c r="G850" s="44"/>
      <c r="H850" s="44"/>
      <c r="I850" s="44"/>
      <c r="J850" s="145"/>
      <c r="K850" s="143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>
      <c r="A851" s="144"/>
      <c r="B851" s="139"/>
      <c r="C851" s="139"/>
      <c r="D851" s="139"/>
      <c r="E851" s="139"/>
      <c r="F851" s="44"/>
      <c r="G851" s="44"/>
      <c r="H851" s="44"/>
      <c r="I851" s="44"/>
      <c r="J851" s="145"/>
      <c r="K851" s="143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>
      <c r="A852" s="144"/>
      <c r="B852" s="139"/>
      <c r="C852" s="139"/>
      <c r="D852" s="139"/>
      <c r="E852" s="139"/>
      <c r="F852" s="44"/>
      <c r="G852" s="44"/>
      <c r="H852" s="44"/>
      <c r="I852" s="44"/>
      <c r="J852" s="145"/>
      <c r="K852" s="143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>
      <c r="A853" s="144"/>
      <c r="B853" s="139"/>
      <c r="C853" s="139"/>
      <c r="D853" s="139"/>
      <c r="E853" s="139"/>
      <c r="F853" s="44"/>
      <c r="G853" s="44"/>
      <c r="H853" s="44"/>
      <c r="I853" s="44"/>
      <c r="J853" s="145"/>
      <c r="K853" s="143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>
      <c r="A854" s="144"/>
      <c r="B854" s="139"/>
      <c r="C854" s="139"/>
      <c r="D854" s="139"/>
      <c r="E854" s="139"/>
      <c r="F854" s="44"/>
      <c r="G854" s="44"/>
      <c r="H854" s="44"/>
      <c r="I854" s="44"/>
      <c r="J854" s="145"/>
      <c r="K854" s="143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>
      <c r="A855" s="144"/>
      <c r="B855" s="139"/>
      <c r="C855" s="139"/>
      <c r="D855" s="139"/>
      <c r="E855" s="139"/>
      <c r="F855" s="44"/>
      <c r="G855" s="44"/>
      <c r="H855" s="44"/>
      <c r="I855" s="44"/>
      <c r="J855" s="145"/>
      <c r="K855" s="143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>
      <c r="A856" s="144"/>
      <c r="B856" s="139"/>
      <c r="C856" s="139"/>
      <c r="D856" s="139"/>
      <c r="E856" s="139"/>
      <c r="F856" s="44"/>
      <c r="G856" s="44"/>
      <c r="H856" s="44"/>
      <c r="I856" s="44"/>
      <c r="J856" s="145"/>
      <c r="K856" s="143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>
      <c r="A857" s="144"/>
      <c r="B857" s="139"/>
      <c r="C857" s="139"/>
      <c r="D857" s="139"/>
      <c r="E857" s="139"/>
      <c r="F857" s="44"/>
      <c r="G857" s="44"/>
      <c r="H857" s="44"/>
      <c r="I857" s="44"/>
      <c r="J857" s="145"/>
      <c r="K857" s="143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>
      <c r="A858" s="144"/>
      <c r="B858" s="139"/>
      <c r="C858" s="139"/>
      <c r="D858" s="139"/>
      <c r="E858" s="139"/>
      <c r="F858" s="44"/>
      <c r="G858" s="44"/>
      <c r="H858" s="44"/>
      <c r="I858" s="44"/>
      <c r="J858" s="145"/>
      <c r="K858" s="143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>
      <c r="A859" s="144"/>
      <c r="B859" s="139"/>
      <c r="C859" s="139"/>
      <c r="D859" s="139"/>
      <c r="E859" s="139"/>
      <c r="F859" s="44"/>
      <c r="G859" s="44"/>
      <c r="H859" s="44"/>
      <c r="I859" s="44"/>
      <c r="J859" s="145"/>
      <c r="K859" s="143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>
      <c r="A860" s="144"/>
      <c r="B860" s="139"/>
      <c r="C860" s="139"/>
      <c r="D860" s="139"/>
      <c r="E860" s="139"/>
      <c r="F860" s="44"/>
      <c r="G860" s="44"/>
      <c r="H860" s="44"/>
      <c r="I860" s="44"/>
      <c r="J860" s="145"/>
      <c r="K860" s="143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>
      <c r="A861" s="144"/>
      <c r="B861" s="139"/>
      <c r="C861" s="139"/>
      <c r="D861" s="139"/>
      <c r="E861" s="139"/>
      <c r="F861" s="44"/>
      <c r="G861" s="44"/>
      <c r="H861" s="44"/>
      <c r="I861" s="44"/>
      <c r="J861" s="145"/>
      <c r="K861" s="143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>
      <c r="A862" s="144"/>
      <c r="B862" s="139"/>
      <c r="C862" s="139"/>
      <c r="D862" s="139"/>
      <c r="E862" s="139"/>
      <c r="F862" s="44"/>
      <c r="G862" s="44"/>
      <c r="H862" s="44"/>
      <c r="I862" s="44"/>
      <c r="J862" s="145"/>
      <c r="K862" s="143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>
      <c r="A863" s="144"/>
      <c r="B863" s="139"/>
      <c r="C863" s="139"/>
      <c r="D863" s="139"/>
      <c r="E863" s="139"/>
      <c r="F863" s="44"/>
      <c r="G863" s="44"/>
      <c r="H863" s="44"/>
      <c r="I863" s="44"/>
      <c r="J863" s="145"/>
      <c r="K863" s="143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>
      <c r="A864" s="144"/>
      <c r="B864" s="139"/>
      <c r="C864" s="139"/>
      <c r="D864" s="139"/>
      <c r="E864" s="139"/>
      <c r="F864" s="44"/>
      <c r="G864" s="44"/>
      <c r="H864" s="44"/>
      <c r="I864" s="44"/>
      <c r="J864" s="145"/>
      <c r="K864" s="143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>
      <c r="A865" s="144"/>
      <c r="B865" s="139"/>
      <c r="C865" s="139"/>
      <c r="D865" s="139"/>
      <c r="E865" s="139"/>
      <c r="F865" s="44"/>
      <c r="G865" s="44"/>
      <c r="H865" s="44"/>
      <c r="I865" s="44"/>
      <c r="J865" s="145"/>
      <c r="K865" s="143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>
      <c r="A866" s="144"/>
      <c r="B866" s="139"/>
      <c r="C866" s="139"/>
      <c r="D866" s="139"/>
      <c r="E866" s="139"/>
      <c r="F866" s="44"/>
      <c r="G866" s="44"/>
      <c r="H866" s="44"/>
      <c r="I866" s="44"/>
      <c r="J866" s="145"/>
      <c r="K866" s="143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</sheetData>
  <conditionalFormatting sqref="D75">
    <cfRule type="cellIs" dxfId="73" priority="1" operator="equal">
      <formula>"OFF"</formula>
    </cfRule>
  </conditionalFormatting>
  <conditionalFormatting sqref="D75">
    <cfRule type="cellIs" dxfId="72" priority="2" operator="equal">
      <formula>"ON"</formula>
    </cfRule>
  </conditionalFormatting>
  <conditionalFormatting sqref="D74">
    <cfRule type="cellIs" dxfId="71" priority="3" operator="equal">
      <formula>"OFF"</formula>
    </cfRule>
  </conditionalFormatting>
  <conditionalFormatting sqref="D74">
    <cfRule type="cellIs" dxfId="70" priority="4" operator="equal">
      <formula>"ON"</formula>
    </cfRule>
  </conditionalFormatting>
  <conditionalFormatting sqref="D3 D5 D9 D12:D13 D18:D19 D21 D23 D26 D33:D34 D37 D44:D50 D66 D69 D79 D81">
    <cfRule type="cellIs" dxfId="69" priority="5" operator="equal">
      <formula>"OFF"</formula>
    </cfRule>
  </conditionalFormatting>
  <conditionalFormatting sqref="D3 D5 D9 D12:D13 D18:D19 D21 D23 D26 D33:D34 D37 D44:D50 D66 D69 D79 D81">
    <cfRule type="cellIs" dxfId="68" priority="6" operator="equal">
      <formula>"ON"</formula>
    </cfRule>
  </conditionalFormatting>
  <conditionalFormatting sqref="F1:G1 H1:J866 F21:G21 G23:G38 F25 F37 F43:G866">
    <cfRule type="cellIs" dxfId="67" priority="7" operator="equal">
      <formula>"ON"</formula>
    </cfRule>
  </conditionalFormatting>
  <conditionalFormatting sqref="F1:G1 H1:J866 F21:G21 G23:G38 F25 F37 F43:G866">
    <cfRule type="cellIs" dxfId="66" priority="8" operator="equal">
      <formula>"OFF"</formula>
    </cfRule>
  </conditionalFormatting>
  <dataValidations count="3">
    <dataValidation type="list" allowBlank="1" showErrorMessage="1" sqref="H39:H42 G51:H866 G2:H38 G39:G50" xr:uid="{00000000-0002-0000-0400-000000000000}">
      <formula1>"YES,NO"</formula1>
    </dataValidation>
    <dataValidation type="list" allowBlank="1" showErrorMessage="1" sqref="F58:F866" xr:uid="{00000000-0002-0000-0400-000001000000}">
      <formula1>"ON,OFF,Need Repaired"</formula1>
    </dataValidation>
    <dataValidation type="list" allowBlank="1" showErrorMessage="1" sqref="F2:F57" xr:uid="{00000000-0002-0000-0400-000002000000}">
      <formula1>"ON,OFF,NEED REPAIR"</formula1>
    </dataValidation>
  </dataValidations>
  <hyperlinks>
    <hyperlink ref="I2" r:id="rId1" xr:uid="{00000000-0004-0000-0400-000000000000}"/>
    <hyperlink ref="I3" r:id="rId2" xr:uid="{00000000-0004-0000-0400-000001000000}"/>
    <hyperlink ref="I4" r:id="rId3" xr:uid="{00000000-0004-0000-0400-000002000000}"/>
    <hyperlink ref="I5" r:id="rId4" xr:uid="{00000000-0004-0000-0400-000003000000}"/>
    <hyperlink ref="I6" r:id="rId5" xr:uid="{00000000-0004-0000-0400-000004000000}"/>
    <hyperlink ref="I7" r:id="rId6" xr:uid="{00000000-0004-0000-0400-000005000000}"/>
    <hyperlink ref="I8" r:id="rId7" xr:uid="{00000000-0004-0000-0400-000006000000}"/>
    <hyperlink ref="I9" r:id="rId8" xr:uid="{00000000-0004-0000-0400-000007000000}"/>
    <hyperlink ref="I10" r:id="rId9" xr:uid="{00000000-0004-0000-0400-000008000000}"/>
    <hyperlink ref="I11" r:id="rId10" xr:uid="{00000000-0004-0000-0400-000009000000}"/>
    <hyperlink ref="I12" r:id="rId11" xr:uid="{00000000-0004-0000-0400-00000A000000}"/>
    <hyperlink ref="I13" r:id="rId12" xr:uid="{00000000-0004-0000-0400-00000B000000}"/>
    <hyperlink ref="I14" r:id="rId13" xr:uid="{00000000-0004-0000-0400-00000C000000}"/>
    <hyperlink ref="I15" r:id="rId14" xr:uid="{00000000-0004-0000-0400-00000D000000}"/>
    <hyperlink ref="I16" r:id="rId15" xr:uid="{00000000-0004-0000-0400-00000E000000}"/>
    <hyperlink ref="I17" r:id="rId16" xr:uid="{00000000-0004-0000-0400-00000F000000}"/>
    <hyperlink ref="I18" r:id="rId17" xr:uid="{00000000-0004-0000-0400-000010000000}"/>
    <hyperlink ref="I19" r:id="rId18" xr:uid="{00000000-0004-0000-0400-000011000000}"/>
    <hyperlink ref="I20" r:id="rId19" xr:uid="{00000000-0004-0000-0400-000012000000}"/>
    <hyperlink ref="I21" r:id="rId20" xr:uid="{00000000-0004-0000-0400-000013000000}"/>
    <hyperlink ref="I22" r:id="rId21" xr:uid="{00000000-0004-0000-0400-000014000000}"/>
    <hyperlink ref="I23" r:id="rId22" xr:uid="{00000000-0004-0000-0400-000015000000}"/>
    <hyperlink ref="I24" r:id="rId23" xr:uid="{00000000-0004-0000-0400-000016000000}"/>
    <hyperlink ref="I25" r:id="rId24" xr:uid="{00000000-0004-0000-0400-000017000000}"/>
    <hyperlink ref="I26" r:id="rId25" xr:uid="{00000000-0004-0000-0400-000018000000}"/>
    <hyperlink ref="I27" r:id="rId26" xr:uid="{00000000-0004-0000-0400-000019000000}"/>
    <hyperlink ref="I28" r:id="rId27" xr:uid="{00000000-0004-0000-0400-00001A000000}"/>
    <hyperlink ref="I29" r:id="rId28" xr:uid="{00000000-0004-0000-0400-00001B000000}"/>
    <hyperlink ref="I31" r:id="rId29" xr:uid="{00000000-0004-0000-0400-00001C000000}"/>
    <hyperlink ref="I32" r:id="rId30" xr:uid="{00000000-0004-0000-0400-00001D000000}"/>
    <hyperlink ref="I33" r:id="rId31" xr:uid="{00000000-0004-0000-0400-00001E000000}"/>
    <hyperlink ref="I34" r:id="rId32" xr:uid="{00000000-0004-0000-0400-00001F000000}"/>
    <hyperlink ref="I36" r:id="rId33" xr:uid="{00000000-0004-0000-0400-000020000000}"/>
    <hyperlink ref="I37" r:id="rId34" xr:uid="{00000000-0004-0000-0400-000021000000}"/>
    <hyperlink ref="I39" r:id="rId35" xr:uid="{00000000-0004-0000-0400-000022000000}"/>
    <hyperlink ref="I40" r:id="rId36" xr:uid="{00000000-0004-0000-0400-000023000000}"/>
    <hyperlink ref="I41" r:id="rId37" xr:uid="{00000000-0004-0000-0400-000024000000}"/>
    <hyperlink ref="I42" r:id="rId38" xr:uid="{00000000-0004-0000-0400-000025000000}"/>
    <hyperlink ref="I43" r:id="rId39" xr:uid="{00000000-0004-0000-0400-000026000000}"/>
    <hyperlink ref="I44" r:id="rId40" xr:uid="{00000000-0004-0000-0400-000027000000}"/>
    <hyperlink ref="I46" r:id="rId41" xr:uid="{00000000-0004-0000-0400-000028000000}"/>
    <hyperlink ref="I47" r:id="rId42" xr:uid="{00000000-0004-0000-0400-000029000000}"/>
    <hyperlink ref="I48" r:id="rId43" xr:uid="{00000000-0004-0000-0400-00002A000000}"/>
    <hyperlink ref="I49" r:id="rId44" xr:uid="{00000000-0004-0000-0400-00002B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9138"/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28.5703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7" width="9.28515625" hidden="1" customWidth="1"/>
    <col min="8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177" t="s">
        <v>578</v>
      </c>
      <c r="E1" s="177" t="s">
        <v>3</v>
      </c>
      <c r="F1" s="177" t="s">
        <v>6</v>
      </c>
      <c r="G1" s="177"/>
      <c r="H1" s="177" t="s">
        <v>592</v>
      </c>
      <c r="I1" s="177" t="s">
        <v>12</v>
      </c>
      <c r="J1" s="177" t="s">
        <v>14</v>
      </c>
      <c r="K1" s="177" t="s">
        <v>16</v>
      </c>
    </row>
    <row r="2" spans="1:25" ht="12.75">
      <c r="A2" s="178">
        <v>1</v>
      </c>
      <c r="B2" s="179" t="s">
        <v>593</v>
      </c>
      <c r="C2" s="180" t="s">
        <v>594</v>
      </c>
      <c r="D2" s="179" t="s">
        <v>81</v>
      </c>
      <c r="E2" s="181" t="s">
        <v>595</v>
      </c>
      <c r="F2" s="170" t="s">
        <v>307</v>
      </c>
      <c r="G2" s="170"/>
      <c r="H2" s="182" t="s">
        <v>263</v>
      </c>
      <c r="I2" s="183">
        <v>45094</v>
      </c>
      <c r="J2" s="173" t="s">
        <v>255</v>
      </c>
      <c r="K2" s="3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2.75">
      <c r="A3" s="178">
        <v>2</v>
      </c>
      <c r="B3" s="184" t="s">
        <v>593</v>
      </c>
      <c r="C3" s="180" t="s">
        <v>596</v>
      </c>
      <c r="D3" s="185" t="s">
        <v>386</v>
      </c>
      <c r="E3" s="186" t="s">
        <v>597</v>
      </c>
      <c r="F3" s="170" t="s">
        <v>307</v>
      </c>
      <c r="G3" s="170"/>
      <c r="H3" s="182" t="s">
        <v>598</v>
      </c>
      <c r="I3" s="183">
        <v>45094</v>
      </c>
      <c r="J3" s="173" t="s">
        <v>255</v>
      </c>
      <c r="K3" s="3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2.75">
      <c r="A4" s="178">
        <v>3</v>
      </c>
      <c r="B4" s="179"/>
      <c r="C4" s="187"/>
      <c r="D4" s="179"/>
      <c r="E4" s="186"/>
      <c r="F4" s="170"/>
      <c r="G4" s="188">
        <v>45148.455163784718</v>
      </c>
      <c r="H4" s="189"/>
      <c r="I4" s="173"/>
      <c r="J4" s="173"/>
      <c r="K4" s="3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2.75">
      <c r="A5" s="178">
        <v>4</v>
      </c>
      <c r="B5" s="190"/>
      <c r="C5" s="52"/>
      <c r="D5" s="179"/>
      <c r="E5" s="149"/>
      <c r="F5" s="170"/>
      <c r="G5" s="159"/>
      <c r="H5" s="191"/>
      <c r="I5" s="173"/>
      <c r="J5" s="173"/>
      <c r="K5" s="52"/>
    </row>
    <row r="6" spans="1:25" ht="12.75">
      <c r="A6" s="178">
        <v>5</v>
      </c>
      <c r="B6" s="190"/>
      <c r="C6" s="52"/>
      <c r="D6" s="192"/>
      <c r="E6" s="147"/>
      <c r="F6" s="170"/>
      <c r="G6" s="170"/>
      <c r="H6" s="193"/>
      <c r="I6" s="173"/>
      <c r="J6" s="173"/>
      <c r="K6" s="53"/>
    </row>
    <row r="7" spans="1:25" ht="12.75">
      <c r="A7" s="178">
        <v>6</v>
      </c>
      <c r="B7" s="194"/>
      <c r="C7" s="195"/>
      <c r="D7" s="194"/>
      <c r="E7" s="196"/>
      <c r="F7" s="170"/>
      <c r="G7" s="170"/>
      <c r="H7" s="197"/>
      <c r="I7" s="173"/>
      <c r="J7" s="173"/>
      <c r="K7" s="173"/>
    </row>
    <row r="8" spans="1:25" ht="12.75">
      <c r="A8" s="178">
        <v>7</v>
      </c>
      <c r="B8" s="194"/>
      <c r="C8" s="198"/>
      <c r="D8" s="192"/>
      <c r="E8" s="170"/>
      <c r="F8" s="170"/>
      <c r="G8" s="170"/>
      <c r="H8" s="197"/>
      <c r="I8" s="173"/>
      <c r="J8" s="173"/>
      <c r="K8" s="173"/>
    </row>
    <row r="9" spans="1:25" ht="12.75">
      <c r="A9" s="178">
        <v>8</v>
      </c>
      <c r="B9" s="194"/>
      <c r="C9" s="198"/>
      <c r="D9" s="194"/>
      <c r="E9" s="199"/>
      <c r="F9" s="170"/>
      <c r="G9" s="170"/>
      <c r="H9" s="197"/>
      <c r="I9" s="173"/>
      <c r="J9" s="173"/>
      <c r="K9" s="173"/>
    </row>
    <row r="10" spans="1:25" ht="12.75">
      <c r="A10" s="178">
        <v>9</v>
      </c>
      <c r="B10" s="194"/>
      <c r="C10" s="198"/>
      <c r="D10" s="194"/>
      <c r="E10" s="199"/>
      <c r="F10" s="170"/>
      <c r="G10" s="170"/>
      <c r="H10" s="197"/>
      <c r="I10" s="173"/>
      <c r="J10" s="173"/>
      <c r="K10" s="173"/>
    </row>
    <row r="11" spans="1:25" ht="12.75">
      <c r="A11" s="178">
        <v>10</v>
      </c>
      <c r="B11" s="194"/>
      <c r="C11" s="198"/>
      <c r="D11" s="194"/>
      <c r="E11" s="199"/>
      <c r="F11" s="170"/>
      <c r="G11" s="170"/>
      <c r="H11" s="197"/>
      <c r="I11" s="173"/>
      <c r="J11" s="173"/>
      <c r="K11" s="173"/>
    </row>
    <row r="12" spans="1:25" ht="12.75">
      <c r="A12" s="178">
        <v>11</v>
      </c>
      <c r="B12" s="194"/>
      <c r="C12" s="198"/>
      <c r="D12" s="194"/>
      <c r="E12" s="170"/>
      <c r="F12" s="170"/>
      <c r="G12" s="170"/>
      <c r="H12" s="197"/>
      <c r="I12" s="173"/>
      <c r="J12" s="173"/>
      <c r="K12" s="174"/>
    </row>
    <row r="13" spans="1:25" ht="12.75">
      <c r="A13" s="178">
        <v>12</v>
      </c>
      <c r="B13" s="194"/>
      <c r="C13" s="198"/>
      <c r="D13" s="194"/>
      <c r="E13" s="186"/>
      <c r="F13" s="170"/>
      <c r="G13" s="170"/>
      <c r="H13" s="197"/>
      <c r="I13" s="174"/>
      <c r="J13" s="174"/>
      <c r="K13" s="174"/>
    </row>
    <row r="14" spans="1:25" ht="12.75">
      <c r="A14" s="178">
        <v>13</v>
      </c>
      <c r="B14" s="194"/>
      <c r="C14" s="198"/>
      <c r="D14" s="194"/>
      <c r="E14" s="186"/>
      <c r="F14" s="170"/>
      <c r="G14" s="170"/>
      <c r="H14" s="170"/>
      <c r="I14" s="174"/>
      <c r="J14" s="174"/>
      <c r="K14" s="174"/>
    </row>
    <row r="15" spans="1:25" ht="12.75">
      <c r="A15" s="178">
        <v>14</v>
      </c>
      <c r="B15" s="194"/>
      <c r="C15" s="198"/>
      <c r="D15" s="194"/>
      <c r="E15" s="186"/>
      <c r="F15" s="170"/>
      <c r="G15" s="170"/>
      <c r="H15" s="170"/>
      <c r="I15" s="174"/>
      <c r="J15" s="174"/>
      <c r="K15" s="174"/>
    </row>
    <row r="16" spans="1:25" ht="12.75">
      <c r="A16" s="178">
        <v>15</v>
      </c>
      <c r="B16" s="194"/>
      <c r="C16" s="198"/>
      <c r="D16" s="194"/>
      <c r="E16" s="186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186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186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186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186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186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186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186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186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186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186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186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186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200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186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186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186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186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186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186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186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186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186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186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186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186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186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186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186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186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186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203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186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203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196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203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203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203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203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203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203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203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203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203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203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203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186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203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203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203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203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203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203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203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203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203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203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203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203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203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203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203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203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203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203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203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203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203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203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203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203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70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70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70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70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70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70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70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70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70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70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70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70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70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70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70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70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70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70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70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70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70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70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70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70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70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70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70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70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70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70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70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70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70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70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70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70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70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70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70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70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70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70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70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70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70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70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70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70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70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70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70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70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70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70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70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70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70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70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70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70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70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70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70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70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70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70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70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70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70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70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70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70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70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70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70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70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70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70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70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70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70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70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70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70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70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70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70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70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70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70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70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70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70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70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70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70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70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70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70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70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70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70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70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70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70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70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70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70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70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70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70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70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70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70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70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70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70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70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70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70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70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70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70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70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70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70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70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70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70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70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70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70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70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70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70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70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70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70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70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70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70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70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70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70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70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70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70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70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70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70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70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70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70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70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70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70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70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70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70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70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70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70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70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70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70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70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70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70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70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70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70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70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70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70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70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70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70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70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70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70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70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70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70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70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70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70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70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70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70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70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70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70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70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70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70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70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70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70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70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70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70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70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70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70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70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70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70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70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70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70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70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70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70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70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70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70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70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70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70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70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70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70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70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70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70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70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70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70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70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70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70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70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70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70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70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70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70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70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70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70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70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70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70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70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70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70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70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70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70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70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70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70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70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70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70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70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70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70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70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70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70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70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70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70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70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70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70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70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70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70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70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70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70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70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70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70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70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70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70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70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70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70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70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70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70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70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70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70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70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70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70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70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70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70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70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70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70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70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70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70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70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70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70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70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70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70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70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70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70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70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70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70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70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70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70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70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70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70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70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70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70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70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70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70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70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70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70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70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70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70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70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70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70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70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70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70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70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70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70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70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70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70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70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70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70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70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70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70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70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70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70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70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70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70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70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70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70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70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70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70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70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70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70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70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70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70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70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70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70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70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70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70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70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70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70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70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70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70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70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70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70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70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70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70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70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70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70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70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70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70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70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70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70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70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70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70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70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70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70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70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70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70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70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70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70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70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70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70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70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70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70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70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70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70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70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70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70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70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70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70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70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70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70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70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70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70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70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70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70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70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70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70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70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70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70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70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70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70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70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70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70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70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70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70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70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70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70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70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70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70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70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70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70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70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70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70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70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70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70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70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70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70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70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70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70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70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70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70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70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70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70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70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70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70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70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70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70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70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70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70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70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70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70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70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70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70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70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70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70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70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70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70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70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70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70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70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70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70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70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70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70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70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70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70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70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70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70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70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70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70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70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70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70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70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70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70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70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70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70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70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70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70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70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70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70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70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70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70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70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70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70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70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70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70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70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70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70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70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70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70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70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70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70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70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70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70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70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70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70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70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70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70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70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70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70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70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70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70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70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70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70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70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70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70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70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70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70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70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70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70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70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70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70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70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70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70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70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70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70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70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70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70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70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70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70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70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70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70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70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70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70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70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70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70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70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70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70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70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70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70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70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70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70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70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70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70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70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70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70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70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70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70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70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70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70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70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70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70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70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70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70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70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70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70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70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70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70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70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70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70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70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70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70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70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70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70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70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70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70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70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70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70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70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70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70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70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70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70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70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70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70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70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70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70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70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70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70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70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70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70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70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70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70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70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70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70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70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70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70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70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70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70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70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70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70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70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70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70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70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70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70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70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70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70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70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70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70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70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70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70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70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70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70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70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70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70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70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70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70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70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70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70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70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70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70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70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70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70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70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70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70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70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70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70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70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70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70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70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70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70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70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70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70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70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70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70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70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70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70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70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70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70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70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70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70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70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70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70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70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70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70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70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70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70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70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70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70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70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70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70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70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70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70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70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70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70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70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70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70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70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70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70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70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70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70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70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70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70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70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70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70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70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70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70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70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70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70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70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70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70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70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70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70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70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70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70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70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70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70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70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70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70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70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70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70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70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70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70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70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70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70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70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70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70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70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70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70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70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70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70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70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70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70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70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70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70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70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70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70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70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70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70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70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70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70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70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70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70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70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70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70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70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70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70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70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70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70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70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70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70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70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70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70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70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70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70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70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70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70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70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70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70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70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70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70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70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70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70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70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70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70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70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70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70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70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70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70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70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70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70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70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70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70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70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70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70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70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70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70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70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70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70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70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70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70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70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70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70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70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70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70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70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70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70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70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70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70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70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70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70"/>
      <c r="F986" s="170"/>
      <c r="G986" s="170"/>
      <c r="H986" s="170"/>
      <c r="I986" s="171"/>
      <c r="J986" s="171"/>
      <c r="K986" s="171"/>
    </row>
  </sheetData>
  <conditionalFormatting sqref="E1:H986">
    <cfRule type="cellIs" dxfId="65" priority="1" operator="equal">
      <formula>"ON"</formula>
    </cfRule>
  </conditionalFormatting>
  <conditionalFormatting sqref="E1:H986">
    <cfRule type="cellIs" dxfId="64" priority="2" operator="equal">
      <formula>"OFF"</formula>
    </cfRule>
  </conditionalFormatting>
  <conditionalFormatting sqref="I82 I87:I88">
    <cfRule type="notContainsBlanks" dxfId="63" priority="3">
      <formula>LEN(TRIM(I82))&gt;0</formula>
    </cfRule>
  </conditionalFormatting>
  <conditionalFormatting sqref="I83">
    <cfRule type="notContainsBlanks" dxfId="62" priority="4">
      <formula>LEN(TRIM(I83))&gt;0</formula>
    </cfRule>
  </conditionalFormatting>
  <dataValidations count="2">
    <dataValidation type="list" allowBlank="1" showErrorMessage="1" sqref="F2:F986" xr:uid="{00000000-0002-0000-0800-000000000000}">
      <formula1>"ON,OFF,Need Repaired"</formula1>
    </dataValidation>
    <dataValidation type="list" allowBlank="1" showErrorMessage="1" sqref="G2:G986" xr:uid="{00000000-0002-0000-0800-000001000000}">
      <formula1>"YES,NO"</formula1>
    </dataValidation>
  </dataValidations>
  <hyperlinks>
    <hyperlink ref="H2" r:id="rId1" xr:uid="{00000000-0004-0000-0800-000000000000}"/>
    <hyperlink ref="H3" r:id="rId2" xr:uid="{00000000-0004-0000-08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AA84F"/>
    <outlinePr summaryBelow="0" summaryRight="0"/>
  </sheetPr>
  <dimension ref="A1:V986"/>
  <sheetViews>
    <sheetView showGridLines="0" workbookViewId="0"/>
  </sheetViews>
  <sheetFormatPr defaultColWidth="12.5703125" defaultRowHeight="15.75" customHeight="1"/>
  <cols>
    <col min="1" max="1" width="6" customWidth="1"/>
    <col min="2" max="2" width="25.7109375" customWidth="1"/>
    <col min="3" max="3" width="35.28515625" customWidth="1"/>
    <col min="4" max="4" width="32.28515625" customWidth="1"/>
    <col min="5" max="6" width="23.42578125" customWidth="1"/>
    <col min="7" max="7" width="17.42578125" customWidth="1"/>
    <col min="8" max="8" width="25.7109375" customWidth="1"/>
  </cols>
  <sheetData>
    <row r="1" spans="1:22" ht="27.75" customHeight="1">
      <c r="A1" s="204" t="s">
        <v>0</v>
      </c>
      <c r="B1" s="204" t="s">
        <v>599</v>
      </c>
      <c r="C1" s="204" t="s">
        <v>600</v>
      </c>
      <c r="D1" s="204" t="s">
        <v>601</v>
      </c>
      <c r="E1" s="204" t="s">
        <v>602</v>
      </c>
      <c r="F1" s="204" t="s">
        <v>603</v>
      </c>
      <c r="G1" s="204" t="s">
        <v>604</v>
      </c>
      <c r="H1" s="204" t="s">
        <v>16</v>
      </c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.75">
      <c r="A2" s="4">
        <v>1</v>
      </c>
      <c r="B2" s="205" t="s">
        <v>605</v>
      </c>
      <c r="C2" s="206" t="s">
        <v>606</v>
      </c>
      <c r="D2" s="207" t="s">
        <v>607</v>
      </c>
      <c r="E2" s="207" t="s">
        <v>608</v>
      </c>
      <c r="F2" s="207" t="s">
        <v>609</v>
      </c>
      <c r="G2" s="207" t="s">
        <v>610</v>
      </c>
      <c r="H2" s="56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12.75">
      <c r="A3" s="208">
        <v>2</v>
      </c>
      <c r="B3" s="209" t="s">
        <v>611</v>
      </c>
      <c r="C3" s="210" t="s">
        <v>606</v>
      </c>
      <c r="D3" s="211" t="s">
        <v>612</v>
      </c>
      <c r="E3" s="211" t="s">
        <v>46</v>
      </c>
      <c r="F3" s="211" t="s">
        <v>46</v>
      </c>
      <c r="G3" s="211" t="s">
        <v>610</v>
      </c>
      <c r="H3" s="92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</row>
    <row r="4" spans="1:22" ht="12.75">
      <c r="A4" s="4">
        <v>3</v>
      </c>
      <c r="B4" s="212" t="s">
        <v>613</v>
      </c>
      <c r="C4" s="213" t="s">
        <v>606</v>
      </c>
      <c r="D4" s="214" t="s">
        <v>614</v>
      </c>
      <c r="E4" s="214" t="s">
        <v>615</v>
      </c>
      <c r="F4" s="214" t="s">
        <v>616</v>
      </c>
      <c r="G4" s="214" t="s">
        <v>610</v>
      </c>
      <c r="H4" s="56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ht="12.75">
      <c r="A5" s="4">
        <v>4</v>
      </c>
      <c r="B5" s="215" t="s">
        <v>617</v>
      </c>
      <c r="C5" s="216" t="s">
        <v>618</v>
      </c>
      <c r="D5" s="217" t="s">
        <v>619</v>
      </c>
      <c r="E5" s="218" t="s">
        <v>620</v>
      </c>
      <c r="F5" s="218" t="s">
        <v>46</v>
      </c>
      <c r="G5" s="217" t="s">
        <v>610</v>
      </c>
      <c r="H5" s="46"/>
    </row>
    <row r="6" spans="1:22" ht="12.75">
      <c r="A6" s="4">
        <v>5</v>
      </c>
      <c r="B6" s="215" t="s">
        <v>621</v>
      </c>
      <c r="C6" s="216" t="s">
        <v>618</v>
      </c>
      <c r="D6" s="217" t="s">
        <v>612</v>
      </c>
      <c r="E6" s="217" t="s">
        <v>620</v>
      </c>
      <c r="F6" s="217" t="s">
        <v>46</v>
      </c>
      <c r="G6" s="217" t="s">
        <v>610</v>
      </c>
      <c r="H6" s="102"/>
    </row>
    <row r="7" spans="1:22" ht="12.75">
      <c r="A7" s="4">
        <v>6</v>
      </c>
      <c r="B7" s="219" t="s">
        <v>622</v>
      </c>
      <c r="C7" s="220" t="s">
        <v>623</v>
      </c>
      <c r="D7" s="221" t="s">
        <v>612</v>
      </c>
      <c r="E7" s="221" t="s">
        <v>624</v>
      </c>
      <c r="F7" s="221" t="s">
        <v>625</v>
      </c>
      <c r="G7" s="221" t="s">
        <v>610</v>
      </c>
      <c r="H7" s="1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2.75">
      <c r="A8" s="4">
        <v>7</v>
      </c>
      <c r="B8" s="219" t="s">
        <v>626</v>
      </c>
      <c r="C8" s="220" t="s">
        <v>627</v>
      </c>
      <c r="D8" s="221" t="s">
        <v>619</v>
      </c>
      <c r="E8" s="221" t="s">
        <v>615</v>
      </c>
      <c r="F8" s="221" t="s">
        <v>616</v>
      </c>
      <c r="G8" s="221" t="s">
        <v>610</v>
      </c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2.75">
      <c r="A9" s="4">
        <v>8</v>
      </c>
      <c r="B9" s="219" t="s">
        <v>628</v>
      </c>
      <c r="C9" s="220" t="s">
        <v>629</v>
      </c>
      <c r="D9" s="221" t="s">
        <v>612</v>
      </c>
      <c r="E9" s="221" t="s">
        <v>615</v>
      </c>
      <c r="F9" s="221" t="s">
        <v>616</v>
      </c>
      <c r="G9" s="221" t="s">
        <v>610</v>
      </c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2.75">
      <c r="A10" s="4">
        <v>9</v>
      </c>
      <c r="B10" s="219" t="s">
        <v>630</v>
      </c>
      <c r="C10" s="220" t="s">
        <v>631</v>
      </c>
      <c r="D10" s="221" t="s">
        <v>46</v>
      </c>
      <c r="E10" s="221" t="s">
        <v>620</v>
      </c>
      <c r="F10" s="221" t="s">
        <v>46</v>
      </c>
      <c r="G10" s="221" t="s">
        <v>610</v>
      </c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2.75">
      <c r="A11" s="4">
        <v>10</v>
      </c>
      <c r="B11" s="219" t="s">
        <v>632</v>
      </c>
      <c r="C11" s="220" t="s">
        <v>633</v>
      </c>
      <c r="D11" s="222"/>
      <c r="E11" s="222" t="s">
        <v>46</v>
      </c>
      <c r="F11" s="222" t="s">
        <v>46</v>
      </c>
      <c r="G11" s="221" t="s">
        <v>610</v>
      </c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2.75">
      <c r="A12" s="4">
        <v>11</v>
      </c>
      <c r="B12" s="219" t="s">
        <v>634</v>
      </c>
      <c r="C12" s="220" t="s">
        <v>635</v>
      </c>
      <c r="D12" s="221" t="s">
        <v>636</v>
      </c>
      <c r="E12" s="221" t="s">
        <v>637</v>
      </c>
      <c r="F12" s="221" t="s">
        <v>46</v>
      </c>
      <c r="G12" s="221" t="s">
        <v>610</v>
      </c>
      <c r="H12" s="2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2.75">
      <c r="A13" s="4">
        <v>12</v>
      </c>
      <c r="B13" s="219" t="s">
        <v>638</v>
      </c>
      <c r="C13" s="220" t="s">
        <v>639</v>
      </c>
      <c r="D13" s="221" t="s">
        <v>640</v>
      </c>
      <c r="E13" s="221" t="s">
        <v>615</v>
      </c>
      <c r="F13" s="221" t="s">
        <v>46</v>
      </c>
      <c r="G13" s="223" t="s">
        <v>610</v>
      </c>
      <c r="H13" s="2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2.75">
      <c r="A14" s="4">
        <v>13</v>
      </c>
      <c r="B14" s="219" t="s">
        <v>641</v>
      </c>
      <c r="C14" s="129" t="s">
        <v>642</v>
      </c>
      <c r="D14" s="222" t="s">
        <v>46</v>
      </c>
      <c r="E14" s="222" t="s">
        <v>46</v>
      </c>
      <c r="F14" s="222" t="s">
        <v>46</v>
      </c>
      <c r="G14" s="223" t="s">
        <v>610</v>
      </c>
      <c r="H14" s="2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2.75">
      <c r="A15" s="4">
        <v>14</v>
      </c>
      <c r="B15" s="219" t="s">
        <v>643</v>
      </c>
      <c r="C15" s="220" t="s">
        <v>644</v>
      </c>
      <c r="D15" s="221" t="s">
        <v>640</v>
      </c>
      <c r="E15" s="221" t="s">
        <v>620</v>
      </c>
      <c r="F15" s="221" t="s">
        <v>46</v>
      </c>
      <c r="G15" s="223" t="s">
        <v>610</v>
      </c>
      <c r="H15" s="1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2.75">
      <c r="A16" s="4">
        <v>15</v>
      </c>
      <c r="B16" s="219" t="s">
        <v>645</v>
      </c>
      <c r="C16" s="220" t="s">
        <v>646</v>
      </c>
      <c r="D16" s="221" t="s">
        <v>46</v>
      </c>
      <c r="E16" s="221" t="s">
        <v>620</v>
      </c>
      <c r="F16" s="221" t="s">
        <v>46</v>
      </c>
      <c r="G16" s="223" t="s">
        <v>610</v>
      </c>
      <c r="H16" s="17" t="s">
        <v>647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2.75">
      <c r="A17" s="4">
        <v>16</v>
      </c>
      <c r="B17" s="219" t="s">
        <v>648</v>
      </c>
      <c r="C17" s="220" t="s">
        <v>649</v>
      </c>
      <c r="D17" s="221" t="s">
        <v>650</v>
      </c>
      <c r="E17" s="221" t="s">
        <v>624</v>
      </c>
      <c r="F17" s="221" t="s">
        <v>616</v>
      </c>
      <c r="G17" s="221" t="s">
        <v>610</v>
      </c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2.75">
      <c r="A18" s="4">
        <v>17</v>
      </c>
      <c r="B18" s="219" t="s">
        <v>651</v>
      </c>
      <c r="C18" s="220" t="s">
        <v>652</v>
      </c>
      <c r="D18" s="221" t="s">
        <v>653</v>
      </c>
      <c r="E18" s="221" t="s">
        <v>615</v>
      </c>
      <c r="F18" s="221" t="s">
        <v>616</v>
      </c>
      <c r="G18" s="223" t="s">
        <v>610</v>
      </c>
      <c r="H18" s="17" t="s">
        <v>647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2.75">
      <c r="A19" s="4">
        <v>18</v>
      </c>
      <c r="B19" s="219" t="s">
        <v>654</v>
      </c>
      <c r="C19" s="220" t="s">
        <v>655</v>
      </c>
      <c r="D19" s="221" t="s">
        <v>656</v>
      </c>
      <c r="E19" s="221" t="s">
        <v>615</v>
      </c>
      <c r="F19" s="221" t="s">
        <v>46</v>
      </c>
      <c r="G19" s="221" t="s">
        <v>610</v>
      </c>
      <c r="H19" s="1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2.75">
      <c r="A20" s="4">
        <v>19</v>
      </c>
      <c r="B20" s="219" t="s">
        <v>657</v>
      </c>
      <c r="C20" s="220" t="s">
        <v>658</v>
      </c>
      <c r="D20" s="221" t="s">
        <v>650</v>
      </c>
      <c r="E20" s="221" t="s">
        <v>615</v>
      </c>
      <c r="F20" s="221" t="s">
        <v>46</v>
      </c>
      <c r="G20" s="221" t="s">
        <v>610</v>
      </c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2.75">
      <c r="A21" s="4">
        <v>20</v>
      </c>
      <c r="B21" s="219" t="s">
        <v>659</v>
      </c>
      <c r="C21" s="220" t="s">
        <v>660</v>
      </c>
      <c r="D21" s="221" t="s">
        <v>656</v>
      </c>
      <c r="E21" s="221" t="s">
        <v>620</v>
      </c>
      <c r="F21" s="221" t="s">
        <v>46</v>
      </c>
      <c r="G21" s="221" t="s">
        <v>610</v>
      </c>
      <c r="H21" s="2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2.75">
      <c r="A22" s="4">
        <v>21</v>
      </c>
      <c r="B22" s="219" t="s">
        <v>661</v>
      </c>
      <c r="C22" s="220" t="s">
        <v>662</v>
      </c>
      <c r="D22" s="221" t="s">
        <v>46</v>
      </c>
      <c r="E22" s="221" t="s">
        <v>46</v>
      </c>
      <c r="F22" s="221" t="s">
        <v>46</v>
      </c>
      <c r="G22" s="221" t="s">
        <v>610</v>
      </c>
      <c r="H22" s="17" t="s">
        <v>663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2.75">
      <c r="A23" s="4">
        <v>22</v>
      </c>
      <c r="B23" s="219" t="s">
        <v>664</v>
      </c>
      <c r="C23" s="220" t="s">
        <v>644</v>
      </c>
      <c r="D23" s="221" t="s">
        <v>46</v>
      </c>
      <c r="E23" s="221" t="s">
        <v>620</v>
      </c>
      <c r="F23" s="221" t="s">
        <v>616</v>
      </c>
      <c r="G23" s="223" t="s">
        <v>610</v>
      </c>
      <c r="H23" s="17" t="s">
        <v>665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2.75">
      <c r="A24" s="4">
        <v>23</v>
      </c>
      <c r="B24" s="212" t="s">
        <v>666</v>
      </c>
      <c r="C24" s="213" t="s">
        <v>606</v>
      </c>
      <c r="D24" s="214" t="s">
        <v>667</v>
      </c>
      <c r="E24" s="214" t="s">
        <v>615</v>
      </c>
      <c r="F24" s="214" t="s">
        <v>616</v>
      </c>
      <c r="G24" s="214" t="s">
        <v>610</v>
      </c>
      <c r="H24" s="5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 spans="1:22" ht="12.75">
      <c r="A25" s="41">
        <v>24</v>
      </c>
      <c r="B25" s="215" t="s">
        <v>668</v>
      </c>
      <c r="C25" s="224" t="s">
        <v>669</v>
      </c>
      <c r="D25" s="217" t="s">
        <v>670</v>
      </c>
      <c r="E25" s="217" t="s">
        <v>624</v>
      </c>
      <c r="F25" s="217" t="s">
        <v>625</v>
      </c>
      <c r="G25" s="217" t="s">
        <v>610</v>
      </c>
      <c r="H25" s="46"/>
    </row>
    <row r="26" spans="1:22" ht="12.75">
      <c r="A26" s="4">
        <v>25</v>
      </c>
      <c r="B26" s="219" t="s">
        <v>671</v>
      </c>
      <c r="C26" s="129" t="s">
        <v>672</v>
      </c>
      <c r="D26" s="221" t="s">
        <v>650</v>
      </c>
      <c r="E26" s="221" t="s">
        <v>637</v>
      </c>
      <c r="F26" s="221" t="s">
        <v>616</v>
      </c>
      <c r="G26" s="221" t="s">
        <v>610</v>
      </c>
      <c r="H26" s="15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2.75">
      <c r="A27" s="4">
        <v>26</v>
      </c>
      <c r="B27" s="219" t="s">
        <v>673</v>
      </c>
      <c r="C27" s="220" t="s">
        <v>674</v>
      </c>
      <c r="D27" s="221" t="s">
        <v>650</v>
      </c>
      <c r="E27" s="221" t="s">
        <v>637</v>
      </c>
      <c r="F27" s="221" t="s">
        <v>616</v>
      </c>
      <c r="G27" s="221" t="s">
        <v>610</v>
      </c>
      <c r="H27" s="22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12.75">
      <c r="A28" s="4">
        <v>27</v>
      </c>
      <c r="B28" s="219" t="s">
        <v>675</v>
      </c>
      <c r="C28" s="220" t="s">
        <v>676</v>
      </c>
      <c r="D28" s="221" t="s">
        <v>650</v>
      </c>
      <c r="E28" s="221" t="s">
        <v>637</v>
      </c>
      <c r="F28" s="221" t="s">
        <v>616</v>
      </c>
      <c r="G28" s="221" t="s">
        <v>610</v>
      </c>
      <c r="H28" s="15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2.75">
      <c r="A29" s="41">
        <v>28</v>
      </c>
      <c r="B29" s="215" t="s">
        <v>677</v>
      </c>
      <c r="C29" s="224" t="s">
        <v>678</v>
      </c>
      <c r="D29" s="217" t="s">
        <v>650</v>
      </c>
      <c r="E29" s="218" t="s">
        <v>615</v>
      </c>
      <c r="F29" s="218" t="s">
        <v>616</v>
      </c>
      <c r="G29" s="217" t="s">
        <v>610</v>
      </c>
      <c r="H29" s="76"/>
    </row>
    <row r="30" spans="1:22" ht="12.75">
      <c r="A30" s="4">
        <v>29</v>
      </c>
      <c r="B30" s="212" t="s">
        <v>679</v>
      </c>
      <c r="C30" s="213" t="s">
        <v>680</v>
      </c>
      <c r="D30" s="214" t="s">
        <v>653</v>
      </c>
      <c r="E30" s="214" t="s">
        <v>608</v>
      </c>
      <c r="F30" s="214" t="s">
        <v>616</v>
      </c>
      <c r="G30" s="214" t="s">
        <v>610</v>
      </c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</row>
    <row r="31" spans="1:22" ht="12.75">
      <c r="A31" s="41">
        <v>30</v>
      </c>
      <c r="B31" s="225" t="s">
        <v>681</v>
      </c>
      <c r="C31" s="226" t="s">
        <v>682</v>
      </c>
      <c r="D31" s="227" t="s">
        <v>650</v>
      </c>
      <c r="E31" s="227" t="s">
        <v>615</v>
      </c>
      <c r="F31" s="227" t="s">
        <v>616</v>
      </c>
      <c r="G31" s="227" t="s">
        <v>683</v>
      </c>
      <c r="H31" s="76"/>
    </row>
    <row r="32" spans="1:22" ht="12.75">
      <c r="A32" s="4">
        <v>31</v>
      </c>
      <c r="B32" s="219" t="s">
        <v>684</v>
      </c>
      <c r="C32" s="129" t="s">
        <v>685</v>
      </c>
      <c r="D32" s="221" t="s">
        <v>686</v>
      </c>
      <c r="E32" s="221" t="s">
        <v>615</v>
      </c>
      <c r="F32" s="221" t="s">
        <v>46</v>
      </c>
      <c r="G32" s="221" t="s">
        <v>610</v>
      </c>
      <c r="H32" s="22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2.75">
      <c r="A33" s="41">
        <v>32</v>
      </c>
      <c r="B33" s="215" t="s">
        <v>687</v>
      </c>
      <c r="C33" s="224" t="s">
        <v>688</v>
      </c>
      <c r="D33" s="217" t="s">
        <v>46</v>
      </c>
      <c r="E33" s="217" t="s">
        <v>637</v>
      </c>
      <c r="F33" s="217" t="s">
        <v>616</v>
      </c>
      <c r="G33" s="217" t="s">
        <v>610</v>
      </c>
      <c r="H33" s="102" t="s">
        <v>689</v>
      </c>
    </row>
    <row r="34" spans="1:22" ht="12.75">
      <c r="A34" s="4">
        <v>33</v>
      </c>
      <c r="B34" s="225" t="s">
        <v>690</v>
      </c>
      <c r="C34" s="226" t="s">
        <v>691</v>
      </c>
      <c r="D34" s="227" t="s">
        <v>46</v>
      </c>
      <c r="E34" s="227" t="s">
        <v>620</v>
      </c>
      <c r="F34" s="227" t="s">
        <v>46</v>
      </c>
      <c r="G34" s="227" t="s">
        <v>683</v>
      </c>
      <c r="H34" s="229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</row>
    <row r="35" spans="1:22" ht="12.75">
      <c r="A35" s="4">
        <v>34</v>
      </c>
      <c r="B35" s="219" t="s">
        <v>693</v>
      </c>
      <c r="C35" s="220" t="s">
        <v>694</v>
      </c>
      <c r="D35" s="221" t="s">
        <v>695</v>
      </c>
      <c r="E35" s="221" t="s">
        <v>615</v>
      </c>
      <c r="F35" s="221" t="s">
        <v>616</v>
      </c>
      <c r="G35" s="221" t="s">
        <v>610</v>
      </c>
      <c r="H35" s="17" t="s">
        <v>696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2.75">
      <c r="A36" s="41">
        <v>35</v>
      </c>
      <c r="B36" s="215" t="s">
        <v>697</v>
      </c>
      <c r="C36" s="224" t="s">
        <v>698</v>
      </c>
      <c r="D36" s="217" t="s">
        <v>46</v>
      </c>
      <c r="E36" s="217" t="s">
        <v>637</v>
      </c>
      <c r="F36" s="217" t="s">
        <v>46</v>
      </c>
      <c r="G36" s="217" t="s">
        <v>610</v>
      </c>
      <c r="H36" s="102" t="s">
        <v>699</v>
      </c>
    </row>
    <row r="37" spans="1:22" ht="12.75">
      <c r="A37" s="4">
        <v>36</v>
      </c>
      <c r="B37" s="219" t="s">
        <v>700</v>
      </c>
      <c r="C37" s="220" t="s">
        <v>701</v>
      </c>
      <c r="D37" s="221" t="s">
        <v>46</v>
      </c>
      <c r="E37" s="221" t="s">
        <v>620</v>
      </c>
      <c r="F37" s="221" t="s">
        <v>46</v>
      </c>
      <c r="G37" s="221" t="s">
        <v>610</v>
      </c>
      <c r="H37" s="22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2.75">
      <c r="A38" s="41">
        <v>37</v>
      </c>
      <c r="B38" s="215" t="s">
        <v>703</v>
      </c>
      <c r="C38" s="224" t="s">
        <v>704</v>
      </c>
      <c r="D38" s="217" t="s">
        <v>46</v>
      </c>
      <c r="E38" s="217" t="s">
        <v>46</v>
      </c>
      <c r="F38" s="217" t="s">
        <v>46</v>
      </c>
      <c r="G38" s="217" t="s">
        <v>610</v>
      </c>
      <c r="H38" s="102" t="s">
        <v>705</v>
      </c>
    </row>
    <row r="39" spans="1:22" ht="12.75">
      <c r="A39" s="4">
        <v>38</v>
      </c>
      <c r="B39" s="219" t="s">
        <v>706</v>
      </c>
      <c r="C39" s="220" t="s">
        <v>708</v>
      </c>
      <c r="D39" s="221" t="s">
        <v>46</v>
      </c>
      <c r="E39" s="221" t="s">
        <v>46</v>
      </c>
      <c r="F39" s="221" t="s">
        <v>46</v>
      </c>
      <c r="G39" s="221" t="s">
        <v>610</v>
      </c>
      <c r="H39" s="22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2.75">
      <c r="A40" s="4">
        <v>39</v>
      </c>
      <c r="B40" s="219" t="s">
        <v>710</v>
      </c>
      <c r="C40" s="220" t="s">
        <v>711</v>
      </c>
      <c r="D40" s="221" t="s">
        <v>712</v>
      </c>
      <c r="E40" s="221" t="s">
        <v>620</v>
      </c>
      <c r="F40" s="221" t="s">
        <v>46</v>
      </c>
      <c r="G40" s="221" t="s">
        <v>610</v>
      </c>
      <c r="H40" s="17" t="s">
        <v>713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2.75">
      <c r="A41" s="4">
        <v>40</v>
      </c>
      <c r="B41" s="225" t="s">
        <v>715</v>
      </c>
      <c r="C41" s="226" t="s">
        <v>694</v>
      </c>
      <c r="D41" s="227" t="s">
        <v>46</v>
      </c>
      <c r="E41" s="227" t="s">
        <v>716</v>
      </c>
      <c r="F41" s="227" t="s">
        <v>46</v>
      </c>
      <c r="G41" s="237" t="s">
        <v>683</v>
      </c>
      <c r="H41" s="229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</row>
    <row r="42" spans="1:22" ht="12.75">
      <c r="A42" s="4">
        <v>41</v>
      </c>
      <c r="B42" s="219" t="s">
        <v>719</v>
      </c>
      <c r="C42" s="220" t="s">
        <v>720</v>
      </c>
      <c r="D42" s="221" t="s">
        <v>721</v>
      </c>
      <c r="E42" s="221" t="s">
        <v>637</v>
      </c>
      <c r="F42" s="221" t="s">
        <v>625</v>
      </c>
      <c r="G42" s="221" t="s">
        <v>610</v>
      </c>
      <c r="H42" s="15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12.75">
      <c r="A43" s="4">
        <v>42</v>
      </c>
      <c r="B43" s="215" t="s">
        <v>722</v>
      </c>
      <c r="C43" s="224" t="s">
        <v>723</v>
      </c>
      <c r="D43" s="217" t="s">
        <v>686</v>
      </c>
      <c r="E43" s="217" t="s">
        <v>615</v>
      </c>
      <c r="F43" s="217" t="s">
        <v>616</v>
      </c>
      <c r="G43" s="217" t="s">
        <v>610</v>
      </c>
      <c r="H43" s="102" t="s">
        <v>724</v>
      </c>
    </row>
    <row r="44" spans="1:22" ht="12.75">
      <c r="A44" s="4">
        <v>43</v>
      </c>
      <c r="B44" s="215" t="s">
        <v>725</v>
      </c>
      <c r="C44" s="224" t="s">
        <v>726</v>
      </c>
      <c r="D44" s="217" t="s">
        <v>46</v>
      </c>
      <c r="E44" s="217" t="s">
        <v>637</v>
      </c>
      <c r="F44" s="217" t="s">
        <v>625</v>
      </c>
      <c r="G44" s="217" t="s">
        <v>610</v>
      </c>
      <c r="H44" s="102" t="s">
        <v>727</v>
      </c>
    </row>
    <row r="45" spans="1:22" ht="12.75">
      <c r="A45" s="4">
        <v>44</v>
      </c>
      <c r="B45" s="215" t="s">
        <v>728</v>
      </c>
      <c r="C45" s="216" t="s">
        <v>729</v>
      </c>
      <c r="D45" s="217" t="s">
        <v>650</v>
      </c>
      <c r="E45" s="217" t="s">
        <v>637</v>
      </c>
      <c r="F45" s="217" t="s">
        <v>616</v>
      </c>
      <c r="G45" s="217" t="s">
        <v>610</v>
      </c>
      <c r="H45" s="102" t="s">
        <v>727</v>
      </c>
    </row>
    <row r="46" spans="1:22" ht="12.75">
      <c r="A46" s="4">
        <v>45</v>
      </c>
      <c r="B46" s="225" t="s">
        <v>731</v>
      </c>
      <c r="C46" s="226" t="s">
        <v>732</v>
      </c>
      <c r="D46" s="227" t="s">
        <v>667</v>
      </c>
      <c r="E46" s="227" t="s">
        <v>637</v>
      </c>
      <c r="F46" s="227" t="s">
        <v>625</v>
      </c>
      <c r="G46" s="227" t="s">
        <v>683</v>
      </c>
      <c r="H46" s="229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</row>
    <row r="47" spans="1:22" ht="12.75">
      <c r="A47" s="4">
        <v>46</v>
      </c>
      <c r="B47" s="212" t="s">
        <v>735</v>
      </c>
      <c r="C47" s="213" t="s">
        <v>606</v>
      </c>
      <c r="D47" s="214" t="s">
        <v>667</v>
      </c>
      <c r="E47" s="214" t="s">
        <v>637</v>
      </c>
      <c r="F47" s="214" t="s">
        <v>625</v>
      </c>
      <c r="G47" s="214" t="s">
        <v>610</v>
      </c>
      <c r="H47" s="56" t="s">
        <v>737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spans="1:22" ht="12.75">
      <c r="A48" s="4">
        <v>47</v>
      </c>
      <c r="B48" s="225" t="s">
        <v>738</v>
      </c>
      <c r="C48" s="226" t="s">
        <v>739</v>
      </c>
      <c r="D48" s="227" t="s">
        <v>46</v>
      </c>
      <c r="E48" s="227" t="s">
        <v>46</v>
      </c>
      <c r="F48" s="227" t="s">
        <v>46</v>
      </c>
      <c r="G48" s="227" t="s">
        <v>683</v>
      </c>
      <c r="H48" s="229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</row>
    <row r="49" spans="1:22" ht="12.75">
      <c r="A49" s="4">
        <v>48</v>
      </c>
      <c r="B49" s="215" t="s">
        <v>742</v>
      </c>
      <c r="C49" s="224" t="s">
        <v>743</v>
      </c>
      <c r="D49" s="217" t="s">
        <v>46</v>
      </c>
      <c r="E49" s="217" t="s">
        <v>620</v>
      </c>
      <c r="F49" s="217" t="s">
        <v>46</v>
      </c>
      <c r="G49" s="218" t="s">
        <v>610</v>
      </c>
      <c r="H49" s="102" t="s">
        <v>647</v>
      </c>
    </row>
    <row r="50" spans="1:22" ht="12.75">
      <c r="A50" s="4">
        <v>49</v>
      </c>
      <c r="B50" s="219" t="s">
        <v>746</v>
      </c>
      <c r="C50" s="220" t="s">
        <v>747</v>
      </c>
      <c r="D50" s="221" t="s">
        <v>650</v>
      </c>
      <c r="E50" s="221" t="s">
        <v>620</v>
      </c>
      <c r="F50" s="221" t="s">
        <v>46</v>
      </c>
      <c r="G50" s="245" t="s">
        <v>610</v>
      </c>
      <c r="H50" s="17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2.75">
      <c r="A51" s="4">
        <v>50</v>
      </c>
      <c r="B51" s="225" t="s">
        <v>751</v>
      </c>
      <c r="C51" s="226" t="s">
        <v>752</v>
      </c>
      <c r="D51" s="227" t="s">
        <v>46</v>
      </c>
      <c r="E51" s="227" t="s">
        <v>46</v>
      </c>
      <c r="F51" s="227" t="s">
        <v>46</v>
      </c>
      <c r="G51" s="246" t="s">
        <v>683</v>
      </c>
      <c r="H51" s="229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</row>
    <row r="52" spans="1:22" ht="12.75">
      <c r="A52" s="4">
        <v>51</v>
      </c>
      <c r="B52" s="225" t="s">
        <v>753</v>
      </c>
      <c r="C52" s="226" t="s">
        <v>754</v>
      </c>
      <c r="D52" s="227" t="s">
        <v>46</v>
      </c>
      <c r="E52" s="227" t="s">
        <v>46</v>
      </c>
      <c r="F52" s="227" t="s">
        <v>46</v>
      </c>
      <c r="G52" s="237" t="s">
        <v>683</v>
      </c>
      <c r="H52" s="229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</row>
    <row r="53" spans="1:22" ht="12.75">
      <c r="A53" s="4">
        <v>52</v>
      </c>
      <c r="B53" s="219" t="s">
        <v>755</v>
      </c>
      <c r="C53" s="220" t="s">
        <v>756</v>
      </c>
      <c r="D53" s="221" t="s">
        <v>46</v>
      </c>
      <c r="E53" s="221" t="s">
        <v>620</v>
      </c>
      <c r="F53" s="221" t="s">
        <v>46</v>
      </c>
      <c r="G53" s="223" t="s">
        <v>610</v>
      </c>
      <c r="H53" s="1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2.75">
      <c r="A54" s="4">
        <v>53</v>
      </c>
      <c r="B54" s="219" t="s">
        <v>757</v>
      </c>
      <c r="C54" s="220" t="s">
        <v>758</v>
      </c>
      <c r="D54" s="221" t="s">
        <v>760</v>
      </c>
      <c r="E54" s="221" t="s">
        <v>620</v>
      </c>
      <c r="F54" s="221" t="s">
        <v>46</v>
      </c>
      <c r="G54" s="221" t="s">
        <v>610</v>
      </c>
      <c r="H54" s="1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12.75">
      <c r="A55" s="4">
        <v>54</v>
      </c>
      <c r="B55" s="219" t="s">
        <v>761</v>
      </c>
      <c r="C55" s="220" t="s">
        <v>762</v>
      </c>
      <c r="D55" s="221" t="s">
        <v>764</v>
      </c>
      <c r="E55" s="221" t="s">
        <v>615</v>
      </c>
      <c r="F55" s="221" t="s">
        <v>46</v>
      </c>
      <c r="G55" s="221" t="s">
        <v>610</v>
      </c>
      <c r="H55" s="17" t="s">
        <v>765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2.75">
      <c r="A56" s="4">
        <v>55</v>
      </c>
      <c r="B56" s="219" t="s">
        <v>766</v>
      </c>
      <c r="C56" s="220" t="s">
        <v>767</v>
      </c>
      <c r="D56" s="221" t="s">
        <v>764</v>
      </c>
      <c r="E56" s="221" t="s">
        <v>716</v>
      </c>
      <c r="F56" s="221" t="s">
        <v>46</v>
      </c>
      <c r="G56" s="221" t="s">
        <v>610</v>
      </c>
      <c r="H56" s="15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12.75">
      <c r="A57" s="4">
        <v>56</v>
      </c>
      <c r="B57" s="219" t="s">
        <v>768</v>
      </c>
      <c r="C57" s="220" t="s">
        <v>769</v>
      </c>
      <c r="D57" s="221" t="s">
        <v>46</v>
      </c>
      <c r="E57" s="221" t="s">
        <v>620</v>
      </c>
      <c r="F57" s="221" t="s">
        <v>46</v>
      </c>
      <c r="G57" s="223" t="s">
        <v>610</v>
      </c>
      <c r="H57" s="15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2.75">
      <c r="A58" s="54">
        <v>57</v>
      </c>
      <c r="B58" s="212" t="s">
        <v>773</v>
      </c>
      <c r="C58" s="213" t="s">
        <v>774</v>
      </c>
      <c r="D58" s="214" t="s">
        <v>775</v>
      </c>
      <c r="E58" s="214" t="s">
        <v>615</v>
      </c>
      <c r="F58" s="214" t="s">
        <v>46</v>
      </c>
      <c r="G58" s="214" t="s">
        <v>610</v>
      </c>
      <c r="H58" s="57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spans="1:22" ht="12.75">
      <c r="A59" s="41">
        <v>58</v>
      </c>
      <c r="B59" s="215" t="s">
        <v>777</v>
      </c>
      <c r="C59" s="224" t="s">
        <v>778</v>
      </c>
      <c r="D59" s="217" t="s">
        <v>46</v>
      </c>
      <c r="E59" s="217" t="s">
        <v>620</v>
      </c>
      <c r="F59" s="217" t="s">
        <v>46</v>
      </c>
      <c r="G59" s="249" t="s">
        <v>610</v>
      </c>
      <c r="H59" s="102" t="s">
        <v>781</v>
      </c>
    </row>
    <row r="60" spans="1:22" ht="12.75">
      <c r="A60" s="4">
        <v>59</v>
      </c>
      <c r="B60" s="219" t="s">
        <v>782</v>
      </c>
      <c r="C60" s="220" t="s">
        <v>784</v>
      </c>
      <c r="D60" s="221" t="s">
        <v>764</v>
      </c>
      <c r="E60" s="221" t="s">
        <v>615</v>
      </c>
      <c r="F60" s="221" t="s">
        <v>46</v>
      </c>
      <c r="G60" s="221" t="s">
        <v>610</v>
      </c>
      <c r="H60" s="1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12.75">
      <c r="A61" s="4">
        <v>60</v>
      </c>
      <c r="B61" s="219" t="s">
        <v>786</v>
      </c>
      <c r="C61" s="220" t="s">
        <v>787</v>
      </c>
      <c r="D61" s="221" t="s">
        <v>46</v>
      </c>
      <c r="E61" s="221" t="s">
        <v>620</v>
      </c>
      <c r="F61" s="221" t="s">
        <v>46</v>
      </c>
      <c r="G61" s="221" t="s">
        <v>610</v>
      </c>
      <c r="H61" s="15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12.75">
      <c r="A62" s="41">
        <v>61</v>
      </c>
      <c r="B62" s="215" t="s">
        <v>788</v>
      </c>
      <c r="C62" s="224" t="s">
        <v>790</v>
      </c>
      <c r="D62" s="217" t="s">
        <v>46</v>
      </c>
      <c r="E62" s="217" t="s">
        <v>620</v>
      </c>
      <c r="F62" s="217" t="s">
        <v>46</v>
      </c>
      <c r="G62" s="217" t="s">
        <v>610</v>
      </c>
      <c r="H62" s="102" t="s">
        <v>791</v>
      </c>
    </row>
    <row r="63" spans="1:22" ht="12.75">
      <c r="A63" s="54">
        <v>62</v>
      </c>
      <c r="B63" s="212" t="s">
        <v>793</v>
      </c>
      <c r="C63" s="213" t="s">
        <v>794</v>
      </c>
      <c r="D63" s="214" t="s">
        <v>760</v>
      </c>
      <c r="E63" s="214" t="s">
        <v>615</v>
      </c>
      <c r="F63" s="214" t="s">
        <v>616</v>
      </c>
      <c r="G63" s="250" t="s">
        <v>610</v>
      </c>
      <c r="H63" s="57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spans="1:22" ht="12.75">
      <c r="A64" s="54">
        <v>63</v>
      </c>
      <c r="B64" s="212" t="s">
        <v>796</v>
      </c>
      <c r="C64" s="213" t="s">
        <v>606</v>
      </c>
      <c r="D64" s="214" t="s">
        <v>760</v>
      </c>
      <c r="E64" s="214" t="s">
        <v>615</v>
      </c>
      <c r="F64" s="214" t="s">
        <v>616</v>
      </c>
      <c r="G64" s="250" t="s">
        <v>610</v>
      </c>
      <c r="H64" s="251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spans="1:22" ht="12.75">
      <c r="A65" s="4">
        <v>64</v>
      </c>
      <c r="B65" s="219" t="s">
        <v>799</v>
      </c>
      <c r="C65" s="220" t="s">
        <v>800</v>
      </c>
      <c r="D65" s="221" t="s">
        <v>801</v>
      </c>
      <c r="E65" s="221" t="s">
        <v>624</v>
      </c>
      <c r="F65" s="221" t="s">
        <v>616</v>
      </c>
      <c r="G65" s="221" t="s">
        <v>610</v>
      </c>
      <c r="H65" s="22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12.75">
      <c r="A66" s="253">
        <v>65</v>
      </c>
      <c r="B66" s="225" t="s">
        <v>804</v>
      </c>
      <c r="C66" s="226"/>
      <c r="D66" s="227" t="s">
        <v>46</v>
      </c>
      <c r="E66" s="227" t="s">
        <v>46</v>
      </c>
      <c r="F66" s="227" t="s">
        <v>46</v>
      </c>
      <c r="G66" s="227" t="s">
        <v>683</v>
      </c>
      <c r="H66" s="254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</row>
    <row r="67" spans="1:22" ht="12.75">
      <c r="A67" s="4">
        <v>66</v>
      </c>
      <c r="B67" s="219" t="s">
        <v>806</v>
      </c>
      <c r="C67" s="220" t="s">
        <v>807</v>
      </c>
      <c r="D67" s="221" t="s">
        <v>801</v>
      </c>
      <c r="E67" s="221" t="s">
        <v>637</v>
      </c>
      <c r="F67" s="221" t="s">
        <v>616</v>
      </c>
      <c r="G67" s="221" t="s">
        <v>610</v>
      </c>
      <c r="H67" s="1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12.75">
      <c r="A68" s="253">
        <v>67</v>
      </c>
      <c r="B68" s="225" t="s">
        <v>808</v>
      </c>
      <c r="C68" s="226" t="s">
        <v>809</v>
      </c>
      <c r="D68" s="227" t="s">
        <v>46</v>
      </c>
      <c r="E68" s="227" t="s">
        <v>46</v>
      </c>
      <c r="F68" s="227" t="s">
        <v>46</v>
      </c>
      <c r="G68" s="227" t="s">
        <v>683</v>
      </c>
      <c r="H68" s="254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</row>
    <row r="69" spans="1:22" ht="12.75">
      <c r="A69" s="4">
        <v>68</v>
      </c>
      <c r="B69" s="219" t="s">
        <v>810</v>
      </c>
      <c r="C69" s="220" t="s">
        <v>811</v>
      </c>
      <c r="D69" s="221" t="s">
        <v>801</v>
      </c>
      <c r="E69" s="221" t="s">
        <v>615</v>
      </c>
      <c r="F69" s="221" t="s">
        <v>46</v>
      </c>
      <c r="G69" s="221" t="s">
        <v>610</v>
      </c>
      <c r="H69" s="15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12.75">
      <c r="A70" s="41">
        <v>69</v>
      </c>
      <c r="B70" s="215" t="s">
        <v>812</v>
      </c>
      <c r="C70" s="224" t="s">
        <v>813</v>
      </c>
      <c r="D70" s="217" t="s">
        <v>46</v>
      </c>
      <c r="E70" s="217" t="s">
        <v>615</v>
      </c>
      <c r="F70" s="217" t="s">
        <v>46</v>
      </c>
      <c r="G70" s="249" t="s">
        <v>610</v>
      </c>
      <c r="H70" s="102" t="s">
        <v>814</v>
      </c>
    </row>
    <row r="71" spans="1:22" ht="12.75">
      <c r="A71" s="4">
        <v>70</v>
      </c>
      <c r="B71" s="219" t="s">
        <v>815</v>
      </c>
      <c r="C71" s="220" t="s">
        <v>816</v>
      </c>
      <c r="D71" s="221" t="s">
        <v>46</v>
      </c>
      <c r="E71" s="221" t="s">
        <v>620</v>
      </c>
      <c r="F71" s="221" t="s">
        <v>46</v>
      </c>
      <c r="G71" s="223" t="s">
        <v>610</v>
      </c>
      <c r="H71" s="15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2.75">
      <c r="A72" s="253">
        <v>71</v>
      </c>
      <c r="B72" s="225" t="s">
        <v>818</v>
      </c>
      <c r="C72" s="226" t="s">
        <v>819</v>
      </c>
      <c r="D72" s="227" t="s">
        <v>46</v>
      </c>
      <c r="E72" s="227" t="s">
        <v>46</v>
      </c>
      <c r="F72" s="227" t="s">
        <v>46</v>
      </c>
      <c r="G72" s="227" t="s">
        <v>683</v>
      </c>
      <c r="H72" s="229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</row>
    <row r="73" spans="1:22" ht="12.75">
      <c r="A73" s="54">
        <v>72</v>
      </c>
      <c r="B73" s="212" t="s">
        <v>821</v>
      </c>
      <c r="C73" s="213" t="s">
        <v>606</v>
      </c>
      <c r="D73" s="214" t="s">
        <v>801</v>
      </c>
      <c r="E73" s="214" t="s">
        <v>637</v>
      </c>
      <c r="F73" s="214" t="s">
        <v>46</v>
      </c>
      <c r="G73" s="214" t="s">
        <v>610</v>
      </c>
      <c r="H73" s="57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spans="1:22" ht="12.75">
      <c r="A74" s="253">
        <v>73</v>
      </c>
      <c r="B74" s="225" t="s">
        <v>822</v>
      </c>
      <c r="C74" s="226" t="s">
        <v>823</v>
      </c>
      <c r="D74" s="227" t="s">
        <v>46</v>
      </c>
      <c r="E74" s="227" t="s">
        <v>46</v>
      </c>
      <c r="F74" s="227" t="s">
        <v>46</v>
      </c>
      <c r="G74" s="227" t="s">
        <v>683</v>
      </c>
      <c r="H74" s="229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</row>
    <row r="75" spans="1:22" ht="12.75">
      <c r="A75" s="4">
        <v>74</v>
      </c>
      <c r="B75" s="219" t="s">
        <v>825</v>
      </c>
      <c r="C75" s="129" t="s">
        <v>22</v>
      </c>
      <c r="D75" s="221" t="s">
        <v>46</v>
      </c>
      <c r="E75" s="221" t="s">
        <v>615</v>
      </c>
      <c r="F75" s="221" t="s">
        <v>616</v>
      </c>
      <c r="G75" s="221" t="s">
        <v>610</v>
      </c>
      <c r="H75" s="1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2.75">
      <c r="A76" s="54">
        <v>75</v>
      </c>
      <c r="B76" s="212" t="s">
        <v>827</v>
      </c>
      <c r="C76" s="213" t="s">
        <v>606</v>
      </c>
      <c r="D76" s="214" t="s">
        <v>46</v>
      </c>
      <c r="E76" s="214" t="s">
        <v>615</v>
      </c>
      <c r="F76" s="214" t="s">
        <v>46</v>
      </c>
      <c r="G76" s="214" t="s">
        <v>610</v>
      </c>
      <c r="H76" s="251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spans="1:22" ht="12.75">
      <c r="A77" s="54">
        <v>76</v>
      </c>
      <c r="B77" s="212" t="s">
        <v>829</v>
      </c>
      <c r="C77" s="213" t="s">
        <v>606</v>
      </c>
      <c r="D77" s="214" t="s">
        <v>46</v>
      </c>
      <c r="E77" s="214" t="s">
        <v>615</v>
      </c>
      <c r="F77" s="214" t="s">
        <v>46</v>
      </c>
      <c r="G77" s="214" t="s">
        <v>610</v>
      </c>
      <c r="H77" s="57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spans="1:22" ht="12.75">
      <c r="A78" s="253">
        <v>77</v>
      </c>
      <c r="B78" s="225" t="s">
        <v>831</v>
      </c>
      <c r="C78" s="226" t="s">
        <v>832</v>
      </c>
      <c r="D78" s="227" t="s">
        <v>46</v>
      </c>
      <c r="E78" s="227" t="s">
        <v>46</v>
      </c>
      <c r="F78" s="227" t="s">
        <v>46</v>
      </c>
      <c r="G78" s="237" t="s">
        <v>683</v>
      </c>
      <c r="H78" s="229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</row>
    <row r="79" spans="1:22" ht="12.75">
      <c r="A79" s="4">
        <v>78</v>
      </c>
      <c r="B79" s="219" t="s">
        <v>834</v>
      </c>
      <c r="C79" s="220" t="s">
        <v>835</v>
      </c>
      <c r="D79" s="221" t="s">
        <v>760</v>
      </c>
      <c r="E79" s="221" t="s">
        <v>615</v>
      </c>
      <c r="F79" s="221" t="s">
        <v>616</v>
      </c>
      <c r="G79" s="221" t="s">
        <v>610</v>
      </c>
      <c r="H79" s="22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12.75">
      <c r="A80" s="54">
        <v>79</v>
      </c>
      <c r="B80" s="212" t="s">
        <v>837</v>
      </c>
      <c r="C80" s="213" t="s">
        <v>838</v>
      </c>
      <c r="D80" s="214" t="s">
        <v>46</v>
      </c>
      <c r="E80" s="214" t="s">
        <v>637</v>
      </c>
      <c r="F80" s="214" t="s">
        <v>616</v>
      </c>
      <c r="G80" s="250" t="s">
        <v>839</v>
      </c>
      <c r="H80" s="57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spans="1:22" ht="12.75">
      <c r="A81" s="54">
        <v>80</v>
      </c>
      <c r="B81" s="212" t="s">
        <v>840</v>
      </c>
      <c r="C81" s="213" t="s">
        <v>606</v>
      </c>
      <c r="D81" s="214" t="s">
        <v>760</v>
      </c>
      <c r="E81" s="214" t="s">
        <v>624</v>
      </c>
      <c r="F81" s="214" t="s">
        <v>625</v>
      </c>
      <c r="G81" s="214" t="s">
        <v>610</v>
      </c>
      <c r="H81" s="251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spans="1:22" ht="12.75">
      <c r="A82" s="54">
        <v>81</v>
      </c>
      <c r="B82" s="212" t="s">
        <v>841</v>
      </c>
      <c r="C82" s="213" t="s">
        <v>606</v>
      </c>
      <c r="D82" s="214" t="s">
        <v>764</v>
      </c>
      <c r="E82" s="214" t="s">
        <v>637</v>
      </c>
      <c r="F82" s="214" t="s">
        <v>46</v>
      </c>
      <c r="G82" s="258" t="s">
        <v>610</v>
      </c>
      <c r="H82" s="251">
        <v>45096.531228252315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spans="1:22" ht="12.75">
      <c r="A83" s="253">
        <v>82</v>
      </c>
      <c r="B83" s="225" t="s">
        <v>842</v>
      </c>
      <c r="C83" s="226" t="s">
        <v>606</v>
      </c>
      <c r="D83" s="227" t="s">
        <v>46</v>
      </c>
      <c r="E83" s="227" t="s">
        <v>620</v>
      </c>
      <c r="F83" s="227" t="s">
        <v>46</v>
      </c>
      <c r="G83" s="260" t="s">
        <v>683</v>
      </c>
      <c r="H83" s="254">
        <v>45096.531364895833</v>
      </c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</row>
    <row r="84" spans="1:22" ht="12.75">
      <c r="A84" s="253">
        <v>83</v>
      </c>
      <c r="B84" s="225" t="s">
        <v>842</v>
      </c>
      <c r="C84" s="226" t="s">
        <v>844</v>
      </c>
      <c r="D84" s="227" t="s">
        <v>764</v>
      </c>
      <c r="E84" s="227" t="s">
        <v>615</v>
      </c>
      <c r="F84" s="227" t="s">
        <v>46</v>
      </c>
      <c r="G84" s="262" t="s">
        <v>683</v>
      </c>
      <c r="H84" s="254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</row>
    <row r="85" spans="1:22" ht="12.75">
      <c r="A85" s="253">
        <v>84</v>
      </c>
      <c r="B85" s="225" t="s">
        <v>842</v>
      </c>
      <c r="C85" s="226" t="s">
        <v>846</v>
      </c>
      <c r="D85" s="227" t="s">
        <v>847</v>
      </c>
      <c r="E85" s="227" t="s">
        <v>637</v>
      </c>
      <c r="F85" s="227" t="s">
        <v>46</v>
      </c>
      <c r="G85" s="227" t="s">
        <v>683</v>
      </c>
      <c r="H85" s="229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</row>
    <row r="86" spans="1:22" ht="12.75">
      <c r="A86" s="253">
        <v>85</v>
      </c>
      <c r="B86" s="225" t="s">
        <v>842</v>
      </c>
      <c r="C86" s="226" t="s">
        <v>848</v>
      </c>
      <c r="D86" s="227" t="s">
        <v>849</v>
      </c>
      <c r="E86" s="227" t="s">
        <v>615</v>
      </c>
      <c r="F86" s="227" t="s">
        <v>46</v>
      </c>
      <c r="G86" s="227" t="s">
        <v>610</v>
      </c>
      <c r="H86" s="229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</row>
    <row r="87" spans="1:22" ht="12.75">
      <c r="A87" s="54">
        <v>86</v>
      </c>
      <c r="B87" s="212" t="s">
        <v>842</v>
      </c>
      <c r="C87" s="213" t="s">
        <v>851</v>
      </c>
      <c r="D87" s="214" t="s">
        <v>801</v>
      </c>
      <c r="E87" s="214" t="s">
        <v>637</v>
      </c>
      <c r="F87" s="214" t="s">
        <v>625</v>
      </c>
      <c r="G87" s="250" t="s">
        <v>610</v>
      </c>
      <c r="H87" s="56" t="s">
        <v>852</v>
      </c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spans="1:22" ht="12.75">
      <c r="A88" s="253">
        <v>87</v>
      </c>
      <c r="B88" s="225" t="s">
        <v>854</v>
      </c>
      <c r="C88" s="226" t="s">
        <v>855</v>
      </c>
      <c r="D88" s="227" t="s">
        <v>46</v>
      </c>
      <c r="E88" s="227" t="s">
        <v>46</v>
      </c>
      <c r="F88" s="227" t="s">
        <v>46</v>
      </c>
      <c r="G88" s="237" t="s">
        <v>683</v>
      </c>
      <c r="H88" s="263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</row>
    <row r="89" spans="1:22" ht="12.75">
      <c r="A89" s="4">
        <v>88</v>
      </c>
      <c r="B89" s="219" t="s">
        <v>857</v>
      </c>
      <c r="C89" s="220" t="s">
        <v>858</v>
      </c>
      <c r="D89" s="221" t="s">
        <v>46</v>
      </c>
      <c r="E89" s="221" t="s">
        <v>46</v>
      </c>
      <c r="F89" s="221" t="s">
        <v>46</v>
      </c>
      <c r="G89" s="264" t="s">
        <v>610</v>
      </c>
      <c r="H89" s="15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12.75">
      <c r="A90" s="4">
        <v>89</v>
      </c>
      <c r="B90" s="219" t="s">
        <v>860</v>
      </c>
      <c r="C90" s="220" t="s">
        <v>862</v>
      </c>
      <c r="D90" s="221" t="s">
        <v>46</v>
      </c>
      <c r="E90" s="221" t="s">
        <v>46</v>
      </c>
      <c r="F90" s="221" t="s">
        <v>46</v>
      </c>
      <c r="G90" s="264" t="s">
        <v>610</v>
      </c>
      <c r="H90" s="15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2.75">
      <c r="A91" s="253">
        <v>90</v>
      </c>
      <c r="B91" s="265" t="s">
        <v>863</v>
      </c>
      <c r="C91" s="266" t="s">
        <v>865</v>
      </c>
      <c r="D91" s="267" t="s">
        <v>46</v>
      </c>
      <c r="E91" s="267" t="s">
        <v>46</v>
      </c>
      <c r="F91" s="267" t="s">
        <v>46</v>
      </c>
      <c r="G91" s="267" t="s">
        <v>683</v>
      </c>
      <c r="H91" s="46"/>
    </row>
    <row r="92" spans="1:22" ht="12.75">
      <c r="A92" s="54">
        <v>91</v>
      </c>
      <c r="B92" s="212" t="s">
        <v>866</v>
      </c>
      <c r="C92" s="213" t="s">
        <v>867</v>
      </c>
      <c r="D92" s="214" t="s">
        <v>46</v>
      </c>
      <c r="E92" s="214" t="s">
        <v>46</v>
      </c>
      <c r="F92" s="214" t="s">
        <v>46</v>
      </c>
      <c r="G92" s="214" t="s">
        <v>610</v>
      </c>
      <c r="H92" s="57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spans="1:22" ht="12.75">
      <c r="A93" s="4">
        <v>92</v>
      </c>
      <c r="B93" s="219" t="s">
        <v>869</v>
      </c>
      <c r="C93" s="220" t="s">
        <v>870</v>
      </c>
      <c r="D93" s="221" t="s">
        <v>46</v>
      </c>
      <c r="E93" s="221" t="s">
        <v>46</v>
      </c>
      <c r="F93" s="221" t="s">
        <v>46</v>
      </c>
      <c r="G93" s="221" t="s">
        <v>610</v>
      </c>
      <c r="H93" s="1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12.75">
      <c r="A94" s="4">
        <v>93</v>
      </c>
      <c r="B94" s="219" t="s">
        <v>871</v>
      </c>
      <c r="C94" s="220" t="s">
        <v>872</v>
      </c>
      <c r="D94" s="221" t="s">
        <v>46</v>
      </c>
      <c r="E94" s="221" t="s">
        <v>46</v>
      </c>
      <c r="F94" s="221" t="s">
        <v>46</v>
      </c>
      <c r="G94" s="221" t="s">
        <v>610</v>
      </c>
      <c r="H94" s="15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2.75">
      <c r="A95" s="4">
        <v>94</v>
      </c>
      <c r="B95" s="219" t="s">
        <v>873</v>
      </c>
      <c r="C95" s="220" t="s">
        <v>874</v>
      </c>
      <c r="D95" s="221" t="s">
        <v>46</v>
      </c>
      <c r="E95" s="221" t="s">
        <v>46</v>
      </c>
      <c r="F95" s="221" t="s">
        <v>46</v>
      </c>
      <c r="G95" s="221" t="s">
        <v>610</v>
      </c>
      <c r="H95" s="1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12.75">
      <c r="A96" s="41">
        <v>95</v>
      </c>
      <c r="B96" s="215" t="s">
        <v>875</v>
      </c>
      <c r="C96" s="224" t="s">
        <v>876</v>
      </c>
      <c r="D96" s="217" t="s">
        <v>46</v>
      </c>
      <c r="E96" s="217" t="s">
        <v>46</v>
      </c>
      <c r="F96" s="217" t="s">
        <v>46</v>
      </c>
      <c r="G96" s="217" t="s">
        <v>610</v>
      </c>
      <c r="H96" s="102" t="s">
        <v>877</v>
      </c>
    </row>
    <row r="97" spans="1:22" ht="12.75">
      <c r="A97" s="253">
        <v>96</v>
      </c>
      <c r="B97" s="265" t="s">
        <v>878</v>
      </c>
      <c r="C97" s="266" t="s">
        <v>879</v>
      </c>
      <c r="D97" s="267" t="s">
        <v>46</v>
      </c>
      <c r="E97" s="267" t="s">
        <v>46</v>
      </c>
      <c r="F97" s="267" t="s">
        <v>46</v>
      </c>
      <c r="G97" s="267" t="s">
        <v>683</v>
      </c>
      <c r="H97" s="46"/>
    </row>
    <row r="98" spans="1:22" ht="12.75">
      <c r="A98" s="4">
        <v>97</v>
      </c>
      <c r="B98" s="219" t="s">
        <v>880</v>
      </c>
      <c r="C98" s="129" t="s">
        <v>881</v>
      </c>
      <c r="D98" s="221" t="s">
        <v>46</v>
      </c>
      <c r="E98" s="221" t="s">
        <v>46</v>
      </c>
      <c r="F98" s="221" t="s">
        <v>46</v>
      </c>
      <c r="G98" s="221" t="s">
        <v>610</v>
      </c>
      <c r="H98" s="15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2.75">
      <c r="A99" s="253">
        <v>98</v>
      </c>
      <c r="B99" s="265" t="s">
        <v>883</v>
      </c>
      <c r="C99" s="266" t="s">
        <v>884</v>
      </c>
      <c r="D99" s="267" t="s">
        <v>46</v>
      </c>
      <c r="E99" s="267" t="s">
        <v>46</v>
      </c>
      <c r="F99" s="267" t="s">
        <v>46</v>
      </c>
      <c r="G99" s="267" t="s">
        <v>683</v>
      </c>
      <c r="H99" s="46"/>
    </row>
    <row r="100" spans="1:22" ht="12.75">
      <c r="A100" s="253">
        <v>99</v>
      </c>
      <c r="B100" s="265" t="s">
        <v>885</v>
      </c>
      <c r="C100" s="266" t="s">
        <v>886</v>
      </c>
      <c r="D100" s="267" t="s">
        <v>46</v>
      </c>
      <c r="E100" s="267" t="s">
        <v>46</v>
      </c>
      <c r="F100" s="267" t="s">
        <v>46</v>
      </c>
      <c r="G100" s="267" t="s">
        <v>683</v>
      </c>
      <c r="H100" s="46"/>
    </row>
    <row r="101" spans="1:22" ht="12.75">
      <c r="A101" s="253">
        <v>100</v>
      </c>
      <c r="B101" s="265" t="s">
        <v>887</v>
      </c>
      <c r="C101" s="266" t="s">
        <v>888</v>
      </c>
      <c r="D101" s="267" t="s">
        <v>46</v>
      </c>
      <c r="E101" s="267" t="s">
        <v>46</v>
      </c>
      <c r="F101" s="267" t="s">
        <v>46</v>
      </c>
      <c r="G101" s="267" t="s">
        <v>683</v>
      </c>
      <c r="H101" s="76"/>
    </row>
    <row r="102" spans="1:22" ht="12.75">
      <c r="A102" s="253">
        <v>101</v>
      </c>
      <c r="B102" s="265" t="s">
        <v>890</v>
      </c>
      <c r="C102" s="266" t="s">
        <v>891</v>
      </c>
      <c r="D102" s="267" t="s">
        <v>46</v>
      </c>
      <c r="E102" s="267" t="s">
        <v>46</v>
      </c>
      <c r="F102" s="267" t="s">
        <v>46</v>
      </c>
      <c r="G102" s="267" t="s">
        <v>683</v>
      </c>
      <c r="H102" s="76"/>
    </row>
    <row r="103" spans="1:22" ht="12.75">
      <c r="A103" s="253">
        <v>102</v>
      </c>
      <c r="B103" s="265" t="s">
        <v>893</v>
      </c>
      <c r="C103" s="266" t="s">
        <v>894</v>
      </c>
      <c r="D103" s="267" t="s">
        <v>46</v>
      </c>
      <c r="E103" s="267" t="s">
        <v>46</v>
      </c>
      <c r="F103" s="267" t="s">
        <v>46</v>
      </c>
      <c r="G103" s="267" t="s">
        <v>683</v>
      </c>
      <c r="H103" s="46"/>
    </row>
    <row r="104" spans="1:22" ht="12.75">
      <c r="A104" s="253">
        <v>103</v>
      </c>
      <c r="B104" s="265" t="s">
        <v>895</v>
      </c>
      <c r="C104" s="266" t="s">
        <v>896</v>
      </c>
      <c r="D104" s="267" t="s">
        <v>46</v>
      </c>
      <c r="E104" s="267" t="s">
        <v>46</v>
      </c>
      <c r="F104" s="267" t="s">
        <v>46</v>
      </c>
      <c r="G104" s="267" t="s">
        <v>683</v>
      </c>
      <c r="H104" s="76"/>
    </row>
    <row r="105" spans="1:22" ht="12.75">
      <c r="A105" s="4">
        <v>104</v>
      </c>
      <c r="B105" s="219" t="s">
        <v>898</v>
      </c>
      <c r="C105" s="220" t="s">
        <v>899</v>
      </c>
      <c r="D105" s="221" t="s">
        <v>900</v>
      </c>
      <c r="E105" s="221" t="s">
        <v>46</v>
      </c>
      <c r="F105" s="221" t="s">
        <v>46</v>
      </c>
      <c r="G105" s="221" t="s">
        <v>610</v>
      </c>
      <c r="H105" s="1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12.75">
      <c r="A106" s="41">
        <v>105</v>
      </c>
      <c r="B106" s="215" t="s">
        <v>901</v>
      </c>
      <c r="C106" s="224" t="s">
        <v>902</v>
      </c>
      <c r="D106" s="217" t="s">
        <v>46</v>
      </c>
      <c r="E106" s="217" t="s">
        <v>46</v>
      </c>
      <c r="F106" s="217" t="s">
        <v>46</v>
      </c>
      <c r="G106" s="217" t="s">
        <v>610</v>
      </c>
      <c r="H106" s="102" t="s">
        <v>903</v>
      </c>
    </row>
    <row r="107" spans="1:22" ht="12.75">
      <c r="A107" s="41">
        <v>106</v>
      </c>
      <c r="B107" s="265" t="s">
        <v>904</v>
      </c>
      <c r="C107" s="266" t="s">
        <v>905</v>
      </c>
      <c r="D107" s="267" t="s">
        <v>46</v>
      </c>
      <c r="E107" s="267" t="s">
        <v>46</v>
      </c>
      <c r="F107" s="267" t="s">
        <v>46</v>
      </c>
      <c r="G107" s="267" t="s">
        <v>683</v>
      </c>
      <c r="H107" s="46"/>
    </row>
    <row r="108" spans="1:22" ht="12.75">
      <c r="A108" s="41">
        <v>107</v>
      </c>
      <c r="B108" s="265" t="s">
        <v>842</v>
      </c>
      <c r="C108" s="266" t="s">
        <v>907</v>
      </c>
      <c r="D108" s="267" t="s">
        <v>667</v>
      </c>
      <c r="E108" s="267" t="s">
        <v>46</v>
      </c>
      <c r="F108" s="267" t="s">
        <v>46</v>
      </c>
      <c r="G108" s="267" t="s">
        <v>683</v>
      </c>
      <c r="H108" s="46"/>
    </row>
    <row r="109" spans="1:22" ht="12.75">
      <c r="A109" s="41">
        <v>108</v>
      </c>
      <c r="B109" s="265" t="s">
        <v>908</v>
      </c>
      <c r="C109" s="266" t="s">
        <v>909</v>
      </c>
      <c r="D109" s="267" t="s">
        <v>46</v>
      </c>
      <c r="E109" s="267" t="s">
        <v>46</v>
      </c>
      <c r="F109" s="267" t="s">
        <v>46</v>
      </c>
      <c r="G109" s="267" t="s">
        <v>683</v>
      </c>
      <c r="H109" s="46"/>
    </row>
    <row r="110" spans="1:22" ht="12.75">
      <c r="A110" s="4">
        <v>109</v>
      </c>
      <c r="B110" s="219" t="s">
        <v>910</v>
      </c>
      <c r="C110" s="129" t="s">
        <v>912</v>
      </c>
      <c r="D110" s="221" t="s">
        <v>46</v>
      </c>
      <c r="E110" s="221" t="s">
        <v>46</v>
      </c>
      <c r="F110" s="221" t="s">
        <v>46</v>
      </c>
      <c r="G110" s="221" t="s">
        <v>610</v>
      </c>
      <c r="H110" s="15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12.75">
      <c r="A111" s="41">
        <v>110</v>
      </c>
      <c r="B111" s="265" t="s">
        <v>913</v>
      </c>
      <c r="C111" s="266" t="s">
        <v>914</v>
      </c>
      <c r="D111" s="267" t="s">
        <v>46</v>
      </c>
      <c r="E111" s="267" t="s">
        <v>46</v>
      </c>
      <c r="F111" s="267" t="s">
        <v>46</v>
      </c>
      <c r="G111" s="267" t="s">
        <v>683</v>
      </c>
      <c r="H111" s="46"/>
    </row>
    <row r="112" spans="1:22" ht="12.75">
      <c r="A112" s="41">
        <v>111</v>
      </c>
      <c r="B112" s="265" t="s">
        <v>915</v>
      </c>
      <c r="C112" s="266" t="s">
        <v>916</v>
      </c>
      <c r="D112" s="267" t="s">
        <v>46</v>
      </c>
      <c r="E112" s="267" t="s">
        <v>46</v>
      </c>
      <c r="F112" s="267" t="s">
        <v>46</v>
      </c>
      <c r="G112" s="267" t="s">
        <v>683</v>
      </c>
      <c r="H112" s="46"/>
    </row>
    <row r="113" spans="1:22" ht="12.75">
      <c r="A113" s="41">
        <v>112</v>
      </c>
      <c r="B113" s="265" t="s">
        <v>918</v>
      </c>
      <c r="C113" s="266" t="s">
        <v>919</v>
      </c>
      <c r="D113" s="267" t="s">
        <v>653</v>
      </c>
      <c r="E113" s="267" t="s">
        <v>920</v>
      </c>
      <c r="F113" s="267" t="s">
        <v>625</v>
      </c>
      <c r="G113" s="267" t="s">
        <v>683</v>
      </c>
      <c r="H113" s="46"/>
    </row>
    <row r="114" spans="1:22" ht="12.75">
      <c r="A114" s="4">
        <v>113</v>
      </c>
      <c r="B114" s="219" t="s">
        <v>921</v>
      </c>
      <c r="C114" s="220" t="s">
        <v>922</v>
      </c>
      <c r="D114" s="221" t="s">
        <v>653</v>
      </c>
      <c r="E114" s="221" t="s">
        <v>920</v>
      </c>
      <c r="F114" s="221" t="s">
        <v>625</v>
      </c>
      <c r="G114" s="221" t="s">
        <v>610</v>
      </c>
      <c r="H114" s="15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2.75">
      <c r="A115" s="208">
        <v>114</v>
      </c>
      <c r="B115" s="209" t="s">
        <v>923</v>
      </c>
      <c r="C115" s="268" t="s">
        <v>740</v>
      </c>
      <c r="D115" s="211" t="s">
        <v>653</v>
      </c>
      <c r="E115" s="211" t="s">
        <v>920</v>
      </c>
      <c r="F115" s="211" t="s">
        <v>625</v>
      </c>
      <c r="G115" s="211" t="s">
        <v>683</v>
      </c>
      <c r="H115" s="269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</row>
    <row r="116" spans="1:22" ht="12.75">
      <c r="A116" s="54">
        <v>115</v>
      </c>
      <c r="B116" s="212" t="s">
        <v>925</v>
      </c>
      <c r="C116" s="213" t="s">
        <v>606</v>
      </c>
      <c r="D116" s="214" t="s">
        <v>926</v>
      </c>
      <c r="E116" s="214" t="s">
        <v>920</v>
      </c>
      <c r="F116" s="214" t="s">
        <v>927</v>
      </c>
      <c r="G116" s="214" t="s">
        <v>610</v>
      </c>
      <c r="H116" s="57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spans="1:22" ht="12.75">
      <c r="A117" s="208">
        <v>116</v>
      </c>
      <c r="B117" s="209" t="s">
        <v>928</v>
      </c>
      <c r="C117" s="268" t="s">
        <v>740</v>
      </c>
      <c r="D117" s="211" t="s">
        <v>929</v>
      </c>
      <c r="E117" s="211" t="s">
        <v>920</v>
      </c>
      <c r="F117" s="211" t="s">
        <v>625</v>
      </c>
      <c r="G117" s="211" t="s">
        <v>610</v>
      </c>
      <c r="H117" s="269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</row>
    <row r="118" spans="1:22" ht="12.75">
      <c r="A118" s="208">
        <v>117</v>
      </c>
      <c r="B118" s="209" t="s">
        <v>932</v>
      </c>
      <c r="C118" s="268" t="s">
        <v>740</v>
      </c>
      <c r="D118" s="211" t="s">
        <v>933</v>
      </c>
      <c r="E118" s="211" t="s">
        <v>920</v>
      </c>
      <c r="F118" s="211" t="s">
        <v>625</v>
      </c>
      <c r="G118" s="270" t="s">
        <v>683</v>
      </c>
      <c r="H118" s="269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</row>
    <row r="119" spans="1:22" ht="12.75">
      <c r="A119" s="41">
        <v>118</v>
      </c>
      <c r="B119" s="271" t="s">
        <v>936</v>
      </c>
      <c r="C119" s="272" t="s">
        <v>674</v>
      </c>
      <c r="D119" s="262" t="s">
        <v>938</v>
      </c>
      <c r="E119" s="227" t="s">
        <v>920</v>
      </c>
      <c r="F119" s="227" t="s">
        <v>609</v>
      </c>
      <c r="G119" s="262" t="s">
        <v>683</v>
      </c>
      <c r="H119" s="46"/>
    </row>
    <row r="120" spans="1:22" ht="12.75">
      <c r="A120" s="4">
        <v>119</v>
      </c>
      <c r="B120" s="273" t="s">
        <v>939</v>
      </c>
      <c r="C120" s="274" t="s">
        <v>940</v>
      </c>
      <c r="D120" s="264" t="s">
        <v>941</v>
      </c>
      <c r="E120" s="221" t="s">
        <v>920</v>
      </c>
      <c r="F120" s="221" t="s">
        <v>625</v>
      </c>
      <c r="G120" s="264" t="s">
        <v>610</v>
      </c>
      <c r="H120" s="15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 ht="12.75">
      <c r="A121" s="208">
        <v>120</v>
      </c>
      <c r="B121" s="275" t="s">
        <v>943</v>
      </c>
      <c r="C121" s="268" t="s">
        <v>740</v>
      </c>
      <c r="D121" s="270" t="s">
        <v>650</v>
      </c>
      <c r="E121" s="211" t="s">
        <v>920</v>
      </c>
      <c r="F121" s="211" t="s">
        <v>625</v>
      </c>
      <c r="G121" s="270" t="s">
        <v>683</v>
      </c>
      <c r="H121" s="269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</row>
    <row r="122" spans="1:22" ht="12.75">
      <c r="A122" s="41">
        <v>121</v>
      </c>
      <c r="B122" s="271" t="s">
        <v>944</v>
      </c>
      <c r="C122" s="272" t="s">
        <v>945</v>
      </c>
      <c r="D122" s="262" t="s">
        <v>650</v>
      </c>
      <c r="E122" s="227" t="s">
        <v>920</v>
      </c>
      <c r="F122" s="227" t="s">
        <v>625</v>
      </c>
      <c r="G122" s="262" t="s">
        <v>683</v>
      </c>
      <c r="H122" s="46"/>
    </row>
    <row r="123" spans="1:22" ht="12.75">
      <c r="A123" s="41">
        <v>122</v>
      </c>
      <c r="B123" s="271" t="s">
        <v>947</v>
      </c>
      <c r="C123" s="272" t="s">
        <v>948</v>
      </c>
      <c r="D123" s="262" t="s">
        <v>949</v>
      </c>
      <c r="E123" s="227" t="s">
        <v>950</v>
      </c>
      <c r="F123" s="227" t="s">
        <v>46</v>
      </c>
      <c r="G123" s="262" t="s">
        <v>683</v>
      </c>
      <c r="H123" s="46"/>
    </row>
    <row r="124" spans="1:22" ht="12.75">
      <c r="A124" s="41">
        <v>123</v>
      </c>
      <c r="B124" s="271" t="s">
        <v>952</v>
      </c>
      <c r="C124" s="272" t="s">
        <v>948</v>
      </c>
      <c r="D124" s="262" t="s">
        <v>949</v>
      </c>
      <c r="E124" s="227" t="s">
        <v>950</v>
      </c>
      <c r="F124" s="227" t="s">
        <v>46</v>
      </c>
      <c r="G124" s="262" t="s">
        <v>683</v>
      </c>
      <c r="H124" s="46"/>
    </row>
    <row r="125" spans="1:22" ht="12.75">
      <c r="A125" s="41">
        <v>124</v>
      </c>
      <c r="B125" s="271" t="s">
        <v>953</v>
      </c>
      <c r="C125" s="272" t="s">
        <v>948</v>
      </c>
      <c r="D125" s="262" t="s">
        <v>949</v>
      </c>
      <c r="E125" s="227" t="s">
        <v>950</v>
      </c>
      <c r="F125" s="227" t="s">
        <v>46</v>
      </c>
      <c r="G125" s="262" t="s">
        <v>683</v>
      </c>
      <c r="H125" s="46"/>
    </row>
    <row r="126" spans="1:22" ht="12.75">
      <c r="A126" s="41">
        <v>125</v>
      </c>
      <c r="B126" s="276" t="s">
        <v>954</v>
      </c>
      <c r="C126" s="277" t="s">
        <v>956</v>
      </c>
      <c r="D126" s="218" t="s">
        <v>957</v>
      </c>
      <c r="E126" s="217" t="s">
        <v>950</v>
      </c>
      <c r="F126" s="217" t="s">
        <v>625</v>
      </c>
      <c r="G126" s="218" t="s">
        <v>610</v>
      </c>
      <c r="H126" s="102" t="s">
        <v>705</v>
      </c>
    </row>
    <row r="127" spans="1:22" ht="12.75">
      <c r="A127" s="41">
        <v>126</v>
      </c>
      <c r="B127" s="276" t="s">
        <v>959</v>
      </c>
      <c r="C127" s="277" t="s">
        <v>961</v>
      </c>
      <c r="D127" s="218" t="s">
        <v>949</v>
      </c>
      <c r="E127" s="217" t="s">
        <v>624</v>
      </c>
      <c r="F127" s="217" t="s">
        <v>625</v>
      </c>
      <c r="G127" s="218" t="s">
        <v>610</v>
      </c>
      <c r="H127" s="102" t="s">
        <v>765</v>
      </c>
    </row>
    <row r="128" spans="1:22" ht="12.75">
      <c r="A128" s="4">
        <v>127</v>
      </c>
      <c r="B128" s="273" t="s">
        <v>963</v>
      </c>
      <c r="C128" s="274" t="s">
        <v>964</v>
      </c>
      <c r="D128" s="264" t="s">
        <v>46</v>
      </c>
      <c r="E128" s="221" t="s">
        <v>620</v>
      </c>
      <c r="F128" s="221" t="s">
        <v>46</v>
      </c>
      <c r="G128" s="264" t="s">
        <v>610</v>
      </c>
      <c r="H128" s="15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2.75">
      <c r="A129" s="41">
        <v>128</v>
      </c>
      <c r="B129" s="278" t="s">
        <v>967</v>
      </c>
      <c r="C129" s="279" t="s">
        <v>968</v>
      </c>
      <c r="D129" s="280" t="s">
        <v>46</v>
      </c>
      <c r="E129" s="267" t="s">
        <v>620</v>
      </c>
      <c r="F129" s="267" t="s">
        <v>46</v>
      </c>
      <c r="G129" s="280" t="s">
        <v>683</v>
      </c>
      <c r="H129" s="46"/>
    </row>
    <row r="130" spans="1:22" ht="12.75">
      <c r="A130" s="41">
        <v>129</v>
      </c>
      <c r="B130" s="278" t="s">
        <v>971</v>
      </c>
      <c r="C130" s="279" t="s">
        <v>972</v>
      </c>
      <c r="D130" s="280" t="s">
        <v>46</v>
      </c>
      <c r="E130" s="267" t="s">
        <v>46</v>
      </c>
      <c r="F130" s="267" t="s">
        <v>46</v>
      </c>
      <c r="G130" s="280" t="s">
        <v>683</v>
      </c>
      <c r="H130" s="46"/>
    </row>
    <row r="131" spans="1:22" ht="12.75">
      <c r="A131" s="41">
        <v>130</v>
      </c>
      <c r="B131" s="278" t="s">
        <v>974</v>
      </c>
      <c r="C131" s="279" t="s">
        <v>975</v>
      </c>
      <c r="D131" s="280" t="s">
        <v>686</v>
      </c>
      <c r="E131" s="267" t="s">
        <v>620</v>
      </c>
      <c r="F131" s="267" t="s">
        <v>46</v>
      </c>
      <c r="G131" s="280" t="s">
        <v>683</v>
      </c>
      <c r="H131" s="46"/>
    </row>
    <row r="132" spans="1:22" ht="12.75">
      <c r="A132" s="4">
        <v>131</v>
      </c>
      <c r="B132" s="273" t="s">
        <v>976</v>
      </c>
      <c r="C132" s="274" t="s">
        <v>977</v>
      </c>
      <c r="D132" s="264" t="s">
        <v>46</v>
      </c>
      <c r="E132" s="221" t="s">
        <v>46</v>
      </c>
      <c r="F132" s="221" t="s">
        <v>46</v>
      </c>
      <c r="G132" s="264" t="s">
        <v>610</v>
      </c>
      <c r="H132" s="15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2.75">
      <c r="A133" s="41">
        <v>132</v>
      </c>
      <c r="B133" s="271" t="s">
        <v>979</v>
      </c>
      <c r="C133" s="272" t="s">
        <v>980</v>
      </c>
      <c r="D133" s="262" t="s">
        <v>949</v>
      </c>
      <c r="E133" s="227" t="s">
        <v>950</v>
      </c>
      <c r="F133" s="227" t="s">
        <v>46</v>
      </c>
      <c r="G133" s="262" t="s">
        <v>839</v>
      </c>
      <c r="H133" s="46"/>
    </row>
    <row r="134" spans="1:22" ht="12.75">
      <c r="A134" s="4">
        <v>133</v>
      </c>
      <c r="B134" s="273" t="s">
        <v>981</v>
      </c>
      <c r="C134" s="274" t="s">
        <v>982</v>
      </c>
      <c r="D134" s="264" t="s">
        <v>667</v>
      </c>
      <c r="E134" s="221" t="s">
        <v>950</v>
      </c>
      <c r="F134" s="221" t="s">
        <v>46</v>
      </c>
      <c r="G134" s="264" t="s">
        <v>610</v>
      </c>
      <c r="H134" s="1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 ht="12.75">
      <c r="A135" s="41">
        <v>134</v>
      </c>
      <c r="B135" s="278" t="s">
        <v>984</v>
      </c>
      <c r="C135" s="279"/>
      <c r="D135" s="280" t="s">
        <v>46</v>
      </c>
      <c r="E135" s="267" t="s">
        <v>46</v>
      </c>
      <c r="F135" s="267" t="s">
        <v>46</v>
      </c>
      <c r="G135" s="280" t="s">
        <v>683</v>
      </c>
      <c r="H135" s="46"/>
    </row>
    <row r="136" spans="1:22" ht="12.75">
      <c r="A136" s="41">
        <v>135</v>
      </c>
      <c r="B136" s="278" t="s">
        <v>985</v>
      </c>
      <c r="C136" s="279"/>
      <c r="D136" s="280" t="s">
        <v>46</v>
      </c>
      <c r="E136" s="267" t="s">
        <v>46</v>
      </c>
      <c r="F136" s="267" t="s">
        <v>46</v>
      </c>
      <c r="G136" s="280" t="s">
        <v>683</v>
      </c>
      <c r="H136" s="46"/>
    </row>
    <row r="137" spans="1:22" ht="12.75">
      <c r="A137" s="41">
        <v>136</v>
      </c>
      <c r="B137" s="278" t="s">
        <v>986</v>
      </c>
      <c r="C137" s="279"/>
      <c r="D137" s="280" t="s">
        <v>46</v>
      </c>
      <c r="E137" s="267" t="s">
        <v>46</v>
      </c>
      <c r="F137" s="267" t="s">
        <v>46</v>
      </c>
      <c r="G137" s="280" t="s">
        <v>683</v>
      </c>
      <c r="H137" s="46"/>
    </row>
    <row r="138" spans="1:22" ht="12.75">
      <c r="A138" s="41">
        <v>137</v>
      </c>
      <c r="B138" s="278" t="s">
        <v>988</v>
      </c>
      <c r="C138" s="279" t="s">
        <v>989</v>
      </c>
      <c r="D138" s="280" t="s">
        <v>46</v>
      </c>
      <c r="E138" s="267" t="s">
        <v>46</v>
      </c>
      <c r="F138" s="267" t="s">
        <v>46</v>
      </c>
      <c r="G138" s="280" t="s">
        <v>683</v>
      </c>
      <c r="H138" s="46"/>
    </row>
    <row r="139" spans="1:22" ht="12.75">
      <c r="A139" s="41">
        <v>138</v>
      </c>
      <c r="B139" s="278" t="s">
        <v>990</v>
      </c>
      <c r="C139" s="279" t="s">
        <v>991</v>
      </c>
      <c r="D139" s="280" t="s">
        <v>46</v>
      </c>
      <c r="E139" s="267" t="s">
        <v>46</v>
      </c>
      <c r="F139" s="267" t="s">
        <v>46</v>
      </c>
      <c r="G139" s="280" t="s">
        <v>683</v>
      </c>
      <c r="H139" s="46"/>
    </row>
    <row r="140" spans="1:22" ht="12.75">
      <c r="A140" s="41">
        <v>139</v>
      </c>
      <c r="B140" s="278" t="s">
        <v>992</v>
      </c>
      <c r="C140" s="279" t="s">
        <v>993</v>
      </c>
      <c r="D140" s="280" t="s">
        <v>46</v>
      </c>
      <c r="E140" s="267" t="s">
        <v>46</v>
      </c>
      <c r="F140" s="267" t="s">
        <v>46</v>
      </c>
      <c r="G140" s="280" t="s">
        <v>683</v>
      </c>
      <c r="H140" s="46"/>
    </row>
    <row r="141" spans="1:22" ht="12.75">
      <c r="A141" s="41">
        <v>140</v>
      </c>
      <c r="B141" s="278" t="s">
        <v>995</v>
      </c>
      <c r="C141" s="279" t="s">
        <v>996</v>
      </c>
      <c r="D141" s="280" t="s">
        <v>46</v>
      </c>
      <c r="E141" s="267" t="s">
        <v>46</v>
      </c>
      <c r="F141" s="267" t="s">
        <v>46</v>
      </c>
      <c r="G141" s="280" t="s">
        <v>683</v>
      </c>
      <c r="H141" s="46"/>
    </row>
    <row r="142" spans="1:22" ht="12.75">
      <c r="A142" s="41">
        <v>141</v>
      </c>
      <c r="B142" s="278" t="s">
        <v>998</v>
      </c>
      <c r="C142" s="279" t="s">
        <v>1000</v>
      </c>
      <c r="D142" s="280" t="s">
        <v>46</v>
      </c>
      <c r="E142" s="267" t="s">
        <v>46</v>
      </c>
      <c r="F142" s="267" t="s">
        <v>46</v>
      </c>
      <c r="G142" s="280" t="s">
        <v>683</v>
      </c>
      <c r="H142" s="46"/>
    </row>
    <row r="143" spans="1:22" ht="12.75">
      <c r="A143" s="4">
        <v>142</v>
      </c>
      <c r="B143" s="273" t="s">
        <v>1001</v>
      </c>
      <c r="C143" s="274" t="s">
        <v>1002</v>
      </c>
      <c r="D143" s="264" t="s">
        <v>949</v>
      </c>
      <c r="E143" s="221" t="s">
        <v>615</v>
      </c>
      <c r="F143" s="221" t="s">
        <v>46</v>
      </c>
      <c r="G143" s="264" t="s">
        <v>610</v>
      </c>
      <c r="H143" s="1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ht="12.75">
      <c r="A144" s="4">
        <v>143</v>
      </c>
      <c r="B144" s="273" t="s">
        <v>1003</v>
      </c>
      <c r="C144" s="274" t="s">
        <v>1004</v>
      </c>
      <c r="D144" s="264" t="s">
        <v>1005</v>
      </c>
      <c r="E144" s="221" t="s">
        <v>615</v>
      </c>
      <c r="F144" s="221" t="s">
        <v>46</v>
      </c>
      <c r="G144" s="264" t="s">
        <v>610</v>
      </c>
      <c r="H144" s="1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 ht="12.75">
      <c r="A145" s="41">
        <v>144</v>
      </c>
      <c r="B145" s="276" t="s">
        <v>1007</v>
      </c>
      <c r="C145" s="277" t="s">
        <v>1008</v>
      </c>
      <c r="D145" s="218" t="s">
        <v>46</v>
      </c>
      <c r="E145" s="217" t="s">
        <v>615</v>
      </c>
      <c r="F145" s="217" t="s">
        <v>46</v>
      </c>
      <c r="G145" s="218" t="s">
        <v>610</v>
      </c>
      <c r="H145" s="46"/>
    </row>
    <row r="146" spans="1:22" ht="12.75">
      <c r="A146" s="41">
        <v>145</v>
      </c>
      <c r="B146" s="278" t="s">
        <v>1010</v>
      </c>
      <c r="C146" s="279" t="s">
        <v>1011</v>
      </c>
      <c r="D146" s="280" t="s">
        <v>46</v>
      </c>
      <c r="E146" s="267" t="s">
        <v>46</v>
      </c>
      <c r="F146" s="267" t="s">
        <v>46</v>
      </c>
      <c r="G146" s="280" t="s">
        <v>683</v>
      </c>
      <c r="H146" s="46"/>
    </row>
    <row r="147" spans="1:22" ht="12.75">
      <c r="A147" s="41">
        <v>146</v>
      </c>
      <c r="B147" s="276" t="s">
        <v>1012</v>
      </c>
      <c r="C147" s="277" t="s">
        <v>1013</v>
      </c>
      <c r="D147" s="218" t="s">
        <v>46</v>
      </c>
      <c r="E147" s="217" t="s">
        <v>46</v>
      </c>
      <c r="F147" s="217" t="s">
        <v>46</v>
      </c>
      <c r="G147" s="218" t="s">
        <v>610</v>
      </c>
      <c r="H147" s="46"/>
    </row>
    <row r="148" spans="1:22" ht="12.75">
      <c r="A148" s="41">
        <v>147</v>
      </c>
      <c r="B148" s="276" t="s">
        <v>1014</v>
      </c>
      <c r="C148" s="277" t="s">
        <v>1015</v>
      </c>
      <c r="D148" s="218" t="s">
        <v>938</v>
      </c>
      <c r="E148" s="217" t="s">
        <v>637</v>
      </c>
      <c r="F148" s="217" t="s">
        <v>46</v>
      </c>
      <c r="G148" s="218" t="s">
        <v>610</v>
      </c>
      <c r="H148" s="46"/>
    </row>
    <row r="149" spans="1:22" ht="12.75">
      <c r="A149" s="41">
        <v>148</v>
      </c>
      <c r="B149" s="278" t="s">
        <v>1017</v>
      </c>
      <c r="C149" s="279" t="s">
        <v>1018</v>
      </c>
      <c r="D149" s="280" t="s">
        <v>46</v>
      </c>
      <c r="E149" s="267" t="s">
        <v>46</v>
      </c>
      <c r="F149" s="267" t="s">
        <v>46</v>
      </c>
      <c r="G149" s="280" t="s">
        <v>683</v>
      </c>
      <c r="H149" s="46"/>
    </row>
    <row r="150" spans="1:22" ht="12.75">
      <c r="A150" s="41">
        <v>149</v>
      </c>
      <c r="B150" s="278" t="s">
        <v>1020</v>
      </c>
      <c r="C150" s="279" t="s">
        <v>1021</v>
      </c>
      <c r="D150" s="280" t="s">
        <v>46</v>
      </c>
      <c r="E150" s="267" t="s">
        <v>46</v>
      </c>
      <c r="F150" s="267" t="s">
        <v>46</v>
      </c>
      <c r="G150" s="280" t="s">
        <v>683</v>
      </c>
      <c r="H150" s="46"/>
    </row>
    <row r="151" spans="1:22" ht="12.75">
      <c r="A151" s="41">
        <v>150</v>
      </c>
      <c r="B151" s="276" t="s">
        <v>1022</v>
      </c>
      <c r="C151" s="277" t="s">
        <v>1023</v>
      </c>
      <c r="D151" s="218" t="s">
        <v>1024</v>
      </c>
      <c r="E151" s="217" t="s">
        <v>615</v>
      </c>
      <c r="F151" s="217" t="s">
        <v>46</v>
      </c>
      <c r="G151" s="218" t="s">
        <v>610</v>
      </c>
      <c r="H151" s="46"/>
    </row>
    <row r="152" spans="1:22" ht="12.75">
      <c r="A152" s="41">
        <v>151</v>
      </c>
      <c r="B152" s="276" t="s">
        <v>1026</v>
      </c>
      <c r="C152" s="277" t="s">
        <v>1027</v>
      </c>
      <c r="D152" s="218" t="s">
        <v>1028</v>
      </c>
      <c r="E152" s="217" t="s">
        <v>615</v>
      </c>
      <c r="F152" s="217" t="s">
        <v>46</v>
      </c>
      <c r="G152" s="218" t="s">
        <v>610</v>
      </c>
      <c r="H152" s="46"/>
    </row>
    <row r="153" spans="1:22" ht="12.75">
      <c r="A153" s="41">
        <v>152</v>
      </c>
      <c r="B153" s="278" t="s">
        <v>1030</v>
      </c>
      <c r="C153" s="279" t="s">
        <v>1032</v>
      </c>
      <c r="D153" s="280" t="s">
        <v>46</v>
      </c>
      <c r="E153" s="267" t="s">
        <v>46</v>
      </c>
      <c r="F153" s="267" t="s">
        <v>46</v>
      </c>
      <c r="G153" s="280" t="s">
        <v>683</v>
      </c>
      <c r="H153" s="46"/>
    </row>
    <row r="154" spans="1:22" ht="12.75">
      <c r="A154" s="41">
        <v>153</v>
      </c>
      <c r="B154" s="276" t="s">
        <v>1033</v>
      </c>
      <c r="C154" s="277" t="s">
        <v>1035</v>
      </c>
      <c r="D154" s="218" t="s">
        <v>1036</v>
      </c>
      <c r="E154" s="217" t="s">
        <v>615</v>
      </c>
      <c r="F154" s="217" t="s">
        <v>46</v>
      </c>
      <c r="G154" s="218" t="s">
        <v>610</v>
      </c>
      <c r="H154" s="46"/>
    </row>
    <row r="155" spans="1:22" ht="12.75">
      <c r="A155" s="41">
        <v>154</v>
      </c>
      <c r="B155" s="278" t="s">
        <v>1037</v>
      </c>
      <c r="C155" s="279" t="s">
        <v>1038</v>
      </c>
      <c r="D155" s="280" t="s">
        <v>46</v>
      </c>
      <c r="E155" s="267" t="s">
        <v>1039</v>
      </c>
      <c r="F155" s="267" t="s">
        <v>46</v>
      </c>
      <c r="G155" s="280" t="s">
        <v>683</v>
      </c>
      <c r="H155" s="46"/>
    </row>
    <row r="156" spans="1:22" ht="12.75">
      <c r="A156" s="41">
        <v>155</v>
      </c>
      <c r="B156" s="278" t="s">
        <v>1040</v>
      </c>
      <c r="C156" s="279" t="s">
        <v>1041</v>
      </c>
      <c r="D156" s="280" t="s">
        <v>46</v>
      </c>
      <c r="E156" s="267" t="s">
        <v>46</v>
      </c>
      <c r="F156" s="267" t="s">
        <v>46</v>
      </c>
      <c r="G156" s="280" t="s">
        <v>683</v>
      </c>
      <c r="H156" s="46"/>
    </row>
    <row r="157" spans="1:22" ht="12.75">
      <c r="A157" s="41">
        <v>156</v>
      </c>
      <c r="B157" s="278" t="s">
        <v>1043</v>
      </c>
      <c r="C157" s="279" t="s">
        <v>1044</v>
      </c>
      <c r="D157" s="280" t="s">
        <v>46</v>
      </c>
      <c r="E157" s="267" t="s">
        <v>46</v>
      </c>
      <c r="F157" s="267" t="s">
        <v>46</v>
      </c>
      <c r="G157" s="280" t="s">
        <v>683</v>
      </c>
      <c r="H157" s="46"/>
    </row>
    <row r="158" spans="1:22" ht="12.75">
      <c r="A158" s="41">
        <v>157</v>
      </c>
      <c r="B158" s="276" t="s">
        <v>1046</v>
      </c>
      <c r="C158" s="277" t="s">
        <v>1047</v>
      </c>
      <c r="D158" s="218" t="s">
        <v>46</v>
      </c>
      <c r="E158" s="217" t="s">
        <v>620</v>
      </c>
      <c r="F158" s="217" t="s">
        <v>46</v>
      </c>
      <c r="G158" s="218" t="s">
        <v>610</v>
      </c>
      <c r="H158" s="46"/>
    </row>
    <row r="159" spans="1:22" ht="12.75">
      <c r="A159" s="4">
        <v>158</v>
      </c>
      <c r="B159" s="273" t="s">
        <v>1049</v>
      </c>
      <c r="C159" s="274" t="s">
        <v>1050</v>
      </c>
      <c r="D159" s="264" t="s">
        <v>46</v>
      </c>
      <c r="E159" s="221" t="s">
        <v>615</v>
      </c>
      <c r="F159" s="221" t="s">
        <v>46</v>
      </c>
      <c r="G159" s="264" t="s">
        <v>610</v>
      </c>
      <c r="H159" s="15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spans="1:22" ht="12.75">
      <c r="A160" s="41">
        <v>159</v>
      </c>
      <c r="B160" s="276" t="s">
        <v>1051</v>
      </c>
      <c r="C160" s="277" t="s">
        <v>1052</v>
      </c>
      <c r="D160" s="218" t="s">
        <v>1053</v>
      </c>
      <c r="E160" s="217" t="s">
        <v>620</v>
      </c>
      <c r="F160" s="217" t="s">
        <v>625</v>
      </c>
      <c r="G160" s="218" t="s">
        <v>610</v>
      </c>
      <c r="H160" s="46"/>
    </row>
    <row r="161" spans="1:22" ht="12.75">
      <c r="A161" s="41">
        <v>160</v>
      </c>
      <c r="B161" s="271" t="s">
        <v>1054</v>
      </c>
      <c r="C161" s="272" t="s">
        <v>1056</v>
      </c>
      <c r="D161" s="262" t="s">
        <v>46</v>
      </c>
      <c r="E161" s="227" t="s">
        <v>46</v>
      </c>
      <c r="F161" s="227" t="s">
        <v>46</v>
      </c>
      <c r="G161" s="262" t="s">
        <v>683</v>
      </c>
      <c r="H161" s="46"/>
    </row>
    <row r="162" spans="1:22" ht="12.75">
      <c r="A162" s="41">
        <v>161</v>
      </c>
      <c r="B162" s="276" t="s">
        <v>1057</v>
      </c>
      <c r="C162" s="277" t="s">
        <v>1058</v>
      </c>
      <c r="D162" s="218" t="s">
        <v>938</v>
      </c>
      <c r="E162" s="217" t="s">
        <v>620</v>
      </c>
      <c r="F162" s="217" t="s">
        <v>46</v>
      </c>
      <c r="G162" s="218" t="s">
        <v>610</v>
      </c>
      <c r="H162" s="46"/>
    </row>
    <row r="163" spans="1:22" ht="12.75">
      <c r="A163" s="41">
        <v>162</v>
      </c>
      <c r="B163" s="276" t="s">
        <v>1060</v>
      </c>
      <c r="C163" s="277" t="s">
        <v>1061</v>
      </c>
      <c r="D163" s="218" t="s">
        <v>46</v>
      </c>
      <c r="E163" s="217" t="s">
        <v>620</v>
      </c>
      <c r="F163" s="217" t="s">
        <v>46</v>
      </c>
      <c r="G163" s="218" t="s">
        <v>610</v>
      </c>
      <c r="H163" s="46"/>
    </row>
    <row r="164" spans="1:22" ht="12.75">
      <c r="A164" s="41">
        <v>163</v>
      </c>
      <c r="B164" s="278" t="s">
        <v>1063</v>
      </c>
      <c r="C164" s="279" t="s">
        <v>1064</v>
      </c>
      <c r="D164" s="280" t="s">
        <v>46</v>
      </c>
      <c r="E164" s="267" t="s">
        <v>46</v>
      </c>
      <c r="F164" s="267" t="s">
        <v>46</v>
      </c>
      <c r="G164" s="280" t="s">
        <v>683</v>
      </c>
      <c r="H164" s="46"/>
    </row>
    <row r="165" spans="1:22" ht="12.75">
      <c r="A165" s="41">
        <v>164</v>
      </c>
      <c r="B165" s="276" t="s">
        <v>1066</v>
      </c>
      <c r="C165" s="277" t="s">
        <v>1067</v>
      </c>
      <c r="D165" s="218" t="s">
        <v>46</v>
      </c>
      <c r="E165" s="217" t="s">
        <v>620</v>
      </c>
      <c r="F165" s="217" t="s">
        <v>46</v>
      </c>
      <c r="G165" s="218" t="s">
        <v>839</v>
      </c>
      <c r="H165" s="46"/>
    </row>
    <row r="166" spans="1:22" ht="12.75">
      <c r="A166" s="41">
        <v>165</v>
      </c>
      <c r="B166" s="278" t="s">
        <v>1069</v>
      </c>
      <c r="C166" s="279" t="s">
        <v>1070</v>
      </c>
      <c r="D166" s="280" t="s">
        <v>46</v>
      </c>
      <c r="E166" s="267" t="s">
        <v>46</v>
      </c>
      <c r="F166" s="267" t="s">
        <v>46</v>
      </c>
      <c r="G166" s="280" t="s">
        <v>683</v>
      </c>
      <c r="H166" s="46"/>
    </row>
    <row r="167" spans="1:22" ht="12.75">
      <c r="A167" s="41">
        <v>166</v>
      </c>
      <c r="B167" s="276" t="s">
        <v>1071</v>
      </c>
      <c r="C167" s="277" t="s">
        <v>1072</v>
      </c>
      <c r="D167" s="218" t="s">
        <v>46</v>
      </c>
      <c r="E167" s="217" t="s">
        <v>620</v>
      </c>
      <c r="F167" s="217" t="s">
        <v>46</v>
      </c>
      <c r="G167" s="218" t="s">
        <v>610</v>
      </c>
      <c r="H167" s="46"/>
    </row>
    <row r="168" spans="1:22" ht="12.75">
      <c r="A168" s="41">
        <v>167</v>
      </c>
      <c r="B168" s="278" t="s">
        <v>1073</v>
      </c>
      <c r="C168" s="279" t="s">
        <v>1074</v>
      </c>
      <c r="D168" s="280" t="s">
        <v>46</v>
      </c>
      <c r="E168" s="267" t="s">
        <v>46</v>
      </c>
      <c r="F168" s="267" t="s">
        <v>46</v>
      </c>
      <c r="G168" s="280" t="s">
        <v>683</v>
      </c>
      <c r="H168" s="46"/>
    </row>
    <row r="169" spans="1:22" ht="12.75">
      <c r="A169" s="41">
        <v>168</v>
      </c>
      <c r="B169" s="276" t="s">
        <v>1076</v>
      </c>
      <c r="C169" s="277" t="s">
        <v>1077</v>
      </c>
      <c r="D169" s="218" t="s">
        <v>46</v>
      </c>
      <c r="E169" s="217" t="s">
        <v>46</v>
      </c>
      <c r="F169" s="217" t="s">
        <v>46</v>
      </c>
      <c r="G169" s="218" t="s">
        <v>610</v>
      </c>
      <c r="H169" s="46"/>
    </row>
    <row r="170" spans="1:22" ht="12.75">
      <c r="A170" s="41">
        <v>169</v>
      </c>
      <c r="B170" s="278" t="s">
        <v>1078</v>
      </c>
      <c r="C170" s="279" t="s">
        <v>1079</v>
      </c>
      <c r="D170" s="280" t="s">
        <v>46</v>
      </c>
      <c r="E170" s="267" t="s">
        <v>46</v>
      </c>
      <c r="F170" s="267" t="s">
        <v>46</v>
      </c>
      <c r="G170" s="280" t="s">
        <v>683</v>
      </c>
      <c r="H170" s="46"/>
    </row>
    <row r="171" spans="1:22" ht="12.75">
      <c r="A171" s="41">
        <v>170</v>
      </c>
      <c r="B171" s="276" t="s">
        <v>1081</v>
      </c>
      <c r="C171" s="277" t="s">
        <v>1082</v>
      </c>
      <c r="D171" s="218" t="s">
        <v>46</v>
      </c>
      <c r="E171" s="217" t="s">
        <v>620</v>
      </c>
      <c r="F171" s="217" t="s">
        <v>46</v>
      </c>
      <c r="G171" s="218" t="s">
        <v>610</v>
      </c>
      <c r="H171" s="46"/>
    </row>
    <row r="172" spans="1:22" ht="12.75">
      <c r="A172" s="41">
        <v>171</v>
      </c>
      <c r="B172" s="276" t="s">
        <v>1084</v>
      </c>
      <c r="C172" s="277" t="s">
        <v>1085</v>
      </c>
      <c r="D172" s="218" t="s">
        <v>46</v>
      </c>
      <c r="E172" s="217" t="s">
        <v>620</v>
      </c>
      <c r="F172" s="217" t="s">
        <v>46</v>
      </c>
      <c r="G172" s="218" t="s">
        <v>610</v>
      </c>
      <c r="H172" s="46"/>
    </row>
    <row r="173" spans="1:22" ht="12.75">
      <c r="A173" s="41">
        <v>172</v>
      </c>
      <c r="B173" s="276" t="s">
        <v>1087</v>
      </c>
      <c r="C173" s="277" t="s">
        <v>1088</v>
      </c>
      <c r="D173" s="218" t="s">
        <v>46</v>
      </c>
      <c r="E173" s="217" t="s">
        <v>620</v>
      </c>
      <c r="F173" s="217" t="s">
        <v>46</v>
      </c>
      <c r="G173" s="218" t="s">
        <v>610</v>
      </c>
      <c r="H173" s="46"/>
    </row>
    <row r="174" spans="1:22" ht="12.75">
      <c r="A174" s="41">
        <v>173</v>
      </c>
      <c r="B174" s="276" t="s">
        <v>1090</v>
      </c>
      <c r="C174" s="277" t="s">
        <v>1092</v>
      </c>
      <c r="D174" s="218" t="s">
        <v>46</v>
      </c>
      <c r="E174" s="217" t="s">
        <v>620</v>
      </c>
      <c r="F174" s="217" t="s">
        <v>46</v>
      </c>
      <c r="G174" s="218" t="s">
        <v>610</v>
      </c>
      <c r="H174" s="46"/>
    </row>
    <row r="175" spans="1:22" ht="12.75">
      <c r="A175" s="41">
        <v>174</v>
      </c>
      <c r="B175" s="276" t="s">
        <v>1094</v>
      </c>
      <c r="C175" s="277" t="s">
        <v>1095</v>
      </c>
      <c r="D175" s="218" t="s">
        <v>46</v>
      </c>
      <c r="E175" s="217" t="s">
        <v>620</v>
      </c>
      <c r="F175" s="217" t="s">
        <v>46</v>
      </c>
      <c r="G175" s="218" t="s">
        <v>610</v>
      </c>
      <c r="H175" s="46"/>
    </row>
    <row r="176" spans="1:22" ht="12.75">
      <c r="A176" s="4">
        <v>175</v>
      </c>
      <c r="B176" s="273" t="s">
        <v>1097</v>
      </c>
      <c r="C176" s="274" t="s">
        <v>1098</v>
      </c>
      <c r="D176" s="264" t="s">
        <v>949</v>
      </c>
      <c r="E176" s="221" t="s">
        <v>615</v>
      </c>
      <c r="F176" s="221" t="s">
        <v>46</v>
      </c>
      <c r="G176" s="264" t="s">
        <v>610</v>
      </c>
      <c r="H176" s="1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 ht="12.75">
      <c r="A177" s="41">
        <v>176</v>
      </c>
      <c r="B177" s="278" t="s">
        <v>1102</v>
      </c>
      <c r="C177" s="279" t="s">
        <v>1103</v>
      </c>
      <c r="D177" s="280" t="s">
        <v>46</v>
      </c>
      <c r="E177" s="267" t="s">
        <v>46</v>
      </c>
      <c r="F177" s="267" t="s">
        <v>46</v>
      </c>
      <c r="G177" s="280" t="s">
        <v>683</v>
      </c>
      <c r="H177" s="46"/>
    </row>
    <row r="178" spans="1:22" ht="12.75">
      <c r="A178" s="41">
        <v>177</v>
      </c>
      <c r="B178" s="278" t="s">
        <v>1105</v>
      </c>
      <c r="C178" s="279" t="s">
        <v>1106</v>
      </c>
      <c r="D178" s="280" t="s">
        <v>46</v>
      </c>
      <c r="E178" s="267" t="s">
        <v>46</v>
      </c>
      <c r="F178" s="267" t="s">
        <v>46</v>
      </c>
      <c r="G178" s="280" t="s">
        <v>683</v>
      </c>
      <c r="H178" s="46"/>
    </row>
    <row r="179" spans="1:22" ht="12.75">
      <c r="A179" s="41">
        <v>178</v>
      </c>
      <c r="B179" s="278" t="s">
        <v>1107</v>
      </c>
      <c r="C179" s="279" t="s">
        <v>1108</v>
      </c>
      <c r="D179" s="280" t="s">
        <v>46</v>
      </c>
      <c r="E179" s="267" t="s">
        <v>46</v>
      </c>
      <c r="F179" s="267" t="s">
        <v>46</v>
      </c>
      <c r="G179" s="280" t="s">
        <v>683</v>
      </c>
      <c r="H179" s="46"/>
    </row>
    <row r="180" spans="1:22" ht="12.75">
      <c r="A180" s="41">
        <v>179</v>
      </c>
      <c r="B180" s="278" t="s">
        <v>1110</v>
      </c>
      <c r="C180" s="279" t="s">
        <v>1111</v>
      </c>
      <c r="D180" s="280" t="s">
        <v>46</v>
      </c>
      <c r="E180" s="267" t="s">
        <v>46</v>
      </c>
      <c r="F180" s="267" t="s">
        <v>46</v>
      </c>
      <c r="G180" s="280" t="s">
        <v>683</v>
      </c>
      <c r="H180" s="46"/>
    </row>
    <row r="181" spans="1:22" ht="12.75">
      <c r="A181" s="4">
        <v>180</v>
      </c>
      <c r="B181" s="273" t="s">
        <v>1112</v>
      </c>
      <c r="C181" s="274" t="s">
        <v>1113</v>
      </c>
      <c r="D181" s="264" t="s">
        <v>46</v>
      </c>
      <c r="E181" s="221" t="s">
        <v>46</v>
      </c>
      <c r="F181" s="221" t="s">
        <v>46</v>
      </c>
      <c r="G181" s="264" t="s">
        <v>610</v>
      </c>
      <c r="H181" s="15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 ht="12.75">
      <c r="A182" s="4">
        <v>181</v>
      </c>
      <c r="B182" s="273" t="s">
        <v>1115</v>
      </c>
      <c r="C182" s="274" t="s">
        <v>1116</v>
      </c>
      <c r="D182" s="287"/>
      <c r="E182" s="222"/>
      <c r="F182" s="222"/>
      <c r="G182" s="264" t="s">
        <v>610</v>
      </c>
      <c r="H182" s="15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 ht="12.75">
      <c r="A183" s="4">
        <v>182</v>
      </c>
      <c r="B183" s="273" t="s">
        <v>1117</v>
      </c>
      <c r="C183" s="129" t="s">
        <v>1118</v>
      </c>
      <c r="D183" s="287"/>
      <c r="E183" s="222"/>
      <c r="F183" s="222"/>
      <c r="G183" s="264" t="s">
        <v>1119</v>
      </c>
      <c r="H183" s="15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 ht="12.75">
      <c r="A184" s="41">
        <v>183</v>
      </c>
      <c r="B184" s="276" t="s">
        <v>1120</v>
      </c>
      <c r="C184" s="277"/>
      <c r="D184" s="290"/>
      <c r="E184" s="291"/>
      <c r="F184" s="291"/>
      <c r="G184" s="218" t="s">
        <v>1119</v>
      </c>
      <c r="H184" s="46"/>
    </row>
    <row r="185" spans="1:22" ht="12.75">
      <c r="A185" s="41">
        <v>184</v>
      </c>
      <c r="B185" s="276" t="s">
        <v>1122</v>
      </c>
      <c r="C185" s="277"/>
      <c r="D185" s="290"/>
      <c r="E185" s="291"/>
      <c r="F185" s="291"/>
      <c r="G185" s="218" t="s">
        <v>1119</v>
      </c>
      <c r="H185" s="46"/>
    </row>
    <row r="186" spans="1:22" ht="12.75">
      <c r="A186" s="41">
        <v>185</v>
      </c>
      <c r="B186" s="276" t="s">
        <v>1124</v>
      </c>
      <c r="C186" s="216" t="s">
        <v>1125</v>
      </c>
      <c r="D186" s="290"/>
      <c r="E186" s="291"/>
      <c r="F186" s="291"/>
      <c r="G186" s="218"/>
      <c r="H186" s="46"/>
    </row>
    <row r="187" spans="1:22" ht="12.75">
      <c r="A187" s="41">
        <v>186</v>
      </c>
      <c r="B187" s="276" t="s">
        <v>1126</v>
      </c>
      <c r="C187" s="277"/>
      <c r="D187" s="290"/>
      <c r="E187" s="291"/>
      <c r="F187" s="291"/>
      <c r="G187" s="218" t="s">
        <v>1119</v>
      </c>
      <c r="H187" s="46"/>
    </row>
    <row r="188" spans="1:22" ht="12.75">
      <c r="A188" s="41">
        <v>187</v>
      </c>
      <c r="B188" s="276" t="s">
        <v>1128</v>
      </c>
      <c r="C188" s="277"/>
      <c r="D188" s="290"/>
      <c r="E188" s="291"/>
      <c r="F188" s="291"/>
      <c r="G188" s="218" t="s">
        <v>1119</v>
      </c>
      <c r="H188" s="46"/>
    </row>
    <row r="189" spans="1:22" ht="12.75">
      <c r="A189" s="41">
        <v>188</v>
      </c>
      <c r="B189" s="276" t="s">
        <v>1130</v>
      </c>
      <c r="C189" s="277"/>
      <c r="D189" s="290"/>
      <c r="E189" s="291"/>
      <c r="F189" s="291"/>
      <c r="G189" s="218" t="s">
        <v>1119</v>
      </c>
      <c r="H189" s="46"/>
    </row>
    <row r="190" spans="1:22" ht="12.75">
      <c r="A190" s="41">
        <v>189</v>
      </c>
      <c r="B190" s="276" t="s">
        <v>1131</v>
      </c>
      <c r="C190" s="277"/>
      <c r="D190" s="290"/>
      <c r="E190" s="291"/>
      <c r="F190" s="291"/>
      <c r="G190" s="218" t="s">
        <v>1119</v>
      </c>
      <c r="H190" s="46"/>
    </row>
    <row r="191" spans="1:22" ht="12.75">
      <c r="A191" s="41">
        <v>190</v>
      </c>
      <c r="B191" s="294">
        <v>6281122300612</v>
      </c>
      <c r="C191" s="277"/>
      <c r="D191" s="290"/>
      <c r="E191" s="291"/>
      <c r="F191" s="291"/>
      <c r="G191" s="218"/>
      <c r="H191" s="46"/>
    </row>
    <row r="192" spans="1:22" ht="12.75">
      <c r="A192" s="41">
        <v>191</v>
      </c>
      <c r="B192" s="294">
        <v>6281122300613</v>
      </c>
      <c r="C192" s="277"/>
      <c r="D192" s="290"/>
      <c r="E192" s="291"/>
      <c r="F192" s="291"/>
      <c r="G192" s="218"/>
      <c r="H192" s="46"/>
    </row>
    <row r="193" spans="1:9" ht="12.75">
      <c r="A193" s="41">
        <v>192</v>
      </c>
      <c r="B193" s="297">
        <v>6281122300614</v>
      </c>
      <c r="C193" s="277"/>
      <c r="D193" s="290"/>
      <c r="E193" s="291"/>
      <c r="F193" s="291"/>
      <c r="G193" s="218"/>
      <c r="H193" s="46"/>
    </row>
    <row r="194" spans="1:9" ht="12.75">
      <c r="A194" s="41">
        <v>193</v>
      </c>
      <c r="B194" s="297">
        <v>6281122300615</v>
      </c>
      <c r="C194" s="277"/>
      <c r="D194" s="290"/>
      <c r="E194" s="291"/>
      <c r="F194" s="291"/>
      <c r="G194" s="218"/>
      <c r="H194" s="46"/>
    </row>
    <row r="195" spans="1:9" ht="12.75">
      <c r="A195" s="41">
        <v>194</v>
      </c>
      <c r="B195" s="294">
        <v>6281122300616</v>
      </c>
      <c r="C195" s="277"/>
      <c r="D195" s="290"/>
      <c r="E195" s="291"/>
      <c r="F195" s="291"/>
      <c r="G195" s="218"/>
      <c r="H195" s="46"/>
    </row>
    <row r="196" spans="1:9" ht="12.75">
      <c r="A196" s="41">
        <v>195</v>
      </c>
      <c r="B196" s="294">
        <v>6281122300617</v>
      </c>
      <c r="C196" s="277"/>
      <c r="D196" s="290"/>
      <c r="E196" s="291"/>
      <c r="F196" s="291"/>
      <c r="G196" s="218"/>
      <c r="H196" s="46"/>
    </row>
    <row r="197" spans="1:9" ht="12.75">
      <c r="A197" s="41">
        <v>196</v>
      </c>
      <c r="B197" s="294">
        <v>6281122300618</v>
      </c>
      <c r="C197" s="277"/>
      <c r="D197" s="290"/>
      <c r="E197" s="291"/>
      <c r="F197" s="291"/>
      <c r="G197" s="218" t="s">
        <v>1119</v>
      </c>
      <c r="H197" s="46"/>
    </row>
    <row r="198" spans="1:9" ht="12.75">
      <c r="A198" s="41">
        <v>197</v>
      </c>
      <c r="B198" s="297">
        <v>6281120213235</v>
      </c>
      <c r="C198" s="277"/>
      <c r="D198" s="290"/>
      <c r="E198" s="291"/>
      <c r="F198" s="291"/>
      <c r="G198" s="218" t="s">
        <v>1119</v>
      </c>
      <c r="H198" s="46"/>
    </row>
    <row r="199" spans="1:9" ht="12.75">
      <c r="A199" s="41">
        <v>198</v>
      </c>
      <c r="B199" s="298">
        <v>628112206701</v>
      </c>
      <c r="C199" s="277" t="s">
        <v>1140</v>
      </c>
      <c r="D199" s="290"/>
      <c r="E199" s="291"/>
      <c r="F199" s="291"/>
      <c r="G199" s="290"/>
      <c r="H199" s="46"/>
    </row>
    <row r="200" spans="1:9" ht="12.75">
      <c r="A200" s="41">
        <v>199</v>
      </c>
      <c r="B200" s="297">
        <v>628112206702</v>
      </c>
      <c r="C200" s="277"/>
      <c r="D200" s="290"/>
      <c r="E200" s="291"/>
      <c r="F200" s="291"/>
      <c r="G200" s="290"/>
      <c r="H200" s="46"/>
    </row>
    <row r="201" spans="1:9" ht="12.75">
      <c r="A201" s="41">
        <v>200</v>
      </c>
      <c r="B201" s="297">
        <v>628112206703</v>
      </c>
      <c r="C201" s="277"/>
      <c r="D201" s="290"/>
      <c r="E201" s="291"/>
      <c r="F201" s="291"/>
      <c r="G201" s="290"/>
      <c r="H201" s="46"/>
    </row>
    <row r="202" spans="1:9" ht="12.75">
      <c r="A202" s="41">
        <v>201</v>
      </c>
      <c r="B202" s="297">
        <v>628112206704</v>
      </c>
      <c r="C202" s="277"/>
      <c r="D202" s="290"/>
      <c r="E202" s="291"/>
      <c r="F202" s="291"/>
      <c r="G202" s="290"/>
      <c r="H202" s="46"/>
    </row>
    <row r="203" spans="1:9" ht="12.75">
      <c r="A203" s="41">
        <v>202</v>
      </c>
      <c r="B203" s="301">
        <v>628112079595</v>
      </c>
      <c r="C203" s="277" t="s">
        <v>1143</v>
      </c>
      <c r="D203" s="290"/>
      <c r="E203" s="291"/>
      <c r="F203" s="291"/>
      <c r="G203" s="290"/>
      <c r="H203" s="102"/>
    </row>
    <row r="204" spans="1:9" ht="12.75">
      <c r="A204" s="41">
        <v>203</v>
      </c>
      <c r="B204" s="75">
        <v>628112124354</v>
      </c>
      <c r="C204" s="75" t="s">
        <v>386</v>
      </c>
      <c r="D204" s="167"/>
      <c r="E204" s="44"/>
      <c r="F204" s="44"/>
      <c r="G204" s="46"/>
      <c r="H204" s="75">
        <v>6281312958090</v>
      </c>
      <c r="I204" s="75" t="s">
        <v>1145</v>
      </c>
    </row>
    <row r="205" spans="1:9" ht="12.75">
      <c r="A205" s="41"/>
      <c r="B205" s="52"/>
      <c r="D205" s="167"/>
      <c r="E205" s="44"/>
      <c r="F205" s="44"/>
      <c r="G205" s="46"/>
      <c r="H205" s="52"/>
    </row>
    <row r="206" spans="1:9" ht="12.75">
      <c r="A206" s="41"/>
      <c r="B206" s="139"/>
      <c r="C206" s="139"/>
      <c r="D206" s="167"/>
      <c r="E206" s="44"/>
      <c r="F206" s="44"/>
      <c r="G206" s="46"/>
      <c r="H206" s="46"/>
    </row>
    <row r="207" spans="1:9" ht="12.75">
      <c r="A207" s="41"/>
      <c r="B207" s="139"/>
      <c r="C207" s="139"/>
      <c r="D207" s="167"/>
      <c r="E207" s="44"/>
      <c r="F207" s="44"/>
      <c r="G207" s="46"/>
      <c r="H207" s="46"/>
    </row>
    <row r="208" spans="1:9" ht="12.75">
      <c r="A208" s="41"/>
      <c r="B208" s="139"/>
      <c r="C208" s="139"/>
      <c r="D208" s="167"/>
      <c r="E208" s="44"/>
      <c r="F208" s="44"/>
      <c r="G208" s="46"/>
      <c r="H208" s="46"/>
    </row>
    <row r="209" spans="1:8" ht="12.75">
      <c r="A209" s="41"/>
      <c r="B209" s="139"/>
      <c r="C209" s="139"/>
      <c r="D209" s="167"/>
      <c r="E209" s="44"/>
      <c r="F209" s="44"/>
      <c r="G209" s="46"/>
      <c r="H209" s="46"/>
    </row>
    <row r="210" spans="1:8" ht="12.75">
      <c r="A210" s="41"/>
      <c r="B210" s="139"/>
      <c r="C210" s="139"/>
      <c r="D210" s="167"/>
      <c r="E210" s="44"/>
      <c r="F210" s="44"/>
      <c r="G210" s="46"/>
      <c r="H210" s="46"/>
    </row>
    <row r="211" spans="1:8" ht="12.75">
      <c r="A211" s="41"/>
      <c r="B211" s="139"/>
      <c r="C211" s="139"/>
      <c r="D211" s="167"/>
      <c r="E211" s="44"/>
      <c r="F211" s="44"/>
      <c r="G211" s="46"/>
      <c r="H211" s="46"/>
    </row>
    <row r="212" spans="1:8" ht="12.75">
      <c r="A212" s="41"/>
      <c r="B212" s="139"/>
      <c r="C212" s="139"/>
      <c r="D212" s="167"/>
      <c r="E212" s="44"/>
      <c r="F212" s="44"/>
      <c r="G212" s="46"/>
      <c r="H212" s="46"/>
    </row>
    <row r="213" spans="1:8" ht="12.75">
      <c r="A213" s="41"/>
      <c r="B213" s="139"/>
      <c r="C213" s="139"/>
      <c r="D213" s="167"/>
      <c r="E213" s="44"/>
      <c r="F213" s="44"/>
      <c r="G213" s="46"/>
      <c r="H213" s="46"/>
    </row>
    <row r="214" spans="1:8" ht="12.75">
      <c r="A214" s="41"/>
      <c r="B214" s="139"/>
      <c r="C214" s="139"/>
      <c r="D214" s="167"/>
      <c r="E214" s="44"/>
      <c r="F214" s="44"/>
      <c r="G214" s="46"/>
      <c r="H214" s="46"/>
    </row>
    <row r="215" spans="1:8" ht="12.75">
      <c r="A215" s="41"/>
      <c r="B215" s="139"/>
      <c r="C215" s="139"/>
      <c r="D215" s="167"/>
      <c r="E215" s="44"/>
      <c r="F215" s="44"/>
      <c r="G215" s="46"/>
      <c r="H215" s="46"/>
    </row>
    <row r="216" spans="1:8" ht="12.75">
      <c r="A216" s="41"/>
      <c r="B216" s="139"/>
      <c r="C216" s="139"/>
      <c r="D216" s="167"/>
      <c r="E216" s="44"/>
      <c r="F216" s="44"/>
      <c r="G216" s="46"/>
      <c r="H216" s="46"/>
    </row>
    <row r="217" spans="1:8" ht="12.75">
      <c r="A217" s="41"/>
      <c r="B217" s="139"/>
      <c r="C217" s="139"/>
      <c r="D217" s="167"/>
      <c r="E217" s="44"/>
      <c r="F217" s="44"/>
      <c r="G217" s="46"/>
      <c r="H217" s="46"/>
    </row>
    <row r="218" spans="1:8" ht="12.75">
      <c r="A218" s="41"/>
      <c r="B218" s="139"/>
      <c r="C218" s="139"/>
      <c r="D218" s="167"/>
      <c r="E218" s="44"/>
      <c r="F218" s="44"/>
      <c r="G218" s="46"/>
      <c r="H218" s="46"/>
    </row>
    <row r="219" spans="1:8" ht="12.75">
      <c r="A219" s="41"/>
      <c r="B219" s="139"/>
      <c r="C219" s="139"/>
      <c r="D219" s="167"/>
      <c r="E219" s="44"/>
      <c r="F219" s="44"/>
      <c r="G219" s="46"/>
      <c r="H219" s="46"/>
    </row>
    <row r="220" spans="1:8" ht="12.75">
      <c r="A220" s="41"/>
      <c r="B220" s="139"/>
      <c r="C220" s="139"/>
      <c r="D220" s="167"/>
      <c r="E220" s="44"/>
      <c r="F220" s="44"/>
      <c r="G220" s="46"/>
      <c r="H220" s="46"/>
    </row>
    <row r="221" spans="1:8" ht="12.75">
      <c r="A221" s="41"/>
      <c r="B221" s="139"/>
      <c r="C221" s="139"/>
      <c r="D221" s="167"/>
      <c r="E221" s="44"/>
      <c r="F221" s="44"/>
      <c r="G221" s="46"/>
      <c r="H221" s="46"/>
    </row>
    <row r="222" spans="1:8" ht="12.75">
      <c r="A222" s="41"/>
      <c r="B222" s="139"/>
      <c r="C222" s="139"/>
      <c r="D222" s="167"/>
      <c r="E222" s="44"/>
      <c r="F222" s="44"/>
      <c r="G222" s="46"/>
      <c r="H222" s="46"/>
    </row>
    <row r="223" spans="1:8" ht="12.75">
      <c r="A223" s="41"/>
      <c r="B223" s="139"/>
      <c r="C223" s="139"/>
      <c r="D223" s="167"/>
      <c r="E223" s="44"/>
      <c r="F223" s="44"/>
      <c r="G223" s="46"/>
      <c r="H223" s="46"/>
    </row>
    <row r="224" spans="1:8" ht="12.75">
      <c r="A224" s="41"/>
      <c r="B224" s="139"/>
      <c r="C224" s="139"/>
      <c r="D224" s="167"/>
      <c r="E224" s="44"/>
      <c r="F224" s="44"/>
      <c r="G224" s="46"/>
      <c r="H224" s="46"/>
    </row>
    <row r="225" spans="1:8" ht="12.75">
      <c r="A225" s="41"/>
      <c r="B225" s="139"/>
      <c r="C225" s="139"/>
      <c r="D225" s="167"/>
      <c r="E225" s="44"/>
      <c r="F225" s="44"/>
      <c r="G225" s="46"/>
      <c r="H225" s="46"/>
    </row>
    <row r="226" spans="1:8" ht="12.75">
      <c r="A226" s="41"/>
      <c r="B226" s="139"/>
      <c r="C226" s="139"/>
      <c r="D226" s="167"/>
      <c r="E226" s="44"/>
      <c r="F226" s="44"/>
      <c r="G226" s="46"/>
      <c r="H226" s="46"/>
    </row>
    <row r="227" spans="1:8" ht="12.75">
      <c r="A227" s="41"/>
      <c r="B227" s="139"/>
      <c r="C227" s="139"/>
      <c r="D227" s="167"/>
      <c r="E227" s="44"/>
      <c r="F227" s="44"/>
      <c r="G227" s="46"/>
      <c r="H227" s="46"/>
    </row>
    <row r="228" spans="1:8" ht="12.75">
      <c r="A228" s="41"/>
      <c r="B228" s="139"/>
      <c r="C228" s="139"/>
      <c r="D228" s="167"/>
      <c r="E228" s="44"/>
      <c r="F228" s="44"/>
      <c r="G228" s="46"/>
      <c r="H228" s="46"/>
    </row>
    <row r="229" spans="1:8" ht="12.75">
      <c r="A229" s="41"/>
      <c r="B229" s="139"/>
      <c r="C229" s="139"/>
      <c r="D229" s="167"/>
      <c r="E229" s="44"/>
      <c r="F229" s="44"/>
      <c r="G229" s="46"/>
      <c r="H229" s="46"/>
    </row>
    <row r="230" spans="1:8" ht="12.75">
      <c r="A230" s="41"/>
      <c r="B230" s="139"/>
      <c r="C230" s="139"/>
      <c r="D230" s="167"/>
      <c r="E230" s="44"/>
      <c r="F230" s="44"/>
      <c r="G230" s="46"/>
      <c r="H230" s="46"/>
    </row>
    <row r="231" spans="1:8" ht="12.75">
      <c r="A231" s="41"/>
      <c r="B231" s="139"/>
      <c r="C231" s="139"/>
      <c r="D231" s="167"/>
      <c r="E231" s="44"/>
      <c r="F231" s="44"/>
      <c r="G231" s="46"/>
      <c r="H231" s="46"/>
    </row>
    <row r="232" spans="1:8" ht="12.75">
      <c r="A232" s="41"/>
      <c r="B232" s="139"/>
      <c r="C232" s="139"/>
      <c r="D232" s="167"/>
      <c r="E232" s="44"/>
      <c r="F232" s="44"/>
      <c r="G232" s="46"/>
      <c r="H232" s="46"/>
    </row>
    <row r="233" spans="1:8" ht="12.75">
      <c r="A233" s="41"/>
      <c r="B233" s="139"/>
      <c r="C233" s="139"/>
      <c r="D233" s="167"/>
      <c r="E233" s="44"/>
      <c r="F233" s="44"/>
      <c r="G233" s="46"/>
      <c r="H233" s="46"/>
    </row>
    <row r="234" spans="1:8" ht="12.75">
      <c r="A234" s="144"/>
      <c r="B234" s="139"/>
      <c r="C234" s="139"/>
      <c r="D234" s="167"/>
      <c r="E234" s="44"/>
      <c r="F234" s="44"/>
      <c r="G234" s="46"/>
      <c r="H234" s="46"/>
    </row>
    <row r="235" spans="1:8" ht="12.75">
      <c r="A235" s="144"/>
      <c r="B235" s="139"/>
      <c r="C235" s="139"/>
      <c r="D235" s="167"/>
      <c r="E235" s="44"/>
      <c r="F235" s="44"/>
      <c r="G235" s="46"/>
      <c r="H235" s="46"/>
    </row>
    <row r="236" spans="1:8" ht="12.75">
      <c r="A236" s="144"/>
      <c r="B236" s="139"/>
      <c r="C236" s="139"/>
      <c r="D236" s="167"/>
      <c r="E236" s="44"/>
      <c r="F236" s="44"/>
      <c r="G236" s="46"/>
      <c r="H236" s="46"/>
    </row>
    <row r="237" spans="1:8" ht="12.75">
      <c r="A237" s="144"/>
      <c r="B237" s="139"/>
      <c r="C237" s="139"/>
      <c r="D237" s="167"/>
      <c r="E237" s="44"/>
      <c r="F237" s="44"/>
      <c r="G237" s="46"/>
      <c r="H237" s="46"/>
    </row>
    <row r="238" spans="1:8" ht="12.75">
      <c r="A238" s="144"/>
      <c r="B238" s="139"/>
      <c r="C238" s="139"/>
      <c r="D238" s="167"/>
      <c r="E238" s="44"/>
      <c r="F238" s="44"/>
      <c r="G238" s="46"/>
      <c r="H238" s="46"/>
    </row>
    <row r="239" spans="1:8" ht="12.75">
      <c r="A239" s="144"/>
      <c r="B239" s="139"/>
      <c r="C239" s="139"/>
      <c r="D239" s="167"/>
      <c r="E239" s="44"/>
      <c r="F239" s="44"/>
      <c r="G239" s="46"/>
      <c r="H239" s="46"/>
    </row>
    <row r="240" spans="1:8" ht="12.75">
      <c r="A240" s="144"/>
      <c r="B240" s="139"/>
      <c r="C240" s="139"/>
      <c r="D240" s="167"/>
      <c r="E240" s="44"/>
      <c r="F240" s="44"/>
      <c r="G240" s="46"/>
      <c r="H240" s="46"/>
    </row>
    <row r="241" spans="1:8" ht="12.75">
      <c r="A241" s="144"/>
      <c r="B241" s="139"/>
      <c r="C241" s="139"/>
      <c r="D241" s="167"/>
      <c r="E241" s="44"/>
      <c r="F241" s="44"/>
      <c r="G241" s="46"/>
      <c r="H241" s="46"/>
    </row>
    <row r="242" spans="1:8" ht="12.75">
      <c r="A242" s="144"/>
      <c r="B242" s="139"/>
      <c r="C242" s="139"/>
      <c r="D242" s="167"/>
      <c r="E242" s="44"/>
      <c r="F242" s="44"/>
      <c r="G242" s="46"/>
      <c r="H242" s="46"/>
    </row>
    <row r="243" spans="1:8" ht="12.75">
      <c r="A243" s="144"/>
      <c r="B243" s="139"/>
      <c r="C243" s="139"/>
      <c r="D243" s="167"/>
      <c r="E243" s="44"/>
      <c r="F243" s="44"/>
      <c r="G243" s="46"/>
      <c r="H243" s="46"/>
    </row>
    <row r="244" spans="1:8" ht="12.75">
      <c r="A244" s="144"/>
      <c r="B244" s="139"/>
      <c r="C244" s="139"/>
      <c r="D244" s="167"/>
      <c r="E244" s="44"/>
      <c r="F244" s="44"/>
      <c r="G244" s="46"/>
      <c r="H244" s="46"/>
    </row>
    <row r="245" spans="1:8" ht="12.75">
      <c r="A245" s="144"/>
      <c r="B245" s="139"/>
      <c r="C245" s="139"/>
      <c r="D245" s="167"/>
      <c r="E245" s="44"/>
      <c r="F245" s="44"/>
      <c r="G245" s="46"/>
      <c r="H245" s="46"/>
    </row>
    <row r="246" spans="1:8" ht="12.75">
      <c r="A246" s="144"/>
      <c r="B246" s="139"/>
      <c r="C246" s="139"/>
      <c r="D246" s="167"/>
      <c r="E246" s="44"/>
      <c r="F246" s="44"/>
      <c r="G246" s="46"/>
      <c r="H246" s="46"/>
    </row>
    <row r="247" spans="1:8" ht="12.75">
      <c r="A247" s="144"/>
      <c r="B247" s="139"/>
      <c r="C247" s="139"/>
      <c r="D247" s="167"/>
      <c r="E247" s="44"/>
      <c r="F247" s="44"/>
      <c r="G247" s="46"/>
      <c r="H247" s="46"/>
    </row>
    <row r="248" spans="1:8" ht="12.75">
      <c r="A248" s="144"/>
      <c r="B248" s="139"/>
      <c r="C248" s="139"/>
      <c r="D248" s="167"/>
      <c r="E248" s="44"/>
      <c r="F248" s="44"/>
      <c r="G248" s="46"/>
      <c r="H248" s="46"/>
    </row>
    <row r="249" spans="1:8" ht="12.75">
      <c r="A249" s="144"/>
      <c r="B249" s="139"/>
      <c r="C249" s="139"/>
      <c r="D249" s="167"/>
      <c r="E249" s="44"/>
      <c r="F249" s="44"/>
      <c r="G249" s="46"/>
      <c r="H249" s="46"/>
    </row>
    <row r="250" spans="1:8" ht="12.75">
      <c r="A250" s="144"/>
      <c r="B250" s="139"/>
      <c r="C250" s="139"/>
      <c r="D250" s="167"/>
      <c r="E250" s="44"/>
      <c r="F250" s="44"/>
      <c r="G250" s="46"/>
      <c r="H250" s="46"/>
    </row>
    <row r="251" spans="1:8" ht="12.75">
      <c r="A251" s="144"/>
      <c r="B251" s="139"/>
      <c r="C251" s="139"/>
      <c r="D251" s="167"/>
      <c r="E251" s="44"/>
      <c r="F251" s="44"/>
      <c r="G251" s="46"/>
      <c r="H251" s="46"/>
    </row>
    <row r="252" spans="1:8" ht="12.75">
      <c r="A252" s="144"/>
      <c r="B252" s="139"/>
      <c r="C252" s="139"/>
      <c r="D252" s="167"/>
      <c r="E252" s="44"/>
      <c r="F252" s="44"/>
      <c r="G252" s="46"/>
      <c r="H252" s="46"/>
    </row>
    <row r="253" spans="1:8" ht="12.75">
      <c r="A253" s="144"/>
      <c r="B253" s="139"/>
      <c r="C253" s="139"/>
      <c r="D253" s="167"/>
      <c r="E253" s="44"/>
      <c r="F253" s="44"/>
      <c r="G253" s="46"/>
      <c r="H253" s="46"/>
    </row>
    <row r="254" spans="1:8" ht="12.75">
      <c r="A254" s="144"/>
      <c r="B254" s="139"/>
      <c r="C254" s="139"/>
      <c r="D254" s="167"/>
      <c r="E254" s="44"/>
      <c r="F254" s="44"/>
      <c r="G254" s="46"/>
      <c r="H254" s="46"/>
    </row>
    <row r="255" spans="1:8" ht="12.75">
      <c r="A255" s="144"/>
      <c r="B255" s="139"/>
      <c r="C255" s="139"/>
      <c r="D255" s="167"/>
      <c r="E255" s="44"/>
      <c r="F255" s="44"/>
      <c r="G255" s="46"/>
      <c r="H255" s="46"/>
    </row>
    <row r="256" spans="1:8" ht="12.75">
      <c r="A256" s="144"/>
      <c r="B256" s="139"/>
      <c r="C256" s="139"/>
      <c r="D256" s="167"/>
      <c r="E256" s="44"/>
      <c r="F256" s="44"/>
      <c r="G256" s="46"/>
      <c r="H256" s="46"/>
    </row>
    <row r="257" spans="1:8" ht="12.75">
      <c r="A257" s="144"/>
      <c r="B257" s="139"/>
      <c r="C257" s="139"/>
      <c r="D257" s="167"/>
      <c r="E257" s="44"/>
      <c r="F257" s="44"/>
      <c r="G257" s="46"/>
      <c r="H257" s="46"/>
    </row>
    <row r="258" spans="1:8" ht="12.75">
      <c r="A258" s="144"/>
      <c r="B258" s="139"/>
      <c r="C258" s="139"/>
      <c r="D258" s="167"/>
      <c r="E258" s="44"/>
      <c r="F258" s="44"/>
      <c r="G258" s="46"/>
      <c r="H258" s="46"/>
    </row>
    <row r="259" spans="1:8" ht="12.75">
      <c r="A259" s="144"/>
      <c r="B259" s="139"/>
      <c r="C259" s="139"/>
      <c r="D259" s="167"/>
      <c r="E259" s="44"/>
      <c r="F259" s="44"/>
      <c r="G259" s="46"/>
      <c r="H259" s="46"/>
    </row>
    <row r="260" spans="1:8" ht="12.75">
      <c r="A260" s="144"/>
      <c r="B260" s="139"/>
      <c r="C260" s="139"/>
      <c r="D260" s="167"/>
      <c r="E260" s="44"/>
      <c r="F260" s="44"/>
      <c r="G260" s="46"/>
      <c r="H260" s="46"/>
    </row>
    <row r="261" spans="1:8" ht="12.75">
      <c r="A261" s="144"/>
      <c r="B261" s="139"/>
      <c r="C261" s="139"/>
      <c r="D261" s="167"/>
      <c r="E261" s="44"/>
      <c r="F261" s="44"/>
      <c r="G261" s="46"/>
      <c r="H261" s="46"/>
    </row>
    <row r="262" spans="1:8" ht="12.75">
      <c r="A262" s="144"/>
      <c r="B262" s="139"/>
      <c r="C262" s="139"/>
      <c r="D262" s="167"/>
      <c r="E262" s="44"/>
      <c r="F262" s="44"/>
      <c r="G262" s="46"/>
      <c r="H262" s="46"/>
    </row>
    <row r="263" spans="1:8" ht="12.75">
      <c r="A263" s="144"/>
      <c r="B263" s="139"/>
      <c r="C263" s="139"/>
      <c r="D263" s="167"/>
      <c r="E263" s="44"/>
      <c r="F263" s="44"/>
      <c r="G263" s="46"/>
      <c r="H263" s="46"/>
    </row>
    <row r="264" spans="1:8" ht="12.75">
      <c r="A264" s="144"/>
      <c r="B264" s="139"/>
      <c r="C264" s="139"/>
      <c r="D264" s="167"/>
      <c r="E264" s="44"/>
      <c r="F264" s="44"/>
      <c r="G264" s="46"/>
      <c r="H264" s="46"/>
    </row>
    <row r="265" spans="1:8" ht="12.75">
      <c r="A265" s="144"/>
      <c r="B265" s="139"/>
      <c r="C265" s="139"/>
      <c r="D265" s="167"/>
      <c r="E265" s="44"/>
      <c r="F265" s="44"/>
      <c r="G265" s="46"/>
      <c r="H265" s="46"/>
    </row>
    <row r="266" spans="1:8" ht="12.75">
      <c r="A266" s="144"/>
      <c r="B266" s="139"/>
      <c r="C266" s="139"/>
      <c r="D266" s="167"/>
      <c r="E266" s="44"/>
      <c r="F266" s="44"/>
      <c r="G266" s="46"/>
      <c r="H266" s="46"/>
    </row>
    <row r="267" spans="1:8" ht="12.75">
      <c r="A267" s="144"/>
      <c r="B267" s="139"/>
      <c r="C267" s="139"/>
      <c r="D267" s="167"/>
      <c r="E267" s="44"/>
      <c r="F267" s="44"/>
      <c r="G267" s="46"/>
      <c r="H267" s="46"/>
    </row>
    <row r="268" spans="1:8" ht="12.75">
      <c r="A268" s="144"/>
      <c r="B268" s="139"/>
      <c r="C268" s="139"/>
      <c r="D268" s="167"/>
      <c r="E268" s="44"/>
      <c r="F268" s="44"/>
      <c r="G268" s="46"/>
      <c r="H268" s="46"/>
    </row>
    <row r="269" spans="1:8" ht="12.75">
      <c r="A269" s="144"/>
      <c r="B269" s="139"/>
      <c r="C269" s="139"/>
      <c r="D269" s="167"/>
      <c r="E269" s="44"/>
      <c r="F269" s="44"/>
      <c r="G269" s="46"/>
      <c r="H269" s="46"/>
    </row>
    <row r="270" spans="1:8" ht="12.75">
      <c r="A270" s="144"/>
      <c r="B270" s="139"/>
      <c r="C270" s="139"/>
      <c r="D270" s="167"/>
      <c r="E270" s="44"/>
      <c r="F270" s="44"/>
      <c r="G270" s="46"/>
      <c r="H270" s="46"/>
    </row>
    <row r="271" spans="1:8" ht="12.75">
      <c r="A271" s="144"/>
      <c r="B271" s="139"/>
      <c r="C271" s="139"/>
      <c r="D271" s="167"/>
      <c r="E271" s="44"/>
      <c r="F271" s="44"/>
      <c r="G271" s="46"/>
      <c r="H271" s="46"/>
    </row>
    <row r="272" spans="1:8" ht="12.75">
      <c r="A272" s="144"/>
      <c r="B272" s="139"/>
      <c r="C272" s="139"/>
      <c r="D272" s="167"/>
      <c r="E272" s="44"/>
      <c r="F272" s="44"/>
      <c r="G272" s="46"/>
      <c r="H272" s="46"/>
    </row>
    <row r="273" spans="1:8" ht="12.75">
      <c r="A273" s="144"/>
      <c r="B273" s="139"/>
      <c r="C273" s="139"/>
      <c r="D273" s="167"/>
      <c r="E273" s="44"/>
      <c r="F273" s="44"/>
      <c r="G273" s="46"/>
      <c r="H273" s="46"/>
    </row>
    <row r="274" spans="1:8" ht="12.75">
      <c r="A274" s="144"/>
      <c r="B274" s="139"/>
      <c r="C274" s="139"/>
      <c r="D274" s="167"/>
      <c r="E274" s="44"/>
      <c r="F274" s="44"/>
      <c r="G274" s="46"/>
      <c r="H274" s="46"/>
    </row>
    <row r="275" spans="1:8" ht="12.75">
      <c r="A275" s="144"/>
      <c r="B275" s="139"/>
      <c r="C275" s="139"/>
      <c r="D275" s="167"/>
      <c r="E275" s="44"/>
      <c r="F275" s="44"/>
      <c r="G275" s="46"/>
      <c r="H275" s="46"/>
    </row>
    <row r="276" spans="1:8" ht="12.75">
      <c r="A276" s="144"/>
      <c r="B276" s="139"/>
      <c r="C276" s="139"/>
      <c r="D276" s="167"/>
      <c r="E276" s="44"/>
      <c r="F276" s="44"/>
      <c r="G276" s="46"/>
      <c r="H276" s="46"/>
    </row>
    <row r="277" spans="1:8" ht="12.75">
      <c r="A277" s="144"/>
      <c r="B277" s="139"/>
      <c r="C277" s="139"/>
      <c r="D277" s="167"/>
      <c r="E277" s="44"/>
      <c r="F277" s="44"/>
      <c r="G277" s="46"/>
      <c r="H277" s="46"/>
    </row>
    <row r="278" spans="1:8" ht="12.75">
      <c r="A278" s="144"/>
      <c r="B278" s="139"/>
      <c r="C278" s="139"/>
      <c r="D278" s="167"/>
      <c r="E278" s="44"/>
      <c r="F278" s="44"/>
      <c r="G278" s="46"/>
      <c r="H278" s="46"/>
    </row>
    <row r="279" spans="1:8" ht="12.75">
      <c r="A279" s="144"/>
      <c r="B279" s="139"/>
      <c r="C279" s="139"/>
      <c r="D279" s="167"/>
      <c r="E279" s="44"/>
      <c r="F279" s="44"/>
      <c r="G279" s="46"/>
      <c r="H279" s="46"/>
    </row>
    <row r="280" spans="1:8" ht="12.75">
      <c r="A280" s="144"/>
      <c r="B280" s="139"/>
      <c r="C280" s="139"/>
      <c r="D280" s="167"/>
      <c r="E280" s="44"/>
      <c r="F280" s="44"/>
      <c r="G280" s="46"/>
      <c r="H280" s="46"/>
    </row>
    <row r="281" spans="1:8" ht="12.75">
      <c r="A281" s="144"/>
      <c r="B281" s="139"/>
      <c r="C281" s="139"/>
      <c r="D281" s="167"/>
      <c r="E281" s="44"/>
      <c r="F281" s="44"/>
      <c r="G281" s="46"/>
      <c r="H281" s="46"/>
    </row>
    <row r="282" spans="1:8" ht="12.75">
      <c r="A282" s="144"/>
      <c r="B282" s="139"/>
      <c r="C282" s="139"/>
      <c r="D282" s="167"/>
      <c r="E282" s="44"/>
      <c r="F282" s="44"/>
      <c r="G282" s="46"/>
      <c r="H282" s="46"/>
    </row>
    <row r="283" spans="1:8" ht="12.75">
      <c r="A283" s="144"/>
      <c r="B283" s="139"/>
      <c r="C283" s="139"/>
      <c r="D283" s="167"/>
      <c r="E283" s="44"/>
      <c r="F283" s="44"/>
      <c r="G283" s="46"/>
      <c r="H283" s="46"/>
    </row>
    <row r="284" spans="1:8" ht="12.75">
      <c r="A284" s="144"/>
      <c r="B284" s="139"/>
      <c r="C284" s="139"/>
      <c r="D284" s="167"/>
      <c r="E284" s="44"/>
      <c r="F284" s="44"/>
      <c r="G284" s="46"/>
      <c r="H284" s="46"/>
    </row>
    <row r="285" spans="1:8" ht="12.75">
      <c r="A285" s="144"/>
      <c r="B285" s="139"/>
      <c r="C285" s="139"/>
      <c r="D285" s="167"/>
      <c r="E285" s="44"/>
      <c r="F285" s="44"/>
      <c r="G285" s="46"/>
      <c r="H285" s="46"/>
    </row>
    <row r="286" spans="1:8" ht="12.75">
      <c r="A286" s="144"/>
      <c r="B286" s="139"/>
      <c r="C286" s="139"/>
      <c r="D286" s="167"/>
      <c r="E286" s="44"/>
      <c r="F286" s="44"/>
      <c r="G286" s="46"/>
      <c r="H286" s="46"/>
    </row>
    <row r="287" spans="1:8" ht="12.75">
      <c r="A287" s="144"/>
      <c r="B287" s="139"/>
      <c r="C287" s="139"/>
      <c r="D287" s="167"/>
      <c r="E287" s="44"/>
      <c r="F287" s="44"/>
      <c r="G287" s="46"/>
      <c r="H287" s="46"/>
    </row>
    <row r="288" spans="1:8" ht="12.75">
      <c r="A288" s="144"/>
      <c r="B288" s="139"/>
      <c r="C288" s="139"/>
      <c r="D288" s="167"/>
      <c r="E288" s="44"/>
      <c r="F288" s="44"/>
      <c r="G288" s="46"/>
      <c r="H288" s="46"/>
    </row>
    <row r="289" spans="1:8" ht="12.75">
      <c r="A289" s="144"/>
      <c r="B289" s="139"/>
      <c r="C289" s="139"/>
      <c r="D289" s="167"/>
      <c r="E289" s="44"/>
      <c r="F289" s="44"/>
      <c r="G289" s="46"/>
      <c r="H289" s="46"/>
    </row>
    <row r="290" spans="1:8" ht="12.75">
      <c r="A290" s="144"/>
      <c r="B290" s="139"/>
      <c r="C290" s="139"/>
      <c r="D290" s="167"/>
      <c r="E290" s="44"/>
      <c r="F290" s="44"/>
      <c r="G290" s="46"/>
      <c r="H290" s="46"/>
    </row>
    <row r="291" spans="1:8" ht="12.75">
      <c r="A291" s="144"/>
      <c r="B291" s="139"/>
      <c r="C291" s="139"/>
      <c r="D291" s="167"/>
      <c r="E291" s="44"/>
      <c r="F291" s="44"/>
      <c r="G291" s="46"/>
      <c r="H291" s="46"/>
    </row>
    <row r="292" spans="1:8" ht="12.75">
      <c r="A292" s="144"/>
      <c r="B292" s="139"/>
      <c r="C292" s="139"/>
      <c r="D292" s="167"/>
      <c r="E292" s="44"/>
      <c r="F292" s="44"/>
      <c r="G292" s="46"/>
      <c r="H292" s="46"/>
    </row>
    <row r="293" spans="1:8" ht="12.75">
      <c r="A293" s="144"/>
      <c r="B293" s="139"/>
      <c r="C293" s="139"/>
      <c r="D293" s="167"/>
      <c r="E293" s="44"/>
      <c r="F293" s="44"/>
      <c r="G293" s="46"/>
      <c r="H293" s="46"/>
    </row>
    <row r="294" spans="1:8" ht="12.75">
      <c r="A294" s="144"/>
      <c r="B294" s="139"/>
      <c r="C294" s="139"/>
      <c r="D294" s="167"/>
      <c r="E294" s="44"/>
      <c r="F294" s="44"/>
      <c r="G294" s="46"/>
      <c r="H294" s="46"/>
    </row>
    <row r="295" spans="1:8" ht="12.75">
      <c r="A295" s="144"/>
      <c r="B295" s="139"/>
      <c r="C295" s="139"/>
      <c r="D295" s="167"/>
      <c r="E295" s="44"/>
      <c r="F295" s="44"/>
      <c r="G295" s="46"/>
      <c r="H295" s="46"/>
    </row>
    <row r="296" spans="1:8" ht="12.75">
      <c r="A296" s="144"/>
      <c r="B296" s="139"/>
      <c r="C296" s="139"/>
      <c r="D296" s="167"/>
      <c r="E296" s="44"/>
      <c r="F296" s="44"/>
      <c r="G296" s="46"/>
      <c r="H296" s="46"/>
    </row>
    <row r="297" spans="1:8" ht="12.75">
      <c r="A297" s="144"/>
      <c r="B297" s="139"/>
      <c r="C297" s="139"/>
      <c r="D297" s="167"/>
      <c r="E297" s="44"/>
      <c r="F297" s="44"/>
      <c r="G297" s="46"/>
      <c r="H297" s="46"/>
    </row>
    <row r="298" spans="1:8" ht="12.75">
      <c r="A298" s="144"/>
      <c r="B298" s="139"/>
      <c r="C298" s="139"/>
      <c r="D298" s="167"/>
      <c r="E298" s="44"/>
      <c r="F298" s="44"/>
      <c r="G298" s="46"/>
      <c r="H298" s="46"/>
    </row>
    <row r="299" spans="1:8" ht="12.75">
      <c r="A299" s="144"/>
      <c r="B299" s="139"/>
      <c r="C299" s="139"/>
      <c r="D299" s="167"/>
      <c r="E299" s="44"/>
      <c r="F299" s="44"/>
      <c r="G299" s="46"/>
      <c r="H299" s="46"/>
    </row>
    <row r="300" spans="1:8" ht="12.75">
      <c r="A300" s="144"/>
      <c r="B300" s="139"/>
      <c r="C300" s="139"/>
      <c r="D300" s="167"/>
      <c r="E300" s="44"/>
      <c r="F300" s="44"/>
      <c r="G300" s="46"/>
      <c r="H300" s="46"/>
    </row>
    <row r="301" spans="1:8" ht="12.75">
      <c r="A301" s="144"/>
      <c r="B301" s="139"/>
      <c r="C301" s="139"/>
      <c r="D301" s="167"/>
      <c r="E301" s="44"/>
      <c r="F301" s="44"/>
      <c r="G301" s="46"/>
      <c r="H301" s="46"/>
    </row>
    <row r="302" spans="1:8" ht="12.75">
      <c r="A302" s="144"/>
      <c r="B302" s="139"/>
      <c r="C302" s="139"/>
      <c r="D302" s="167"/>
      <c r="E302" s="44"/>
      <c r="F302" s="44"/>
      <c r="G302" s="46"/>
      <c r="H302" s="46"/>
    </row>
    <row r="303" spans="1:8" ht="12.75">
      <c r="A303" s="144"/>
      <c r="B303" s="139"/>
      <c r="C303" s="139"/>
      <c r="D303" s="167"/>
      <c r="E303" s="44"/>
      <c r="F303" s="44"/>
      <c r="G303" s="46"/>
      <c r="H303" s="46"/>
    </row>
    <row r="304" spans="1:8" ht="12.75">
      <c r="A304" s="144"/>
      <c r="B304" s="139"/>
      <c r="C304" s="139"/>
      <c r="D304" s="167"/>
      <c r="E304" s="44"/>
      <c r="F304" s="44"/>
      <c r="G304" s="46"/>
      <c r="H304" s="46"/>
    </row>
    <row r="305" spans="1:8" ht="12.75">
      <c r="A305" s="144"/>
      <c r="B305" s="139"/>
      <c r="C305" s="139"/>
      <c r="D305" s="167"/>
      <c r="E305" s="44"/>
      <c r="F305" s="44"/>
      <c r="G305" s="46"/>
      <c r="H305" s="46"/>
    </row>
    <row r="306" spans="1:8" ht="12.75">
      <c r="A306" s="144"/>
      <c r="B306" s="139"/>
      <c r="C306" s="139"/>
      <c r="D306" s="167"/>
      <c r="E306" s="44"/>
      <c r="F306" s="44"/>
      <c r="G306" s="46"/>
      <c r="H306" s="46"/>
    </row>
    <row r="307" spans="1:8" ht="12.75">
      <c r="A307" s="144"/>
      <c r="B307" s="139"/>
      <c r="C307" s="139"/>
      <c r="D307" s="167"/>
      <c r="E307" s="44"/>
      <c r="F307" s="44"/>
      <c r="G307" s="46"/>
      <c r="H307" s="46"/>
    </row>
    <row r="308" spans="1:8" ht="12.75">
      <c r="A308" s="144"/>
      <c r="B308" s="139"/>
      <c r="C308" s="139"/>
      <c r="D308" s="167"/>
      <c r="E308" s="44"/>
      <c r="F308" s="44"/>
      <c r="G308" s="46"/>
      <c r="H308" s="46"/>
    </row>
    <row r="309" spans="1:8" ht="12.75">
      <c r="A309" s="144"/>
      <c r="B309" s="139"/>
      <c r="C309" s="139"/>
      <c r="D309" s="167"/>
      <c r="E309" s="44"/>
      <c r="F309" s="44"/>
      <c r="G309" s="46"/>
      <c r="H309" s="46"/>
    </row>
    <row r="310" spans="1:8" ht="12.75">
      <c r="A310" s="144"/>
      <c r="B310" s="139"/>
      <c r="C310" s="139"/>
      <c r="D310" s="167"/>
      <c r="E310" s="44"/>
      <c r="F310" s="44"/>
      <c r="G310" s="46"/>
      <c r="H310" s="46"/>
    </row>
    <row r="311" spans="1:8" ht="12.75">
      <c r="A311" s="144"/>
      <c r="B311" s="139"/>
      <c r="C311" s="139"/>
      <c r="D311" s="167"/>
      <c r="E311" s="44"/>
      <c r="F311" s="44"/>
      <c r="G311" s="46"/>
      <c r="H311" s="46"/>
    </row>
    <row r="312" spans="1:8" ht="12.75">
      <c r="A312" s="144"/>
      <c r="B312" s="139"/>
      <c r="C312" s="139"/>
      <c r="D312" s="167"/>
      <c r="E312" s="44"/>
      <c r="F312" s="44"/>
      <c r="G312" s="46"/>
      <c r="H312" s="46"/>
    </row>
    <row r="313" spans="1:8" ht="12.75">
      <c r="A313" s="144"/>
      <c r="B313" s="139"/>
      <c r="C313" s="139"/>
      <c r="D313" s="167"/>
      <c r="E313" s="44"/>
      <c r="F313" s="44"/>
      <c r="G313" s="46"/>
      <c r="H313" s="46"/>
    </row>
    <row r="314" spans="1:8" ht="12.75">
      <c r="A314" s="144"/>
      <c r="B314" s="139"/>
      <c r="C314" s="139"/>
      <c r="D314" s="167"/>
      <c r="E314" s="44"/>
      <c r="F314" s="44"/>
      <c r="G314" s="46"/>
      <c r="H314" s="46"/>
    </row>
    <row r="315" spans="1:8" ht="12.75">
      <c r="A315" s="144"/>
      <c r="B315" s="139"/>
      <c r="C315" s="139"/>
      <c r="D315" s="167"/>
      <c r="E315" s="44"/>
      <c r="F315" s="44"/>
      <c r="G315" s="46"/>
      <c r="H315" s="46"/>
    </row>
    <row r="316" spans="1:8" ht="12.75">
      <c r="A316" s="144"/>
      <c r="B316" s="139"/>
      <c r="C316" s="139"/>
      <c r="D316" s="167"/>
      <c r="E316" s="44"/>
      <c r="F316" s="44"/>
      <c r="G316" s="46"/>
      <c r="H316" s="46"/>
    </row>
    <row r="317" spans="1:8" ht="12.75">
      <c r="A317" s="144"/>
      <c r="B317" s="139"/>
      <c r="C317" s="139"/>
      <c r="D317" s="167"/>
      <c r="E317" s="44"/>
      <c r="F317" s="44"/>
      <c r="G317" s="46"/>
      <c r="H317" s="46"/>
    </row>
    <row r="318" spans="1:8" ht="12.75">
      <c r="A318" s="144"/>
      <c r="B318" s="139"/>
      <c r="C318" s="139"/>
      <c r="D318" s="167"/>
      <c r="E318" s="44"/>
      <c r="F318" s="44"/>
      <c r="G318" s="46"/>
      <c r="H318" s="46"/>
    </row>
    <row r="319" spans="1:8" ht="12.75">
      <c r="A319" s="144"/>
      <c r="B319" s="139"/>
      <c r="C319" s="139"/>
      <c r="D319" s="167"/>
      <c r="E319" s="44"/>
      <c r="F319" s="44"/>
      <c r="G319" s="46"/>
      <c r="H319" s="46"/>
    </row>
    <row r="320" spans="1:8" ht="12.75">
      <c r="A320" s="144"/>
      <c r="B320" s="139"/>
      <c r="C320" s="139"/>
      <c r="D320" s="167"/>
      <c r="E320" s="44"/>
      <c r="F320" s="44"/>
      <c r="G320" s="46"/>
      <c r="H320" s="46"/>
    </row>
    <row r="321" spans="1:8" ht="12.75">
      <c r="A321" s="144"/>
      <c r="B321" s="139"/>
      <c r="C321" s="139"/>
      <c r="D321" s="167"/>
      <c r="E321" s="44"/>
      <c r="F321" s="44"/>
      <c r="G321" s="46"/>
      <c r="H321" s="46"/>
    </row>
    <row r="322" spans="1:8" ht="12.75">
      <c r="A322" s="144"/>
      <c r="B322" s="139"/>
      <c r="C322" s="139"/>
      <c r="D322" s="167"/>
      <c r="E322" s="44"/>
      <c r="F322" s="44"/>
      <c r="G322" s="46"/>
      <c r="H322" s="46"/>
    </row>
    <row r="323" spans="1:8" ht="12.75">
      <c r="A323" s="144"/>
      <c r="B323" s="139"/>
      <c r="C323" s="139"/>
      <c r="D323" s="167"/>
      <c r="E323" s="44"/>
      <c r="F323" s="44"/>
      <c r="G323" s="46"/>
      <c r="H323" s="46"/>
    </row>
    <row r="324" spans="1:8" ht="12.75">
      <c r="A324" s="144"/>
      <c r="B324" s="139"/>
      <c r="C324" s="139"/>
      <c r="D324" s="167"/>
      <c r="E324" s="44"/>
      <c r="F324" s="44"/>
      <c r="G324" s="46"/>
      <c r="H324" s="46"/>
    </row>
    <row r="325" spans="1:8" ht="12.75">
      <c r="A325" s="144"/>
      <c r="B325" s="139"/>
      <c r="C325" s="139"/>
      <c r="D325" s="167"/>
      <c r="E325" s="44"/>
      <c r="F325" s="44"/>
      <c r="G325" s="46"/>
      <c r="H325" s="46"/>
    </row>
    <row r="326" spans="1:8" ht="12.75">
      <c r="A326" s="144"/>
      <c r="B326" s="139"/>
      <c r="C326" s="139"/>
      <c r="D326" s="167"/>
      <c r="E326" s="44"/>
      <c r="F326" s="44"/>
      <c r="G326" s="46"/>
      <c r="H326" s="46"/>
    </row>
    <row r="327" spans="1:8" ht="12.75">
      <c r="A327" s="144"/>
      <c r="B327" s="139"/>
      <c r="C327" s="139"/>
      <c r="D327" s="167"/>
      <c r="E327" s="44"/>
      <c r="F327" s="44"/>
      <c r="G327" s="46"/>
      <c r="H327" s="46"/>
    </row>
    <row r="328" spans="1:8" ht="12.75">
      <c r="A328" s="144"/>
      <c r="B328" s="139"/>
      <c r="C328" s="139"/>
      <c r="D328" s="167"/>
      <c r="E328" s="44"/>
      <c r="F328" s="44"/>
      <c r="G328" s="46"/>
      <c r="H328" s="46"/>
    </row>
    <row r="329" spans="1:8" ht="12.75">
      <c r="A329" s="144"/>
      <c r="B329" s="139"/>
      <c r="C329" s="139"/>
      <c r="D329" s="167"/>
      <c r="E329" s="44"/>
      <c r="F329" s="44"/>
      <c r="G329" s="46"/>
      <c r="H329" s="46"/>
    </row>
    <row r="330" spans="1:8" ht="12.75">
      <c r="A330" s="144"/>
      <c r="B330" s="139"/>
      <c r="C330" s="139"/>
      <c r="D330" s="167"/>
      <c r="E330" s="44"/>
      <c r="F330" s="44"/>
      <c r="G330" s="46"/>
      <c r="H330" s="46"/>
    </row>
    <row r="331" spans="1:8" ht="12.75">
      <c r="A331" s="144"/>
      <c r="B331" s="139"/>
      <c r="C331" s="139"/>
      <c r="D331" s="167"/>
      <c r="E331" s="44"/>
      <c r="F331" s="44"/>
      <c r="G331" s="46"/>
      <c r="H331" s="46"/>
    </row>
    <row r="332" spans="1:8" ht="12.75">
      <c r="A332" s="144"/>
      <c r="B332" s="139"/>
      <c r="C332" s="139"/>
      <c r="D332" s="167"/>
      <c r="E332" s="44"/>
      <c r="F332" s="44"/>
      <c r="G332" s="46"/>
      <c r="H332" s="46"/>
    </row>
    <row r="333" spans="1:8" ht="12.75">
      <c r="A333" s="144"/>
      <c r="B333" s="139"/>
      <c r="C333" s="139"/>
      <c r="D333" s="167"/>
      <c r="E333" s="44"/>
      <c r="F333" s="44"/>
      <c r="G333" s="46"/>
      <c r="H333" s="46"/>
    </row>
    <row r="334" spans="1:8" ht="12.75">
      <c r="A334" s="144"/>
      <c r="B334" s="139"/>
      <c r="C334" s="139"/>
      <c r="D334" s="167"/>
      <c r="E334" s="44"/>
      <c r="F334" s="44"/>
      <c r="G334" s="46"/>
      <c r="H334" s="46"/>
    </row>
    <row r="335" spans="1:8" ht="12.75">
      <c r="A335" s="144"/>
      <c r="B335" s="139"/>
      <c r="C335" s="139"/>
      <c r="D335" s="167"/>
      <c r="E335" s="44"/>
      <c r="F335" s="44"/>
      <c r="G335" s="46"/>
      <c r="H335" s="46"/>
    </row>
    <row r="336" spans="1:8" ht="12.75">
      <c r="A336" s="144"/>
      <c r="B336" s="139"/>
      <c r="C336" s="139"/>
      <c r="D336" s="167"/>
      <c r="E336" s="44"/>
      <c r="F336" s="44"/>
      <c r="G336" s="46"/>
      <c r="H336" s="46"/>
    </row>
    <row r="337" spans="1:8" ht="12.75">
      <c r="A337" s="144"/>
      <c r="B337" s="139"/>
      <c r="C337" s="139"/>
      <c r="D337" s="167"/>
      <c r="E337" s="44"/>
      <c r="F337" s="44"/>
      <c r="G337" s="46"/>
      <c r="H337" s="46"/>
    </row>
    <row r="338" spans="1:8" ht="12.75">
      <c r="A338" s="144"/>
      <c r="B338" s="139"/>
      <c r="C338" s="139"/>
      <c r="D338" s="167"/>
      <c r="E338" s="44"/>
      <c r="F338" s="44"/>
      <c r="G338" s="46"/>
      <c r="H338" s="46"/>
    </row>
    <row r="339" spans="1:8" ht="12.75">
      <c r="A339" s="144"/>
      <c r="B339" s="139"/>
      <c r="C339" s="139"/>
      <c r="D339" s="167"/>
      <c r="E339" s="44"/>
      <c r="F339" s="44"/>
      <c r="G339" s="46"/>
      <c r="H339" s="46"/>
    </row>
    <row r="340" spans="1:8" ht="12.75">
      <c r="A340" s="144"/>
      <c r="B340" s="139"/>
      <c r="C340" s="139"/>
      <c r="D340" s="167"/>
      <c r="E340" s="44"/>
      <c r="F340" s="44"/>
      <c r="G340" s="46"/>
      <c r="H340" s="46"/>
    </row>
    <row r="341" spans="1:8" ht="12.75">
      <c r="A341" s="144"/>
      <c r="B341" s="139"/>
      <c r="C341" s="139"/>
      <c r="D341" s="167"/>
      <c r="E341" s="44"/>
      <c r="F341" s="44"/>
      <c r="G341" s="46"/>
      <c r="H341" s="46"/>
    </row>
    <row r="342" spans="1:8" ht="12.75">
      <c r="A342" s="144"/>
      <c r="B342" s="139"/>
      <c r="C342" s="139"/>
      <c r="D342" s="167"/>
      <c r="E342" s="44"/>
      <c r="F342" s="44"/>
      <c r="G342" s="46"/>
      <c r="H342" s="46"/>
    </row>
    <row r="343" spans="1:8" ht="12.75">
      <c r="A343" s="144"/>
      <c r="B343" s="139"/>
      <c r="C343" s="139"/>
      <c r="D343" s="167"/>
      <c r="E343" s="44"/>
      <c r="F343" s="44"/>
      <c r="G343" s="46"/>
      <c r="H343" s="46"/>
    </row>
    <row r="344" spans="1:8" ht="12.75">
      <c r="A344" s="144"/>
      <c r="B344" s="139"/>
      <c r="C344" s="139"/>
      <c r="D344" s="167"/>
      <c r="E344" s="44"/>
      <c r="F344" s="44"/>
      <c r="G344" s="46"/>
      <c r="H344" s="46"/>
    </row>
    <row r="345" spans="1:8" ht="12.75">
      <c r="A345" s="144"/>
      <c r="B345" s="139"/>
      <c r="C345" s="139"/>
      <c r="D345" s="167"/>
      <c r="E345" s="44"/>
      <c r="F345" s="44"/>
      <c r="G345" s="46"/>
      <c r="H345" s="46"/>
    </row>
    <row r="346" spans="1:8" ht="12.75">
      <c r="A346" s="144"/>
      <c r="B346" s="139"/>
      <c r="C346" s="139"/>
      <c r="D346" s="167"/>
      <c r="E346" s="44"/>
      <c r="F346" s="44"/>
      <c r="G346" s="46"/>
      <c r="H346" s="46"/>
    </row>
    <row r="347" spans="1:8" ht="12.75">
      <c r="A347" s="144"/>
      <c r="B347" s="139"/>
      <c r="C347" s="139"/>
      <c r="D347" s="167"/>
      <c r="E347" s="44"/>
      <c r="F347" s="44"/>
      <c r="G347" s="46"/>
      <c r="H347" s="46"/>
    </row>
    <row r="348" spans="1:8" ht="12.75">
      <c r="A348" s="144"/>
      <c r="B348" s="139"/>
      <c r="C348" s="139"/>
      <c r="D348" s="167"/>
      <c r="E348" s="44"/>
      <c r="F348" s="44"/>
      <c r="G348" s="46"/>
      <c r="H348" s="46"/>
    </row>
    <row r="349" spans="1:8" ht="12.75">
      <c r="A349" s="144"/>
      <c r="B349" s="139"/>
      <c r="C349" s="139"/>
      <c r="D349" s="167"/>
      <c r="E349" s="44"/>
      <c r="F349" s="44"/>
      <c r="G349" s="46"/>
      <c r="H349" s="46"/>
    </row>
    <row r="350" spans="1:8" ht="12.75">
      <c r="A350" s="144"/>
      <c r="B350" s="139"/>
      <c r="C350" s="139"/>
      <c r="D350" s="167"/>
      <c r="E350" s="44"/>
      <c r="F350" s="44"/>
      <c r="G350" s="46"/>
      <c r="H350" s="46"/>
    </row>
    <row r="351" spans="1:8" ht="12.75">
      <c r="A351" s="144"/>
      <c r="B351" s="139"/>
      <c r="C351" s="139"/>
      <c r="D351" s="167"/>
      <c r="E351" s="44"/>
      <c r="F351" s="44"/>
      <c r="G351" s="46"/>
      <c r="H351" s="46"/>
    </row>
    <row r="352" spans="1:8" ht="12.75">
      <c r="A352" s="144"/>
      <c r="B352" s="139"/>
      <c r="C352" s="139"/>
      <c r="D352" s="167"/>
      <c r="E352" s="44"/>
      <c r="F352" s="44"/>
      <c r="G352" s="46"/>
      <c r="H352" s="46"/>
    </row>
    <row r="353" spans="1:8" ht="12.75">
      <c r="A353" s="144"/>
      <c r="B353" s="139"/>
      <c r="C353" s="139"/>
      <c r="D353" s="167"/>
      <c r="E353" s="44"/>
      <c r="F353" s="44"/>
      <c r="G353" s="46"/>
      <c r="H353" s="46"/>
    </row>
    <row r="354" spans="1:8" ht="12.75">
      <c r="A354" s="144"/>
      <c r="B354" s="139"/>
      <c r="C354" s="139"/>
      <c r="D354" s="167"/>
      <c r="E354" s="44"/>
      <c r="F354" s="44"/>
      <c r="G354" s="46"/>
      <c r="H354" s="46"/>
    </row>
    <row r="355" spans="1:8" ht="12.75">
      <c r="A355" s="144"/>
      <c r="B355" s="139"/>
      <c r="C355" s="139"/>
      <c r="D355" s="167"/>
      <c r="E355" s="44"/>
      <c r="F355" s="44"/>
      <c r="G355" s="46"/>
      <c r="H355" s="46"/>
    </row>
    <row r="356" spans="1:8" ht="12.75">
      <c r="A356" s="144"/>
      <c r="B356" s="139"/>
      <c r="C356" s="139"/>
      <c r="D356" s="167"/>
      <c r="E356" s="44"/>
      <c r="F356" s="44"/>
      <c r="G356" s="46"/>
      <c r="H356" s="46"/>
    </row>
    <row r="357" spans="1:8" ht="12.75">
      <c r="A357" s="144"/>
      <c r="B357" s="139"/>
      <c r="C357" s="139"/>
      <c r="D357" s="167"/>
      <c r="E357" s="44"/>
      <c r="F357" s="44"/>
      <c r="G357" s="46"/>
      <c r="H357" s="46"/>
    </row>
    <row r="358" spans="1:8" ht="12.75">
      <c r="A358" s="144"/>
      <c r="B358" s="139"/>
      <c r="C358" s="139"/>
      <c r="D358" s="167"/>
      <c r="E358" s="44"/>
      <c r="F358" s="44"/>
      <c r="G358" s="46"/>
      <c r="H358" s="46"/>
    </row>
    <row r="359" spans="1:8" ht="12.75">
      <c r="A359" s="144"/>
      <c r="B359" s="139"/>
      <c r="C359" s="139"/>
      <c r="D359" s="167"/>
      <c r="E359" s="44"/>
      <c r="F359" s="44"/>
      <c r="G359" s="46"/>
      <c r="H359" s="46"/>
    </row>
    <row r="360" spans="1:8" ht="12.75">
      <c r="A360" s="144"/>
      <c r="B360" s="139"/>
      <c r="C360" s="139"/>
      <c r="D360" s="167"/>
      <c r="E360" s="44"/>
      <c r="F360" s="44"/>
      <c r="G360" s="46"/>
      <c r="H360" s="46"/>
    </row>
    <row r="361" spans="1:8" ht="12.75">
      <c r="A361" s="144"/>
      <c r="B361" s="139"/>
      <c r="C361" s="139"/>
      <c r="D361" s="167"/>
      <c r="E361" s="44"/>
      <c r="F361" s="44"/>
      <c r="G361" s="46"/>
      <c r="H361" s="46"/>
    </row>
    <row r="362" spans="1:8" ht="12.75">
      <c r="A362" s="144"/>
      <c r="B362" s="139"/>
      <c r="C362" s="139"/>
      <c r="D362" s="167"/>
      <c r="E362" s="44"/>
      <c r="F362" s="44"/>
      <c r="G362" s="46"/>
      <c r="H362" s="46"/>
    </row>
    <row r="363" spans="1:8" ht="12.75">
      <c r="A363" s="144"/>
      <c r="B363" s="139"/>
      <c r="C363" s="139"/>
      <c r="D363" s="167"/>
      <c r="E363" s="44"/>
      <c r="F363" s="44"/>
      <c r="G363" s="46"/>
      <c r="H363" s="46"/>
    </row>
    <row r="364" spans="1:8" ht="12.75">
      <c r="A364" s="144"/>
      <c r="B364" s="139"/>
      <c r="C364" s="139"/>
      <c r="D364" s="167"/>
      <c r="E364" s="44"/>
      <c r="F364" s="44"/>
      <c r="G364" s="46"/>
      <c r="H364" s="46"/>
    </row>
    <row r="365" spans="1:8" ht="12.75">
      <c r="A365" s="144"/>
      <c r="B365" s="139"/>
      <c r="C365" s="139"/>
      <c r="D365" s="167"/>
      <c r="E365" s="44"/>
      <c r="F365" s="44"/>
      <c r="G365" s="46"/>
      <c r="H365" s="46"/>
    </row>
    <row r="366" spans="1:8" ht="12.75">
      <c r="A366" s="144"/>
      <c r="B366" s="139"/>
      <c r="C366" s="139"/>
      <c r="D366" s="167"/>
      <c r="E366" s="44"/>
      <c r="F366" s="44"/>
      <c r="G366" s="46"/>
      <c r="H366" s="46"/>
    </row>
    <row r="367" spans="1:8" ht="12.75">
      <c r="A367" s="144"/>
      <c r="B367" s="139"/>
      <c r="C367" s="139"/>
      <c r="D367" s="167"/>
      <c r="E367" s="44"/>
      <c r="F367" s="44"/>
      <c r="G367" s="46"/>
      <c r="H367" s="46"/>
    </row>
    <row r="368" spans="1:8" ht="12.75">
      <c r="A368" s="144"/>
      <c r="B368" s="139"/>
      <c r="C368" s="139"/>
      <c r="D368" s="167"/>
      <c r="E368" s="44"/>
      <c r="F368" s="44"/>
      <c r="G368" s="46"/>
      <c r="H368" s="46"/>
    </row>
    <row r="369" spans="1:8" ht="12.75">
      <c r="A369" s="144"/>
      <c r="B369" s="139"/>
      <c r="C369" s="139"/>
      <c r="D369" s="167"/>
      <c r="E369" s="44"/>
      <c r="F369" s="44"/>
      <c r="G369" s="46"/>
      <c r="H369" s="46"/>
    </row>
    <row r="370" spans="1:8" ht="12.75">
      <c r="A370" s="144"/>
      <c r="B370" s="139"/>
      <c r="C370" s="139"/>
      <c r="D370" s="167"/>
      <c r="E370" s="44"/>
      <c r="F370" s="44"/>
      <c r="G370" s="46"/>
      <c r="H370" s="46"/>
    </row>
    <row r="371" spans="1:8" ht="12.75">
      <c r="A371" s="144"/>
      <c r="B371" s="139"/>
      <c r="C371" s="139"/>
      <c r="D371" s="167"/>
      <c r="E371" s="44"/>
      <c r="F371" s="44"/>
      <c r="G371" s="46"/>
      <c r="H371" s="46"/>
    </row>
    <row r="372" spans="1:8" ht="12.75">
      <c r="A372" s="144"/>
      <c r="B372" s="139"/>
      <c r="C372" s="139"/>
      <c r="D372" s="167"/>
      <c r="E372" s="44"/>
      <c r="F372" s="44"/>
      <c r="G372" s="46"/>
      <c r="H372" s="46"/>
    </row>
    <row r="373" spans="1:8" ht="12.75">
      <c r="A373" s="144"/>
      <c r="B373" s="139"/>
      <c r="C373" s="139"/>
      <c r="D373" s="167"/>
      <c r="E373" s="44"/>
      <c r="F373" s="44"/>
      <c r="G373" s="46"/>
      <c r="H373" s="46"/>
    </row>
    <row r="374" spans="1:8" ht="12.75">
      <c r="A374" s="144"/>
      <c r="B374" s="139"/>
      <c r="C374" s="139"/>
      <c r="D374" s="167"/>
      <c r="E374" s="44"/>
      <c r="F374" s="44"/>
      <c r="G374" s="46"/>
      <c r="H374" s="46"/>
    </row>
    <row r="375" spans="1:8" ht="12.75">
      <c r="A375" s="144"/>
      <c r="B375" s="139"/>
      <c r="C375" s="139"/>
      <c r="D375" s="167"/>
      <c r="E375" s="44"/>
      <c r="F375" s="44"/>
      <c r="G375" s="46"/>
      <c r="H375" s="46"/>
    </row>
    <row r="376" spans="1:8" ht="12.75">
      <c r="A376" s="144"/>
      <c r="B376" s="139"/>
      <c r="C376" s="139"/>
      <c r="D376" s="167"/>
      <c r="E376" s="44"/>
      <c r="F376" s="44"/>
      <c r="G376" s="46"/>
      <c r="H376" s="46"/>
    </row>
    <row r="377" spans="1:8" ht="12.75">
      <c r="A377" s="144"/>
      <c r="B377" s="139"/>
      <c r="C377" s="139"/>
      <c r="D377" s="167"/>
      <c r="E377" s="44"/>
      <c r="F377" s="44"/>
      <c r="G377" s="46"/>
      <c r="H377" s="46"/>
    </row>
    <row r="378" spans="1:8" ht="12.75">
      <c r="A378" s="144"/>
      <c r="B378" s="139"/>
      <c r="C378" s="139"/>
      <c r="D378" s="167"/>
      <c r="E378" s="44"/>
      <c r="F378" s="44"/>
      <c r="G378" s="46"/>
      <c r="H378" s="46"/>
    </row>
    <row r="379" spans="1:8" ht="12.75">
      <c r="A379" s="144"/>
      <c r="B379" s="139"/>
      <c r="C379" s="139"/>
      <c r="D379" s="167"/>
      <c r="E379" s="44"/>
      <c r="F379" s="44"/>
      <c r="G379" s="46"/>
      <c r="H379" s="46"/>
    </row>
    <row r="380" spans="1:8" ht="12.75">
      <c r="A380" s="144"/>
      <c r="B380" s="139"/>
      <c r="C380" s="139"/>
      <c r="D380" s="167"/>
      <c r="E380" s="44"/>
      <c r="F380" s="44"/>
      <c r="G380" s="46"/>
      <c r="H380" s="46"/>
    </row>
    <row r="381" spans="1:8" ht="12.75">
      <c r="A381" s="144"/>
      <c r="B381" s="139"/>
      <c r="C381" s="139"/>
      <c r="D381" s="167"/>
      <c r="E381" s="44"/>
      <c r="F381" s="44"/>
      <c r="G381" s="46"/>
      <c r="H381" s="46"/>
    </row>
    <row r="382" spans="1:8" ht="12.75">
      <c r="A382" s="144"/>
      <c r="B382" s="139"/>
      <c r="C382" s="139"/>
      <c r="D382" s="167"/>
      <c r="E382" s="44"/>
      <c r="F382" s="44"/>
      <c r="G382" s="46"/>
      <c r="H382" s="46"/>
    </row>
    <row r="383" spans="1:8" ht="12.75">
      <c r="A383" s="144"/>
      <c r="B383" s="139"/>
      <c r="C383" s="139"/>
      <c r="D383" s="167"/>
      <c r="E383" s="44"/>
      <c r="F383" s="44"/>
      <c r="G383" s="46"/>
      <c r="H383" s="46"/>
    </row>
    <row r="384" spans="1:8" ht="12.75">
      <c r="A384" s="144"/>
      <c r="B384" s="139"/>
      <c r="C384" s="139"/>
      <c r="D384" s="167"/>
      <c r="E384" s="44"/>
      <c r="F384" s="44"/>
      <c r="G384" s="46"/>
      <c r="H384" s="46"/>
    </row>
    <row r="385" spans="1:8" ht="12.75">
      <c r="A385" s="144"/>
      <c r="B385" s="139"/>
      <c r="C385" s="139"/>
      <c r="D385" s="167"/>
      <c r="E385" s="44"/>
      <c r="F385" s="44"/>
      <c r="G385" s="46"/>
      <c r="H385" s="46"/>
    </row>
    <row r="386" spans="1:8" ht="12.75">
      <c r="A386" s="144"/>
      <c r="B386" s="139"/>
      <c r="C386" s="139"/>
      <c r="D386" s="167"/>
      <c r="E386" s="44"/>
      <c r="F386" s="44"/>
      <c r="G386" s="46"/>
      <c r="H386" s="46"/>
    </row>
    <row r="387" spans="1:8" ht="12.75">
      <c r="A387" s="144"/>
      <c r="B387" s="139"/>
      <c r="C387" s="139"/>
      <c r="D387" s="167"/>
      <c r="E387" s="44"/>
      <c r="F387" s="44"/>
      <c r="G387" s="46"/>
      <c r="H387" s="46"/>
    </row>
    <row r="388" spans="1:8" ht="12.75">
      <c r="A388" s="144"/>
      <c r="B388" s="139"/>
      <c r="C388" s="139"/>
      <c r="D388" s="167"/>
      <c r="E388" s="44"/>
      <c r="F388" s="44"/>
      <c r="G388" s="46"/>
      <c r="H388" s="46"/>
    </row>
    <row r="389" spans="1:8" ht="12.75">
      <c r="A389" s="144"/>
      <c r="B389" s="139"/>
      <c r="C389" s="139"/>
      <c r="D389" s="167"/>
      <c r="E389" s="44"/>
      <c r="F389" s="44"/>
      <c r="G389" s="46"/>
      <c r="H389" s="46"/>
    </row>
    <row r="390" spans="1:8" ht="12.75">
      <c r="A390" s="144"/>
      <c r="B390" s="139"/>
      <c r="C390" s="139"/>
      <c r="D390" s="167"/>
      <c r="E390" s="44"/>
      <c r="F390" s="44"/>
      <c r="G390" s="46"/>
      <c r="H390" s="46"/>
    </row>
    <row r="391" spans="1:8" ht="12.75">
      <c r="A391" s="144"/>
      <c r="B391" s="139"/>
      <c r="C391" s="139"/>
      <c r="D391" s="167"/>
      <c r="E391" s="44"/>
      <c r="F391" s="44"/>
      <c r="G391" s="46"/>
      <c r="H391" s="46"/>
    </row>
    <row r="392" spans="1:8" ht="12.75">
      <c r="A392" s="144"/>
      <c r="B392" s="139"/>
      <c r="C392" s="139"/>
      <c r="D392" s="167"/>
      <c r="E392" s="44"/>
      <c r="F392" s="44"/>
      <c r="G392" s="46"/>
      <c r="H392" s="46"/>
    </row>
    <row r="393" spans="1:8" ht="12.75">
      <c r="A393" s="144"/>
      <c r="B393" s="139"/>
      <c r="C393" s="139"/>
      <c r="D393" s="167"/>
      <c r="E393" s="44"/>
      <c r="F393" s="44"/>
      <c r="G393" s="46"/>
      <c r="H393" s="46"/>
    </row>
    <row r="394" spans="1:8" ht="12.75">
      <c r="A394" s="144"/>
      <c r="B394" s="139"/>
      <c r="C394" s="139"/>
      <c r="D394" s="167"/>
      <c r="E394" s="44"/>
      <c r="F394" s="44"/>
      <c r="G394" s="46"/>
      <c r="H394" s="46"/>
    </row>
    <row r="395" spans="1:8" ht="12.75">
      <c r="A395" s="144"/>
      <c r="B395" s="139"/>
      <c r="C395" s="139"/>
      <c r="D395" s="167"/>
      <c r="E395" s="44"/>
      <c r="F395" s="44"/>
      <c r="G395" s="46"/>
      <c r="H395" s="46"/>
    </row>
    <row r="396" spans="1:8" ht="12.75">
      <c r="A396" s="144"/>
      <c r="B396" s="139"/>
      <c r="C396" s="139"/>
      <c r="D396" s="167"/>
      <c r="E396" s="44"/>
      <c r="F396" s="44"/>
      <c r="G396" s="46"/>
      <c r="H396" s="46"/>
    </row>
    <row r="397" spans="1:8" ht="12.75">
      <c r="A397" s="144"/>
      <c r="B397" s="139"/>
      <c r="C397" s="139"/>
      <c r="D397" s="167"/>
      <c r="E397" s="44"/>
      <c r="F397" s="44"/>
      <c r="G397" s="46"/>
      <c r="H397" s="46"/>
    </row>
    <row r="398" spans="1:8" ht="12.75">
      <c r="A398" s="144"/>
      <c r="B398" s="139"/>
      <c r="C398" s="139"/>
      <c r="D398" s="167"/>
      <c r="E398" s="44"/>
      <c r="F398" s="44"/>
      <c r="G398" s="46"/>
      <c r="H398" s="46"/>
    </row>
    <row r="399" spans="1:8" ht="12.75">
      <c r="A399" s="144"/>
      <c r="B399" s="139"/>
      <c r="C399" s="139"/>
      <c r="D399" s="167"/>
      <c r="E399" s="44"/>
      <c r="F399" s="44"/>
      <c r="G399" s="46"/>
      <c r="H399" s="46"/>
    </row>
    <row r="400" spans="1:8" ht="12.75">
      <c r="A400" s="144"/>
      <c r="B400" s="139"/>
      <c r="C400" s="139"/>
      <c r="D400" s="167"/>
      <c r="E400" s="44"/>
      <c r="F400" s="44"/>
      <c r="G400" s="46"/>
      <c r="H400" s="46"/>
    </row>
    <row r="401" spans="1:8" ht="12.75">
      <c r="A401" s="144"/>
      <c r="B401" s="139"/>
      <c r="C401" s="139"/>
      <c r="D401" s="167"/>
      <c r="E401" s="44"/>
      <c r="F401" s="44"/>
      <c r="G401" s="46"/>
      <c r="H401" s="46"/>
    </row>
    <row r="402" spans="1:8" ht="12.75">
      <c r="A402" s="144"/>
      <c r="B402" s="139"/>
      <c r="C402" s="139"/>
      <c r="D402" s="167"/>
      <c r="E402" s="44"/>
      <c r="F402" s="44"/>
      <c r="G402" s="46"/>
      <c r="H402" s="46"/>
    </row>
    <row r="403" spans="1:8" ht="12.75">
      <c r="A403" s="144"/>
      <c r="B403" s="139"/>
      <c r="C403" s="139"/>
      <c r="D403" s="167"/>
      <c r="E403" s="44"/>
      <c r="F403" s="44"/>
      <c r="G403" s="46"/>
      <c r="H403" s="46"/>
    </row>
    <row r="404" spans="1:8" ht="12.75">
      <c r="A404" s="144"/>
      <c r="B404" s="139"/>
      <c r="C404" s="139"/>
      <c r="D404" s="167"/>
      <c r="E404" s="44"/>
      <c r="F404" s="44"/>
      <c r="G404" s="46"/>
      <c r="H404" s="46"/>
    </row>
    <row r="405" spans="1:8" ht="12.75">
      <c r="A405" s="144"/>
      <c r="B405" s="139"/>
      <c r="C405" s="139"/>
      <c r="D405" s="167"/>
      <c r="E405" s="44"/>
      <c r="F405" s="44"/>
      <c r="G405" s="46"/>
      <c r="H405" s="46"/>
    </row>
    <row r="406" spans="1:8" ht="12.75">
      <c r="A406" s="144"/>
      <c r="B406" s="139"/>
      <c r="C406" s="139"/>
      <c r="D406" s="167"/>
      <c r="E406" s="44"/>
      <c r="F406" s="44"/>
      <c r="G406" s="46"/>
      <c r="H406" s="46"/>
    </row>
    <row r="407" spans="1:8" ht="12.75">
      <c r="A407" s="144"/>
      <c r="B407" s="139"/>
      <c r="C407" s="139"/>
      <c r="D407" s="167"/>
      <c r="E407" s="44"/>
      <c r="F407" s="44"/>
      <c r="G407" s="46"/>
      <c r="H407" s="46"/>
    </row>
    <row r="408" spans="1:8" ht="12.75">
      <c r="A408" s="144"/>
      <c r="B408" s="139"/>
      <c r="C408" s="139"/>
      <c r="D408" s="167"/>
      <c r="E408" s="44"/>
      <c r="F408" s="44"/>
      <c r="G408" s="46"/>
      <c r="H408" s="46"/>
    </row>
    <row r="409" spans="1:8" ht="12.75">
      <c r="A409" s="144"/>
      <c r="B409" s="139"/>
      <c r="C409" s="139"/>
      <c r="D409" s="167"/>
      <c r="E409" s="44"/>
      <c r="F409" s="44"/>
      <c r="G409" s="46"/>
      <c r="H409" s="46"/>
    </row>
    <row r="410" spans="1:8" ht="12.75">
      <c r="A410" s="144"/>
      <c r="B410" s="139"/>
      <c r="C410" s="139"/>
      <c r="D410" s="167"/>
      <c r="E410" s="44"/>
      <c r="F410" s="44"/>
      <c r="G410" s="46"/>
      <c r="H410" s="46"/>
    </row>
    <row r="411" spans="1:8" ht="12.75">
      <c r="A411" s="144"/>
      <c r="B411" s="139"/>
      <c r="C411" s="139"/>
      <c r="D411" s="167"/>
      <c r="E411" s="44"/>
      <c r="F411" s="44"/>
      <c r="G411" s="46"/>
      <c r="H411" s="46"/>
    </row>
    <row r="412" spans="1:8" ht="12.75">
      <c r="A412" s="144"/>
      <c r="B412" s="139"/>
      <c r="C412" s="139"/>
      <c r="D412" s="167"/>
      <c r="E412" s="44"/>
      <c r="F412" s="44"/>
      <c r="G412" s="46"/>
      <c r="H412" s="46"/>
    </row>
    <row r="413" spans="1:8" ht="12.75">
      <c r="A413" s="144"/>
      <c r="B413" s="139"/>
      <c r="C413" s="139"/>
      <c r="D413" s="167"/>
      <c r="E413" s="44"/>
      <c r="F413" s="44"/>
      <c r="G413" s="46"/>
      <c r="H413" s="46"/>
    </row>
    <row r="414" spans="1:8" ht="12.75">
      <c r="A414" s="144"/>
      <c r="B414" s="139"/>
      <c r="C414" s="139"/>
      <c r="D414" s="167"/>
      <c r="E414" s="44"/>
      <c r="F414" s="44"/>
      <c r="G414" s="46"/>
      <c r="H414" s="46"/>
    </row>
    <row r="415" spans="1:8" ht="12.75">
      <c r="A415" s="144"/>
      <c r="B415" s="139"/>
      <c r="C415" s="139"/>
      <c r="D415" s="167"/>
      <c r="E415" s="44"/>
      <c r="F415" s="44"/>
      <c r="G415" s="46"/>
      <c r="H415" s="46"/>
    </row>
    <row r="416" spans="1:8" ht="12.75">
      <c r="A416" s="144"/>
      <c r="B416" s="139"/>
      <c r="C416" s="139"/>
      <c r="D416" s="167"/>
      <c r="E416" s="44"/>
      <c r="F416" s="44"/>
      <c r="G416" s="46"/>
      <c r="H416" s="46"/>
    </row>
    <row r="417" spans="1:8" ht="12.75">
      <c r="A417" s="144"/>
      <c r="B417" s="139"/>
      <c r="C417" s="139"/>
      <c r="D417" s="167"/>
      <c r="E417" s="44"/>
      <c r="F417" s="44"/>
      <c r="G417" s="46"/>
      <c r="H417" s="46"/>
    </row>
    <row r="418" spans="1:8" ht="12.75">
      <c r="A418" s="144"/>
      <c r="B418" s="139"/>
      <c r="C418" s="139"/>
      <c r="D418" s="167"/>
      <c r="E418" s="44"/>
      <c r="F418" s="44"/>
      <c r="G418" s="46"/>
      <c r="H418" s="46"/>
    </row>
    <row r="419" spans="1:8" ht="12.75">
      <c r="A419" s="144"/>
      <c r="B419" s="139"/>
      <c r="C419" s="139"/>
      <c r="D419" s="167"/>
      <c r="E419" s="44"/>
      <c r="F419" s="44"/>
      <c r="G419" s="46"/>
      <c r="H419" s="46"/>
    </row>
    <row r="420" spans="1:8" ht="12.75">
      <c r="A420" s="144"/>
      <c r="B420" s="139"/>
      <c r="C420" s="139"/>
      <c r="D420" s="167"/>
      <c r="E420" s="44"/>
      <c r="F420" s="44"/>
      <c r="G420" s="46"/>
      <c r="H420" s="46"/>
    </row>
    <row r="421" spans="1:8" ht="12.75">
      <c r="A421" s="144"/>
      <c r="B421" s="139"/>
      <c r="C421" s="139"/>
      <c r="D421" s="167"/>
      <c r="E421" s="44"/>
      <c r="F421" s="44"/>
      <c r="G421" s="46"/>
      <c r="H421" s="46"/>
    </row>
    <row r="422" spans="1:8" ht="12.75">
      <c r="A422" s="144"/>
      <c r="B422" s="139"/>
      <c r="C422" s="139"/>
      <c r="D422" s="167"/>
      <c r="E422" s="44"/>
      <c r="F422" s="44"/>
      <c r="G422" s="46"/>
      <c r="H422" s="46"/>
    </row>
    <row r="423" spans="1:8" ht="12.75">
      <c r="A423" s="144"/>
      <c r="B423" s="139"/>
      <c r="C423" s="139"/>
      <c r="D423" s="167"/>
      <c r="E423" s="44"/>
      <c r="F423" s="44"/>
      <c r="G423" s="46"/>
      <c r="H423" s="46"/>
    </row>
    <row r="424" spans="1:8" ht="12.75">
      <c r="A424" s="144"/>
      <c r="B424" s="139"/>
      <c r="C424" s="139"/>
      <c r="D424" s="167"/>
      <c r="E424" s="44"/>
      <c r="F424" s="44"/>
      <c r="G424" s="46"/>
      <c r="H424" s="46"/>
    </row>
    <row r="425" spans="1:8" ht="12.75">
      <c r="A425" s="144"/>
      <c r="B425" s="139"/>
      <c r="C425" s="139"/>
      <c r="D425" s="167"/>
      <c r="E425" s="44"/>
      <c r="F425" s="44"/>
      <c r="G425" s="46"/>
      <c r="H425" s="46"/>
    </row>
    <row r="426" spans="1:8" ht="12.75">
      <c r="A426" s="144"/>
      <c r="B426" s="139"/>
      <c r="C426" s="139"/>
      <c r="D426" s="167"/>
      <c r="E426" s="44"/>
      <c r="F426" s="44"/>
      <c r="G426" s="46"/>
      <c r="H426" s="46"/>
    </row>
    <row r="427" spans="1:8" ht="12.75">
      <c r="A427" s="144"/>
      <c r="B427" s="139"/>
      <c r="C427" s="139"/>
      <c r="D427" s="167"/>
      <c r="E427" s="44"/>
      <c r="F427" s="44"/>
      <c r="G427" s="46"/>
      <c r="H427" s="46"/>
    </row>
    <row r="428" spans="1:8" ht="12.75">
      <c r="A428" s="144"/>
      <c r="B428" s="139"/>
      <c r="C428" s="139"/>
      <c r="D428" s="167"/>
      <c r="E428" s="44"/>
      <c r="F428" s="44"/>
      <c r="G428" s="46"/>
      <c r="H428" s="46"/>
    </row>
    <row r="429" spans="1:8" ht="12.75">
      <c r="A429" s="144"/>
      <c r="B429" s="139"/>
      <c r="C429" s="139"/>
      <c r="D429" s="167"/>
      <c r="E429" s="44"/>
      <c r="F429" s="44"/>
      <c r="G429" s="46"/>
      <c r="H429" s="46"/>
    </row>
    <row r="430" spans="1:8" ht="12.75">
      <c r="A430" s="144"/>
      <c r="B430" s="139"/>
      <c r="C430" s="139"/>
      <c r="D430" s="167"/>
      <c r="E430" s="44"/>
      <c r="F430" s="44"/>
      <c r="G430" s="46"/>
      <c r="H430" s="46"/>
    </row>
    <row r="431" spans="1:8" ht="12.75">
      <c r="A431" s="144"/>
      <c r="B431" s="139"/>
      <c r="C431" s="139"/>
      <c r="D431" s="167"/>
      <c r="E431" s="44"/>
      <c r="F431" s="44"/>
      <c r="G431" s="46"/>
      <c r="H431" s="46"/>
    </row>
    <row r="432" spans="1:8" ht="12.75">
      <c r="A432" s="144"/>
      <c r="B432" s="139"/>
      <c r="C432" s="139"/>
      <c r="D432" s="167"/>
      <c r="E432" s="44"/>
      <c r="F432" s="44"/>
      <c r="G432" s="46"/>
      <c r="H432" s="46"/>
    </row>
    <row r="433" spans="1:8" ht="12.75">
      <c r="A433" s="144"/>
      <c r="B433" s="139"/>
      <c r="C433" s="139"/>
      <c r="D433" s="167"/>
      <c r="E433" s="44"/>
      <c r="F433" s="44"/>
      <c r="G433" s="46"/>
      <c r="H433" s="46"/>
    </row>
    <row r="434" spans="1:8" ht="12.75">
      <c r="A434" s="144"/>
      <c r="B434" s="139"/>
      <c r="C434" s="139"/>
      <c r="D434" s="167"/>
      <c r="E434" s="44"/>
      <c r="F434" s="44"/>
      <c r="G434" s="46"/>
      <c r="H434" s="46"/>
    </row>
    <row r="435" spans="1:8" ht="12.75">
      <c r="A435" s="144"/>
      <c r="B435" s="139"/>
      <c r="C435" s="139"/>
      <c r="D435" s="167"/>
      <c r="E435" s="44"/>
      <c r="F435" s="44"/>
      <c r="G435" s="46"/>
      <c r="H435" s="46"/>
    </row>
    <row r="436" spans="1:8" ht="12.75">
      <c r="A436" s="144"/>
      <c r="B436" s="139"/>
      <c r="C436" s="139"/>
      <c r="D436" s="167"/>
      <c r="E436" s="44"/>
      <c r="F436" s="44"/>
      <c r="G436" s="46"/>
      <c r="H436" s="46"/>
    </row>
    <row r="437" spans="1:8" ht="12.75">
      <c r="A437" s="144"/>
      <c r="B437" s="139"/>
      <c r="C437" s="139"/>
      <c r="D437" s="167"/>
      <c r="E437" s="44"/>
      <c r="F437" s="44"/>
      <c r="G437" s="46"/>
      <c r="H437" s="46"/>
    </row>
    <row r="438" spans="1:8" ht="12.75">
      <c r="A438" s="144"/>
      <c r="B438" s="139"/>
      <c r="C438" s="139"/>
      <c r="D438" s="167"/>
      <c r="E438" s="44"/>
      <c r="F438" s="44"/>
      <c r="G438" s="46"/>
      <c r="H438" s="46"/>
    </row>
    <row r="439" spans="1:8" ht="12.75">
      <c r="A439" s="144"/>
      <c r="B439" s="139"/>
      <c r="C439" s="139"/>
      <c r="D439" s="167"/>
      <c r="E439" s="44"/>
      <c r="F439" s="44"/>
      <c r="G439" s="46"/>
      <c r="H439" s="46"/>
    </row>
    <row r="440" spans="1:8" ht="12.75">
      <c r="A440" s="144"/>
      <c r="B440" s="139"/>
      <c r="C440" s="139"/>
      <c r="D440" s="167"/>
      <c r="E440" s="44"/>
      <c r="F440" s="44"/>
      <c r="G440" s="46"/>
      <c r="H440" s="46"/>
    </row>
    <row r="441" spans="1:8" ht="12.75">
      <c r="A441" s="144"/>
      <c r="B441" s="139"/>
      <c r="C441" s="139"/>
      <c r="D441" s="167"/>
      <c r="E441" s="44"/>
      <c r="F441" s="44"/>
      <c r="G441" s="46"/>
      <c r="H441" s="46"/>
    </row>
    <row r="442" spans="1:8" ht="12.75">
      <c r="A442" s="144"/>
      <c r="B442" s="139"/>
      <c r="C442" s="139"/>
      <c r="D442" s="167"/>
      <c r="E442" s="44"/>
      <c r="F442" s="44"/>
      <c r="G442" s="46"/>
      <c r="H442" s="46"/>
    </row>
    <row r="443" spans="1:8" ht="12.75">
      <c r="A443" s="144"/>
      <c r="B443" s="139"/>
      <c r="C443" s="139"/>
      <c r="D443" s="167"/>
      <c r="E443" s="44"/>
      <c r="F443" s="44"/>
      <c r="G443" s="46"/>
      <c r="H443" s="46"/>
    </row>
    <row r="444" spans="1:8" ht="12.75">
      <c r="A444" s="144"/>
      <c r="B444" s="139"/>
      <c r="C444" s="139"/>
      <c r="D444" s="167"/>
      <c r="E444" s="44"/>
      <c r="F444" s="44"/>
      <c r="G444" s="46"/>
      <c r="H444" s="46"/>
    </row>
    <row r="445" spans="1:8" ht="12.75">
      <c r="A445" s="144"/>
      <c r="B445" s="139"/>
      <c r="C445" s="139"/>
      <c r="D445" s="167"/>
      <c r="E445" s="44"/>
      <c r="F445" s="44"/>
      <c r="G445" s="46"/>
      <c r="H445" s="46"/>
    </row>
    <row r="446" spans="1:8" ht="12.75">
      <c r="A446" s="144"/>
      <c r="B446" s="139"/>
      <c r="C446" s="139"/>
      <c r="D446" s="167"/>
      <c r="E446" s="44"/>
      <c r="F446" s="44"/>
      <c r="G446" s="46"/>
      <c r="H446" s="46"/>
    </row>
    <row r="447" spans="1:8" ht="12.75">
      <c r="A447" s="144"/>
      <c r="B447" s="139"/>
      <c r="C447" s="139"/>
      <c r="D447" s="167"/>
      <c r="E447" s="44"/>
      <c r="F447" s="44"/>
      <c r="G447" s="46"/>
      <c r="H447" s="46"/>
    </row>
    <row r="448" spans="1:8" ht="12.75">
      <c r="A448" s="144"/>
      <c r="B448" s="139"/>
      <c r="C448" s="139"/>
      <c r="D448" s="167"/>
      <c r="E448" s="44"/>
      <c r="F448" s="44"/>
      <c r="G448" s="46"/>
      <c r="H448" s="46"/>
    </row>
    <row r="449" spans="1:8" ht="12.75">
      <c r="A449" s="144"/>
      <c r="B449" s="139"/>
      <c r="C449" s="139"/>
      <c r="D449" s="167"/>
      <c r="E449" s="44"/>
      <c r="F449" s="44"/>
      <c r="G449" s="46"/>
      <c r="H449" s="46"/>
    </row>
    <row r="450" spans="1:8" ht="12.75">
      <c r="A450" s="144"/>
      <c r="B450" s="139"/>
      <c r="C450" s="139"/>
      <c r="D450" s="167"/>
      <c r="E450" s="44"/>
      <c r="F450" s="44"/>
      <c r="G450" s="46"/>
      <c r="H450" s="46"/>
    </row>
    <row r="451" spans="1:8" ht="12.75">
      <c r="A451" s="144"/>
      <c r="B451" s="139"/>
      <c r="C451" s="139"/>
      <c r="D451" s="167"/>
      <c r="E451" s="44"/>
      <c r="F451" s="44"/>
      <c r="G451" s="46"/>
      <c r="H451" s="46"/>
    </row>
    <row r="452" spans="1:8" ht="12.75">
      <c r="A452" s="144"/>
      <c r="B452" s="139"/>
      <c r="C452" s="139"/>
      <c r="D452" s="167"/>
      <c r="E452" s="44"/>
      <c r="F452" s="44"/>
      <c r="G452" s="46"/>
      <c r="H452" s="46"/>
    </row>
    <row r="453" spans="1:8" ht="12.75">
      <c r="A453" s="144"/>
      <c r="B453" s="139"/>
      <c r="C453" s="139"/>
      <c r="D453" s="167"/>
      <c r="E453" s="44"/>
      <c r="F453" s="44"/>
      <c r="G453" s="46"/>
      <c r="H453" s="46"/>
    </row>
    <row r="454" spans="1:8" ht="12.75">
      <c r="A454" s="144"/>
      <c r="B454" s="139"/>
      <c r="C454" s="139"/>
      <c r="D454" s="167"/>
      <c r="E454" s="44"/>
      <c r="F454" s="44"/>
      <c r="G454" s="46"/>
      <c r="H454" s="46"/>
    </row>
    <row r="455" spans="1:8" ht="12.75">
      <c r="A455" s="144"/>
      <c r="B455" s="139"/>
      <c r="C455" s="139"/>
      <c r="D455" s="167"/>
      <c r="E455" s="44"/>
      <c r="F455" s="44"/>
      <c r="G455" s="46"/>
      <c r="H455" s="46"/>
    </row>
    <row r="456" spans="1:8" ht="12.75">
      <c r="A456" s="144"/>
      <c r="B456" s="139"/>
      <c r="C456" s="139"/>
      <c r="D456" s="167"/>
      <c r="E456" s="44"/>
      <c r="F456" s="44"/>
      <c r="G456" s="46"/>
      <c r="H456" s="46"/>
    </row>
    <row r="457" spans="1:8" ht="12.75">
      <c r="A457" s="144"/>
      <c r="B457" s="139"/>
      <c r="C457" s="139"/>
      <c r="D457" s="167"/>
      <c r="E457" s="44"/>
      <c r="F457" s="44"/>
      <c r="G457" s="46"/>
      <c r="H457" s="46"/>
    </row>
    <row r="458" spans="1:8" ht="12.75">
      <c r="A458" s="144"/>
      <c r="B458" s="139"/>
      <c r="C458" s="139"/>
      <c r="D458" s="167"/>
      <c r="E458" s="44"/>
      <c r="F458" s="44"/>
      <c r="G458" s="46"/>
      <c r="H458" s="46"/>
    </row>
    <row r="459" spans="1:8" ht="12.75">
      <c r="A459" s="144"/>
      <c r="B459" s="139"/>
      <c r="C459" s="139"/>
      <c r="D459" s="167"/>
      <c r="E459" s="44"/>
      <c r="F459" s="44"/>
      <c r="G459" s="46"/>
      <c r="H459" s="46"/>
    </row>
    <row r="460" spans="1:8" ht="12.75">
      <c r="A460" s="144"/>
      <c r="B460" s="139"/>
      <c r="C460" s="139"/>
      <c r="D460" s="167"/>
      <c r="E460" s="44"/>
      <c r="F460" s="44"/>
      <c r="G460" s="46"/>
      <c r="H460" s="46"/>
    </row>
    <row r="461" spans="1:8" ht="12.75">
      <c r="A461" s="144"/>
      <c r="B461" s="139"/>
      <c r="C461" s="139"/>
      <c r="D461" s="167"/>
      <c r="E461" s="44"/>
      <c r="F461" s="44"/>
      <c r="G461" s="46"/>
      <c r="H461" s="46"/>
    </row>
    <row r="462" spans="1:8" ht="12.75">
      <c r="A462" s="144"/>
      <c r="B462" s="139"/>
      <c r="C462" s="139"/>
      <c r="D462" s="167"/>
      <c r="E462" s="44"/>
      <c r="F462" s="44"/>
      <c r="G462" s="46"/>
      <c r="H462" s="46"/>
    </row>
    <row r="463" spans="1:8" ht="12.75">
      <c r="A463" s="144"/>
      <c r="B463" s="139"/>
      <c r="C463" s="139"/>
      <c r="D463" s="167"/>
      <c r="E463" s="44"/>
      <c r="F463" s="44"/>
      <c r="G463" s="46"/>
      <c r="H463" s="46"/>
    </row>
    <row r="464" spans="1:8" ht="12.75">
      <c r="A464" s="144"/>
      <c r="B464" s="139"/>
      <c r="C464" s="139"/>
      <c r="D464" s="167"/>
      <c r="E464" s="44"/>
      <c r="F464" s="44"/>
      <c r="G464" s="46"/>
      <c r="H464" s="46"/>
    </row>
    <row r="465" spans="1:8" ht="12.75">
      <c r="A465" s="144"/>
      <c r="B465" s="139"/>
      <c r="C465" s="139"/>
      <c r="D465" s="167"/>
      <c r="E465" s="44"/>
      <c r="F465" s="44"/>
      <c r="G465" s="46"/>
      <c r="H465" s="46"/>
    </row>
    <row r="466" spans="1:8" ht="12.75">
      <c r="A466" s="144"/>
      <c r="B466" s="139"/>
      <c r="C466" s="139"/>
      <c r="D466" s="167"/>
      <c r="E466" s="44"/>
      <c r="F466" s="44"/>
      <c r="G466" s="46"/>
      <c r="H466" s="46"/>
    </row>
    <row r="467" spans="1:8" ht="12.75">
      <c r="A467" s="144"/>
      <c r="B467" s="139"/>
      <c r="C467" s="139"/>
      <c r="D467" s="167"/>
      <c r="E467" s="44"/>
      <c r="F467" s="44"/>
      <c r="G467" s="46"/>
      <c r="H467" s="46"/>
    </row>
    <row r="468" spans="1:8" ht="12.75">
      <c r="A468" s="144"/>
      <c r="B468" s="139"/>
      <c r="C468" s="139"/>
      <c r="D468" s="167"/>
      <c r="E468" s="44"/>
      <c r="F468" s="44"/>
      <c r="G468" s="46"/>
      <c r="H468" s="46"/>
    </row>
    <row r="469" spans="1:8" ht="12.75">
      <c r="A469" s="144"/>
      <c r="B469" s="139"/>
      <c r="C469" s="139"/>
      <c r="D469" s="167"/>
      <c r="E469" s="44"/>
      <c r="F469" s="44"/>
      <c r="G469" s="46"/>
      <c r="H469" s="46"/>
    </row>
    <row r="470" spans="1:8" ht="12.75">
      <c r="A470" s="144"/>
      <c r="B470" s="139"/>
      <c r="C470" s="139"/>
      <c r="D470" s="167"/>
      <c r="E470" s="44"/>
      <c r="F470" s="44"/>
      <c r="G470" s="46"/>
      <c r="H470" s="46"/>
    </row>
    <row r="471" spans="1:8" ht="12.75">
      <c r="A471" s="144"/>
      <c r="B471" s="139"/>
      <c r="C471" s="139"/>
      <c r="D471" s="167"/>
      <c r="E471" s="44"/>
      <c r="F471" s="44"/>
      <c r="G471" s="46"/>
      <c r="H471" s="46"/>
    </row>
    <row r="472" spans="1:8" ht="12.75">
      <c r="A472" s="144"/>
      <c r="B472" s="139"/>
      <c r="C472" s="139"/>
      <c r="D472" s="167"/>
      <c r="E472" s="44"/>
      <c r="F472" s="44"/>
      <c r="G472" s="46"/>
      <c r="H472" s="46"/>
    </row>
    <row r="473" spans="1:8" ht="12.75">
      <c r="A473" s="144"/>
      <c r="B473" s="139"/>
      <c r="C473" s="139"/>
      <c r="D473" s="167"/>
      <c r="E473" s="44"/>
      <c r="F473" s="44"/>
      <c r="G473" s="46"/>
      <c r="H473" s="46"/>
    </row>
    <row r="474" spans="1:8" ht="12.75">
      <c r="A474" s="144"/>
      <c r="B474" s="139"/>
      <c r="C474" s="139"/>
      <c r="D474" s="167"/>
      <c r="E474" s="44"/>
      <c r="F474" s="44"/>
      <c r="G474" s="46"/>
      <c r="H474" s="46"/>
    </row>
    <row r="475" spans="1:8" ht="12.75">
      <c r="A475" s="144"/>
      <c r="B475" s="139"/>
      <c r="C475" s="139"/>
      <c r="D475" s="167"/>
      <c r="E475" s="44"/>
      <c r="F475" s="44"/>
      <c r="G475" s="46"/>
      <c r="H475" s="46"/>
    </row>
    <row r="476" spans="1:8" ht="12.75">
      <c r="A476" s="144"/>
      <c r="B476" s="139"/>
      <c r="C476" s="139"/>
      <c r="D476" s="167"/>
      <c r="E476" s="44"/>
      <c r="F476" s="44"/>
      <c r="G476" s="46"/>
      <c r="H476" s="46"/>
    </row>
    <row r="477" spans="1:8" ht="12.75">
      <c r="A477" s="144"/>
      <c r="B477" s="139"/>
      <c r="C477" s="139"/>
      <c r="D477" s="167"/>
      <c r="E477" s="44"/>
      <c r="F477" s="44"/>
      <c r="G477" s="46"/>
      <c r="H477" s="46"/>
    </row>
    <row r="478" spans="1:8" ht="12.75">
      <c r="A478" s="144"/>
      <c r="B478" s="139"/>
      <c r="C478" s="139"/>
      <c r="D478" s="167"/>
      <c r="E478" s="44"/>
      <c r="F478" s="44"/>
      <c r="G478" s="46"/>
      <c r="H478" s="46"/>
    </row>
    <row r="479" spans="1:8" ht="12.75">
      <c r="A479" s="144"/>
      <c r="B479" s="139"/>
      <c r="C479" s="139"/>
      <c r="D479" s="167"/>
      <c r="E479" s="44"/>
      <c r="F479" s="44"/>
      <c r="G479" s="46"/>
      <c r="H479" s="46"/>
    </row>
    <row r="480" spans="1:8" ht="12.75">
      <c r="A480" s="144"/>
      <c r="B480" s="139"/>
      <c r="C480" s="139"/>
      <c r="D480" s="167"/>
      <c r="E480" s="44"/>
      <c r="F480" s="44"/>
      <c r="G480" s="46"/>
      <c r="H480" s="46"/>
    </row>
    <row r="481" spans="1:8" ht="12.75">
      <c r="A481" s="144"/>
      <c r="B481" s="139"/>
      <c r="C481" s="139"/>
      <c r="D481" s="167"/>
      <c r="E481" s="44"/>
      <c r="F481" s="44"/>
      <c r="G481" s="46"/>
      <c r="H481" s="46"/>
    </row>
    <row r="482" spans="1:8" ht="12.75">
      <c r="A482" s="144"/>
      <c r="B482" s="139"/>
      <c r="C482" s="139"/>
      <c r="D482" s="167"/>
      <c r="E482" s="44"/>
      <c r="F482" s="44"/>
      <c r="G482" s="46"/>
      <c r="H482" s="46"/>
    </row>
    <row r="483" spans="1:8" ht="12.75">
      <c r="A483" s="144"/>
      <c r="B483" s="139"/>
      <c r="C483" s="139"/>
      <c r="D483" s="167"/>
      <c r="E483" s="44"/>
      <c r="F483" s="44"/>
      <c r="G483" s="46"/>
      <c r="H483" s="46"/>
    </row>
    <row r="484" spans="1:8" ht="12.75">
      <c r="A484" s="144"/>
      <c r="B484" s="139"/>
      <c r="C484" s="139"/>
      <c r="D484" s="167"/>
      <c r="E484" s="44"/>
      <c r="F484" s="44"/>
      <c r="G484" s="46"/>
      <c r="H484" s="46"/>
    </row>
    <row r="485" spans="1:8" ht="12.75">
      <c r="A485" s="144"/>
      <c r="B485" s="139"/>
      <c r="C485" s="139"/>
      <c r="D485" s="167"/>
      <c r="E485" s="44"/>
      <c r="F485" s="44"/>
      <c r="G485" s="46"/>
      <c r="H485" s="46"/>
    </row>
    <row r="486" spans="1:8" ht="12.75">
      <c r="A486" s="144"/>
      <c r="B486" s="139"/>
      <c r="C486" s="139"/>
      <c r="D486" s="167"/>
      <c r="E486" s="44"/>
      <c r="F486" s="44"/>
      <c r="G486" s="46"/>
      <c r="H486" s="46"/>
    </row>
    <row r="487" spans="1:8" ht="12.75">
      <c r="A487" s="144"/>
      <c r="B487" s="139"/>
      <c r="C487" s="139"/>
      <c r="D487" s="167"/>
      <c r="E487" s="44"/>
      <c r="F487" s="44"/>
      <c r="G487" s="46"/>
      <c r="H487" s="46"/>
    </row>
    <row r="488" spans="1:8" ht="12.75">
      <c r="A488" s="144"/>
      <c r="B488" s="139"/>
      <c r="C488" s="139"/>
      <c r="D488" s="167"/>
      <c r="E488" s="44"/>
      <c r="F488" s="44"/>
      <c r="G488" s="46"/>
      <c r="H488" s="46"/>
    </row>
    <row r="489" spans="1:8" ht="12.75">
      <c r="A489" s="144"/>
      <c r="B489" s="139"/>
      <c r="C489" s="139"/>
      <c r="D489" s="167"/>
      <c r="E489" s="44"/>
      <c r="F489" s="44"/>
      <c r="G489" s="46"/>
      <c r="H489" s="46"/>
    </row>
    <row r="490" spans="1:8" ht="12.75">
      <c r="A490" s="144"/>
      <c r="B490" s="139"/>
      <c r="C490" s="139"/>
      <c r="D490" s="167"/>
      <c r="E490" s="44"/>
      <c r="F490" s="44"/>
      <c r="G490" s="46"/>
      <c r="H490" s="46"/>
    </row>
    <row r="491" spans="1:8" ht="12.75">
      <c r="A491" s="144"/>
      <c r="B491" s="139"/>
      <c r="C491" s="139"/>
      <c r="D491" s="167"/>
      <c r="E491" s="44"/>
      <c r="F491" s="44"/>
      <c r="G491" s="46"/>
      <c r="H491" s="46"/>
    </row>
    <row r="492" spans="1:8" ht="12.75">
      <c r="A492" s="144"/>
      <c r="B492" s="139"/>
      <c r="C492" s="139"/>
      <c r="D492" s="167"/>
      <c r="E492" s="44"/>
      <c r="F492" s="44"/>
      <c r="G492" s="46"/>
      <c r="H492" s="46"/>
    </row>
    <row r="493" spans="1:8" ht="12.75">
      <c r="A493" s="144"/>
      <c r="B493" s="139"/>
      <c r="C493" s="139"/>
      <c r="D493" s="167"/>
      <c r="E493" s="44"/>
      <c r="F493" s="44"/>
      <c r="G493" s="46"/>
      <c r="H493" s="46"/>
    </row>
    <row r="494" spans="1:8" ht="12.75">
      <c r="A494" s="144"/>
      <c r="B494" s="139"/>
      <c r="C494" s="139"/>
      <c r="D494" s="167"/>
      <c r="E494" s="44"/>
      <c r="F494" s="44"/>
      <c r="G494" s="46"/>
      <c r="H494" s="46"/>
    </row>
    <row r="495" spans="1:8" ht="12.75">
      <c r="A495" s="144"/>
      <c r="B495" s="139"/>
      <c r="C495" s="139"/>
      <c r="D495" s="167"/>
      <c r="E495" s="44"/>
      <c r="F495" s="44"/>
      <c r="G495" s="46"/>
      <c r="H495" s="46"/>
    </row>
    <row r="496" spans="1:8" ht="12.75">
      <c r="A496" s="144"/>
      <c r="B496" s="139"/>
      <c r="C496" s="139"/>
      <c r="D496" s="167"/>
      <c r="E496" s="44"/>
      <c r="F496" s="44"/>
      <c r="G496" s="46"/>
      <c r="H496" s="46"/>
    </row>
    <row r="497" spans="1:8" ht="12.75">
      <c r="A497" s="144"/>
      <c r="B497" s="139"/>
      <c r="C497" s="139"/>
      <c r="D497" s="167"/>
      <c r="E497" s="44"/>
      <c r="F497" s="44"/>
      <c r="G497" s="46"/>
      <c r="H497" s="46"/>
    </row>
    <row r="498" spans="1:8" ht="12.75">
      <c r="A498" s="144"/>
      <c r="B498" s="139"/>
      <c r="C498" s="139"/>
      <c r="D498" s="167"/>
      <c r="E498" s="44"/>
      <c r="F498" s="44"/>
      <c r="G498" s="46"/>
      <c r="H498" s="46"/>
    </row>
    <row r="499" spans="1:8" ht="12.75">
      <c r="A499" s="144"/>
      <c r="B499" s="139"/>
      <c r="C499" s="139"/>
      <c r="D499" s="167"/>
      <c r="E499" s="44"/>
      <c r="F499" s="44"/>
      <c r="G499" s="46"/>
      <c r="H499" s="46"/>
    </row>
    <row r="500" spans="1:8" ht="12.75">
      <c r="A500" s="144"/>
      <c r="B500" s="139"/>
      <c r="C500" s="139"/>
      <c r="D500" s="167"/>
      <c r="E500" s="44"/>
      <c r="F500" s="44"/>
      <c r="G500" s="46"/>
      <c r="H500" s="46"/>
    </row>
    <row r="501" spans="1:8" ht="12.75">
      <c r="A501" s="144"/>
      <c r="B501" s="139"/>
      <c r="C501" s="139"/>
      <c r="D501" s="167"/>
      <c r="E501" s="44"/>
      <c r="F501" s="44"/>
      <c r="G501" s="46"/>
      <c r="H501" s="46"/>
    </row>
    <row r="502" spans="1:8" ht="12.75">
      <c r="A502" s="144"/>
      <c r="B502" s="139"/>
      <c r="C502" s="139"/>
      <c r="D502" s="167"/>
      <c r="E502" s="44"/>
      <c r="F502" s="44"/>
      <c r="G502" s="46"/>
      <c r="H502" s="46"/>
    </row>
    <row r="503" spans="1:8" ht="12.75">
      <c r="A503" s="144"/>
      <c r="B503" s="139"/>
      <c r="C503" s="139"/>
      <c r="D503" s="167"/>
      <c r="E503" s="44"/>
      <c r="F503" s="44"/>
      <c r="G503" s="46"/>
      <c r="H503" s="46"/>
    </row>
    <row r="504" spans="1:8" ht="12.75">
      <c r="A504" s="144"/>
      <c r="B504" s="139"/>
      <c r="C504" s="139"/>
      <c r="D504" s="167"/>
      <c r="E504" s="44"/>
      <c r="F504" s="44"/>
      <c r="G504" s="46"/>
      <c r="H504" s="46"/>
    </row>
    <row r="505" spans="1:8" ht="12.75">
      <c r="A505" s="144"/>
      <c r="B505" s="139"/>
      <c r="C505" s="139"/>
      <c r="D505" s="167"/>
      <c r="E505" s="44"/>
      <c r="F505" s="44"/>
      <c r="G505" s="46"/>
      <c r="H505" s="46"/>
    </row>
    <row r="506" spans="1:8" ht="12.75">
      <c r="A506" s="144"/>
      <c r="B506" s="139"/>
      <c r="C506" s="139"/>
      <c r="D506" s="167"/>
      <c r="E506" s="44"/>
      <c r="F506" s="44"/>
      <c r="G506" s="46"/>
      <c r="H506" s="46"/>
    </row>
    <row r="507" spans="1:8" ht="12.75">
      <c r="A507" s="144"/>
      <c r="B507" s="139"/>
      <c r="C507" s="139"/>
      <c r="D507" s="167"/>
      <c r="E507" s="44"/>
      <c r="F507" s="44"/>
      <c r="G507" s="46"/>
      <c r="H507" s="46"/>
    </row>
    <row r="508" spans="1:8" ht="12.75">
      <c r="A508" s="144"/>
      <c r="B508" s="139"/>
      <c r="C508" s="139"/>
      <c r="D508" s="167"/>
      <c r="E508" s="44"/>
      <c r="F508" s="44"/>
      <c r="G508" s="46"/>
      <c r="H508" s="46"/>
    </row>
    <row r="509" spans="1:8" ht="12.75">
      <c r="A509" s="144"/>
      <c r="B509" s="139"/>
      <c r="C509" s="139"/>
      <c r="D509" s="167"/>
      <c r="E509" s="44"/>
      <c r="F509" s="44"/>
      <c r="G509" s="46"/>
      <c r="H509" s="46"/>
    </row>
    <row r="510" spans="1:8" ht="12.75">
      <c r="A510" s="144"/>
      <c r="B510" s="139"/>
      <c r="C510" s="139"/>
      <c r="D510" s="167"/>
      <c r="E510" s="44"/>
      <c r="F510" s="44"/>
      <c r="G510" s="46"/>
      <c r="H510" s="46"/>
    </row>
    <row r="511" spans="1:8" ht="12.75">
      <c r="A511" s="144"/>
      <c r="B511" s="139"/>
      <c r="C511" s="139"/>
      <c r="D511" s="167"/>
      <c r="E511" s="44"/>
      <c r="F511" s="44"/>
      <c r="G511" s="46"/>
      <c r="H511" s="46"/>
    </row>
    <row r="512" spans="1:8" ht="12.75">
      <c r="A512" s="144"/>
      <c r="B512" s="139"/>
      <c r="C512" s="139"/>
      <c r="D512" s="167"/>
      <c r="E512" s="44"/>
      <c r="F512" s="44"/>
      <c r="G512" s="46"/>
      <c r="H512" s="46"/>
    </row>
    <row r="513" spans="1:8" ht="12.75">
      <c r="A513" s="144"/>
      <c r="B513" s="139"/>
      <c r="C513" s="139"/>
      <c r="D513" s="167"/>
      <c r="E513" s="44"/>
      <c r="F513" s="44"/>
      <c r="G513" s="46"/>
      <c r="H513" s="46"/>
    </row>
    <row r="514" spans="1:8" ht="12.75">
      <c r="A514" s="144"/>
      <c r="B514" s="139"/>
      <c r="C514" s="139"/>
      <c r="D514" s="167"/>
      <c r="E514" s="44"/>
      <c r="F514" s="44"/>
      <c r="G514" s="46"/>
      <c r="H514" s="46"/>
    </row>
    <row r="515" spans="1:8" ht="12.75">
      <c r="A515" s="144"/>
      <c r="B515" s="139"/>
      <c r="C515" s="139"/>
      <c r="D515" s="167"/>
      <c r="E515" s="44"/>
      <c r="F515" s="44"/>
      <c r="G515" s="46"/>
      <c r="H515" s="46"/>
    </row>
    <row r="516" spans="1:8" ht="12.75">
      <c r="A516" s="144"/>
      <c r="B516" s="139"/>
      <c r="C516" s="139"/>
      <c r="D516" s="167"/>
      <c r="E516" s="44"/>
      <c r="F516" s="44"/>
      <c r="G516" s="46"/>
      <c r="H516" s="46"/>
    </row>
    <row r="517" spans="1:8" ht="12.75">
      <c r="A517" s="144"/>
      <c r="B517" s="139"/>
      <c r="C517" s="139"/>
      <c r="D517" s="167"/>
      <c r="E517" s="44"/>
      <c r="F517" s="44"/>
      <c r="G517" s="46"/>
      <c r="H517" s="46"/>
    </row>
    <row r="518" spans="1:8" ht="12.75">
      <c r="A518" s="144"/>
      <c r="B518" s="139"/>
      <c r="C518" s="139"/>
      <c r="D518" s="167"/>
      <c r="E518" s="44"/>
      <c r="F518" s="44"/>
      <c r="G518" s="46"/>
      <c r="H518" s="46"/>
    </row>
    <row r="519" spans="1:8" ht="12.75">
      <c r="A519" s="144"/>
      <c r="B519" s="139"/>
      <c r="C519" s="139"/>
      <c r="D519" s="167"/>
      <c r="E519" s="44"/>
      <c r="F519" s="44"/>
      <c r="G519" s="46"/>
      <c r="H519" s="46"/>
    </row>
    <row r="520" spans="1:8" ht="12.75">
      <c r="A520" s="144"/>
      <c r="B520" s="139"/>
      <c r="C520" s="139"/>
      <c r="D520" s="167"/>
      <c r="E520" s="44"/>
      <c r="F520" s="44"/>
      <c r="G520" s="46"/>
      <c r="H520" s="46"/>
    </row>
    <row r="521" spans="1:8" ht="12.75">
      <c r="A521" s="144"/>
      <c r="B521" s="139"/>
      <c r="C521" s="139"/>
      <c r="D521" s="167"/>
      <c r="E521" s="44"/>
      <c r="F521" s="44"/>
      <c r="G521" s="46"/>
      <c r="H521" s="46"/>
    </row>
    <row r="522" spans="1:8" ht="12.75">
      <c r="A522" s="144"/>
      <c r="B522" s="139"/>
      <c r="C522" s="139"/>
      <c r="D522" s="167"/>
      <c r="E522" s="44"/>
      <c r="F522" s="44"/>
      <c r="G522" s="46"/>
      <c r="H522" s="46"/>
    </row>
    <row r="523" spans="1:8" ht="12.75">
      <c r="A523" s="144"/>
      <c r="B523" s="139"/>
      <c r="C523" s="139"/>
      <c r="D523" s="167"/>
      <c r="E523" s="44"/>
      <c r="F523" s="44"/>
      <c r="G523" s="46"/>
      <c r="H523" s="46"/>
    </row>
    <row r="524" spans="1:8" ht="12.75">
      <c r="A524" s="144"/>
      <c r="B524" s="139"/>
      <c r="C524" s="139"/>
      <c r="D524" s="167"/>
      <c r="E524" s="44"/>
      <c r="F524" s="44"/>
      <c r="G524" s="46"/>
      <c r="H524" s="46"/>
    </row>
    <row r="525" spans="1:8" ht="12.75">
      <c r="A525" s="144"/>
      <c r="B525" s="139"/>
      <c r="C525" s="139"/>
      <c r="D525" s="167"/>
      <c r="E525" s="44"/>
      <c r="F525" s="44"/>
      <c r="G525" s="46"/>
      <c r="H525" s="46"/>
    </row>
    <row r="526" spans="1:8" ht="12.75">
      <c r="A526" s="144"/>
      <c r="B526" s="139"/>
      <c r="C526" s="139"/>
      <c r="D526" s="167"/>
      <c r="E526" s="44"/>
      <c r="F526" s="44"/>
      <c r="G526" s="46"/>
      <c r="H526" s="46"/>
    </row>
    <row r="527" spans="1:8" ht="12.75">
      <c r="A527" s="144"/>
      <c r="B527" s="139"/>
      <c r="C527" s="139"/>
      <c r="D527" s="167"/>
      <c r="E527" s="44"/>
      <c r="F527" s="44"/>
      <c r="G527" s="46"/>
      <c r="H527" s="46"/>
    </row>
    <row r="528" spans="1:8" ht="12.75">
      <c r="A528" s="144"/>
      <c r="B528" s="139"/>
      <c r="C528" s="139"/>
      <c r="D528" s="167"/>
      <c r="E528" s="44"/>
      <c r="F528" s="44"/>
      <c r="G528" s="46"/>
      <c r="H528" s="46"/>
    </row>
    <row r="529" spans="1:8" ht="12.75">
      <c r="A529" s="144"/>
      <c r="B529" s="139"/>
      <c r="C529" s="139"/>
      <c r="D529" s="167"/>
      <c r="E529" s="44"/>
      <c r="F529" s="44"/>
      <c r="G529" s="46"/>
      <c r="H529" s="46"/>
    </row>
    <row r="530" spans="1:8" ht="12.75">
      <c r="A530" s="144"/>
      <c r="B530" s="139"/>
      <c r="C530" s="139"/>
      <c r="D530" s="167"/>
      <c r="E530" s="44"/>
      <c r="F530" s="44"/>
      <c r="G530" s="46"/>
      <c r="H530" s="46"/>
    </row>
    <row r="531" spans="1:8" ht="12.75">
      <c r="A531" s="144"/>
      <c r="B531" s="139"/>
      <c r="C531" s="139"/>
      <c r="D531" s="167"/>
      <c r="E531" s="44"/>
      <c r="F531" s="44"/>
      <c r="G531" s="46"/>
      <c r="H531" s="46"/>
    </row>
    <row r="532" spans="1:8" ht="12.75">
      <c r="A532" s="144"/>
      <c r="B532" s="139"/>
      <c r="C532" s="139"/>
      <c r="D532" s="167"/>
      <c r="E532" s="44"/>
      <c r="F532" s="44"/>
      <c r="G532" s="46"/>
      <c r="H532" s="46"/>
    </row>
    <row r="533" spans="1:8" ht="12.75">
      <c r="A533" s="144"/>
      <c r="B533" s="139"/>
      <c r="C533" s="139"/>
      <c r="D533" s="167"/>
      <c r="E533" s="44"/>
      <c r="F533" s="44"/>
      <c r="G533" s="46"/>
      <c r="H533" s="46"/>
    </row>
    <row r="534" spans="1:8" ht="12.75">
      <c r="A534" s="144"/>
      <c r="B534" s="139"/>
      <c r="C534" s="139"/>
      <c r="D534" s="167"/>
      <c r="E534" s="44"/>
      <c r="F534" s="44"/>
      <c r="G534" s="46"/>
      <c r="H534" s="46"/>
    </row>
    <row r="535" spans="1:8" ht="12.75">
      <c r="A535" s="144"/>
      <c r="B535" s="139"/>
      <c r="C535" s="139"/>
      <c r="D535" s="167"/>
      <c r="E535" s="44"/>
      <c r="F535" s="44"/>
      <c r="G535" s="46"/>
      <c r="H535" s="46"/>
    </row>
    <row r="536" spans="1:8" ht="12.75">
      <c r="A536" s="144"/>
      <c r="B536" s="139"/>
      <c r="C536" s="139"/>
      <c r="D536" s="167"/>
      <c r="E536" s="44"/>
      <c r="F536" s="44"/>
      <c r="G536" s="46"/>
      <c r="H536" s="46"/>
    </row>
    <row r="537" spans="1:8" ht="12.75">
      <c r="A537" s="144"/>
      <c r="B537" s="139"/>
      <c r="C537" s="139"/>
      <c r="D537" s="167"/>
      <c r="E537" s="44"/>
      <c r="F537" s="44"/>
      <c r="G537" s="46"/>
      <c r="H537" s="46"/>
    </row>
    <row r="538" spans="1:8" ht="12.75">
      <c r="A538" s="144"/>
      <c r="B538" s="139"/>
      <c r="C538" s="139"/>
      <c r="D538" s="167"/>
      <c r="E538" s="44"/>
      <c r="F538" s="44"/>
      <c r="G538" s="46"/>
      <c r="H538" s="46"/>
    </row>
    <row r="539" spans="1:8" ht="12.75">
      <c r="A539" s="144"/>
      <c r="B539" s="139"/>
      <c r="C539" s="139"/>
      <c r="D539" s="167"/>
      <c r="E539" s="44"/>
      <c r="F539" s="44"/>
      <c r="G539" s="46"/>
      <c r="H539" s="46"/>
    </row>
    <row r="540" spans="1:8" ht="12.75">
      <c r="A540" s="144"/>
      <c r="B540" s="139"/>
      <c r="C540" s="139"/>
      <c r="D540" s="167"/>
      <c r="E540" s="44"/>
      <c r="F540" s="44"/>
      <c r="G540" s="46"/>
      <c r="H540" s="46"/>
    </row>
    <row r="541" spans="1:8" ht="12.75">
      <c r="A541" s="144"/>
      <c r="B541" s="139"/>
      <c r="C541" s="139"/>
      <c r="D541" s="167"/>
      <c r="E541" s="44"/>
      <c r="F541" s="44"/>
      <c r="G541" s="46"/>
      <c r="H541" s="46"/>
    </row>
    <row r="542" spans="1:8" ht="12.75">
      <c r="A542" s="144"/>
      <c r="B542" s="139"/>
      <c r="C542" s="139"/>
      <c r="D542" s="167"/>
      <c r="E542" s="44"/>
      <c r="F542" s="44"/>
      <c r="G542" s="46"/>
      <c r="H542" s="46"/>
    </row>
    <row r="543" spans="1:8" ht="12.75">
      <c r="A543" s="144"/>
      <c r="B543" s="139"/>
      <c r="C543" s="139"/>
      <c r="D543" s="167"/>
      <c r="E543" s="44"/>
      <c r="F543" s="44"/>
      <c r="G543" s="46"/>
      <c r="H543" s="46"/>
    </row>
    <row r="544" spans="1:8" ht="12.75">
      <c r="A544" s="144"/>
      <c r="B544" s="139"/>
      <c r="C544" s="139"/>
      <c r="D544" s="167"/>
      <c r="E544" s="44"/>
      <c r="F544" s="44"/>
      <c r="G544" s="46"/>
      <c r="H544" s="46"/>
    </row>
    <row r="545" spans="1:8" ht="12.75">
      <c r="A545" s="144"/>
      <c r="B545" s="139"/>
      <c r="C545" s="139"/>
      <c r="D545" s="167"/>
      <c r="E545" s="44"/>
      <c r="F545" s="44"/>
      <c r="G545" s="46"/>
      <c r="H545" s="46"/>
    </row>
    <row r="546" spans="1:8" ht="12.75">
      <c r="A546" s="144"/>
      <c r="B546" s="139"/>
      <c r="C546" s="139"/>
      <c r="D546" s="167"/>
      <c r="E546" s="44"/>
      <c r="F546" s="44"/>
      <c r="G546" s="46"/>
      <c r="H546" s="46"/>
    </row>
    <row r="547" spans="1:8" ht="12.75">
      <c r="A547" s="144"/>
      <c r="B547" s="139"/>
      <c r="C547" s="139"/>
      <c r="D547" s="167"/>
      <c r="E547" s="44"/>
      <c r="F547" s="44"/>
      <c r="G547" s="46"/>
      <c r="H547" s="46"/>
    </row>
    <row r="548" spans="1:8" ht="12.75">
      <c r="A548" s="144"/>
      <c r="B548" s="139"/>
      <c r="C548" s="139"/>
      <c r="D548" s="167"/>
      <c r="E548" s="44"/>
      <c r="F548" s="44"/>
      <c r="G548" s="46"/>
      <c r="H548" s="46"/>
    </row>
    <row r="549" spans="1:8" ht="12.75">
      <c r="A549" s="144"/>
      <c r="B549" s="139"/>
      <c r="C549" s="139"/>
      <c r="D549" s="167"/>
      <c r="E549" s="44"/>
      <c r="F549" s="44"/>
      <c r="G549" s="46"/>
      <c r="H549" s="46"/>
    </row>
    <row r="550" spans="1:8" ht="12.75">
      <c r="A550" s="144"/>
      <c r="B550" s="139"/>
      <c r="C550" s="139"/>
      <c r="D550" s="167"/>
      <c r="E550" s="44"/>
      <c r="F550" s="44"/>
      <c r="G550" s="46"/>
      <c r="H550" s="46"/>
    </row>
    <row r="551" spans="1:8" ht="12.75">
      <c r="A551" s="144"/>
      <c r="B551" s="139"/>
      <c r="C551" s="139"/>
      <c r="D551" s="167"/>
      <c r="E551" s="44"/>
      <c r="F551" s="44"/>
      <c r="G551" s="46"/>
      <c r="H551" s="46"/>
    </row>
    <row r="552" spans="1:8" ht="12.75">
      <c r="A552" s="144"/>
      <c r="B552" s="139"/>
      <c r="C552" s="139"/>
      <c r="D552" s="167"/>
      <c r="E552" s="44"/>
      <c r="F552" s="44"/>
      <c r="G552" s="46"/>
      <c r="H552" s="46"/>
    </row>
    <row r="553" spans="1:8" ht="12.75">
      <c r="A553" s="144"/>
      <c r="B553" s="139"/>
      <c r="C553" s="139"/>
      <c r="D553" s="167"/>
      <c r="E553" s="44"/>
      <c r="F553" s="44"/>
      <c r="G553" s="46"/>
      <c r="H553" s="46"/>
    </row>
    <row r="554" spans="1:8" ht="12.75">
      <c r="A554" s="144"/>
      <c r="B554" s="139"/>
      <c r="C554" s="139"/>
      <c r="D554" s="167"/>
      <c r="E554" s="44"/>
      <c r="F554" s="44"/>
      <c r="G554" s="46"/>
      <c r="H554" s="46"/>
    </row>
    <row r="555" spans="1:8" ht="12.75">
      <c r="A555" s="144"/>
      <c r="B555" s="139"/>
      <c r="C555" s="139"/>
      <c r="D555" s="167"/>
      <c r="E555" s="44"/>
      <c r="F555" s="44"/>
      <c r="G555" s="46"/>
      <c r="H555" s="46"/>
    </row>
    <row r="556" spans="1:8" ht="12.75">
      <c r="A556" s="144"/>
      <c r="B556" s="139"/>
      <c r="C556" s="139"/>
      <c r="D556" s="167"/>
      <c r="E556" s="44"/>
      <c r="F556" s="44"/>
      <c r="G556" s="46"/>
      <c r="H556" s="46"/>
    </row>
    <row r="557" spans="1:8" ht="12.75">
      <c r="A557" s="144"/>
      <c r="B557" s="139"/>
      <c r="C557" s="139"/>
      <c r="D557" s="167"/>
      <c r="E557" s="44"/>
      <c r="F557" s="44"/>
      <c r="G557" s="46"/>
      <c r="H557" s="46"/>
    </row>
    <row r="558" spans="1:8" ht="12.75">
      <c r="A558" s="144"/>
      <c r="B558" s="139"/>
      <c r="C558" s="139"/>
      <c r="D558" s="167"/>
      <c r="E558" s="44"/>
      <c r="F558" s="44"/>
      <c r="G558" s="46"/>
      <c r="H558" s="46"/>
    </row>
    <row r="559" spans="1:8" ht="12.75">
      <c r="A559" s="144"/>
      <c r="B559" s="139"/>
      <c r="C559" s="139"/>
      <c r="D559" s="167"/>
      <c r="E559" s="44"/>
      <c r="F559" s="44"/>
      <c r="G559" s="46"/>
      <c r="H559" s="46"/>
    </row>
    <row r="560" spans="1:8" ht="12.75">
      <c r="A560" s="144"/>
      <c r="B560" s="139"/>
      <c r="C560" s="139"/>
      <c r="D560" s="167"/>
      <c r="E560" s="44"/>
      <c r="F560" s="44"/>
      <c r="G560" s="46"/>
      <c r="H560" s="46"/>
    </row>
    <row r="561" spans="1:8" ht="12.75">
      <c r="A561" s="144"/>
      <c r="B561" s="139"/>
      <c r="C561" s="139"/>
      <c r="D561" s="167"/>
      <c r="E561" s="44"/>
      <c r="F561" s="44"/>
      <c r="G561" s="46"/>
      <c r="H561" s="46"/>
    </row>
    <row r="562" spans="1:8" ht="12.75">
      <c r="A562" s="144"/>
      <c r="B562" s="139"/>
      <c r="C562" s="139"/>
      <c r="D562" s="167"/>
      <c r="E562" s="44"/>
      <c r="F562" s="44"/>
      <c r="G562" s="46"/>
      <c r="H562" s="46"/>
    </row>
    <row r="563" spans="1:8" ht="12.75">
      <c r="A563" s="144"/>
      <c r="B563" s="139"/>
      <c r="C563" s="139"/>
      <c r="D563" s="167"/>
      <c r="E563" s="44"/>
      <c r="F563" s="44"/>
      <c r="G563" s="46"/>
      <c r="H563" s="46"/>
    </row>
    <row r="564" spans="1:8" ht="12.75">
      <c r="A564" s="144"/>
      <c r="B564" s="139"/>
      <c r="C564" s="139"/>
      <c r="D564" s="167"/>
      <c r="E564" s="44"/>
      <c r="F564" s="44"/>
      <c r="G564" s="46"/>
      <c r="H564" s="46"/>
    </row>
    <row r="565" spans="1:8" ht="12.75">
      <c r="A565" s="144"/>
      <c r="B565" s="139"/>
      <c r="C565" s="139"/>
      <c r="D565" s="167"/>
      <c r="E565" s="44"/>
      <c r="F565" s="44"/>
      <c r="G565" s="46"/>
      <c r="H565" s="46"/>
    </row>
    <row r="566" spans="1:8" ht="12.75">
      <c r="A566" s="144"/>
      <c r="B566" s="139"/>
      <c r="C566" s="139"/>
      <c r="D566" s="167"/>
      <c r="E566" s="44"/>
      <c r="F566" s="44"/>
      <c r="G566" s="46"/>
      <c r="H566" s="46"/>
    </row>
    <row r="567" spans="1:8" ht="12.75">
      <c r="A567" s="144"/>
      <c r="B567" s="139"/>
      <c r="C567" s="139"/>
      <c r="D567" s="167"/>
      <c r="E567" s="44"/>
      <c r="F567" s="44"/>
      <c r="G567" s="46"/>
      <c r="H567" s="46"/>
    </row>
    <row r="568" spans="1:8" ht="12.75">
      <c r="A568" s="144"/>
      <c r="B568" s="139"/>
      <c r="C568" s="139"/>
      <c r="D568" s="167"/>
      <c r="E568" s="44"/>
      <c r="F568" s="44"/>
      <c r="G568" s="46"/>
      <c r="H568" s="46"/>
    </row>
    <row r="569" spans="1:8" ht="12.75">
      <c r="A569" s="144"/>
      <c r="B569" s="139"/>
      <c r="C569" s="139"/>
      <c r="D569" s="167"/>
      <c r="E569" s="44"/>
      <c r="F569" s="44"/>
      <c r="G569" s="46"/>
      <c r="H569" s="46"/>
    </row>
    <row r="570" spans="1:8" ht="12.75">
      <c r="A570" s="144"/>
      <c r="B570" s="139"/>
      <c r="C570" s="139"/>
      <c r="D570" s="167"/>
      <c r="E570" s="44"/>
      <c r="F570" s="44"/>
      <c r="G570" s="46"/>
      <c r="H570" s="46"/>
    </row>
    <row r="571" spans="1:8" ht="12.75">
      <c r="A571" s="144"/>
      <c r="B571" s="139"/>
      <c r="C571" s="139"/>
      <c r="D571" s="167"/>
      <c r="E571" s="44"/>
      <c r="F571" s="44"/>
      <c r="G571" s="46"/>
      <c r="H571" s="46"/>
    </row>
    <row r="572" spans="1:8" ht="12.75">
      <c r="A572" s="144"/>
      <c r="B572" s="139"/>
      <c r="C572" s="139"/>
      <c r="D572" s="167"/>
      <c r="E572" s="44"/>
      <c r="F572" s="44"/>
      <c r="G572" s="46"/>
      <c r="H572" s="46"/>
    </row>
    <row r="573" spans="1:8" ht="12.75">
      <c r="A573" s="144"/>
      <c r="B573" s="139"/>
      <c r="C573" s="139"/>
      <c r="D573" s="167"/>
      <c r="E573" s="44"/>
      <c r="F573" s="44"/>
      <c r="G573" s="46"/>
      <c r="H573" s="46"/>
    </row>
    <row r="574" spans="1:8" ht="12.75">
      <c r="A574" s="144"/>
      <c r="B574" s="139"/>
      <c r="C574" s="139"/>
      <c r="D574" s="167"/>
      <c r="E574" s="44"/>
      <c r="F574" s="44"/>
      <c r="G574" s="46"/>
      <c r="H574" s="46"/>
    </row>
    <row r="575" spans="1:8" ht="12.75">
      <c r="A575" s="144"/>
      <c r="B575" s="139"/>
      <c r="C575" s="139"/>
      <c r="D575" s="167"/>
      <c r="E575" s="44"/>
      <c r="F575" s="44"/>
      <c r="G575" s="46"/>
      <c r="H575" s="46"/>
    </row>
    <row r="576" spans="1:8" ht="12.75">
      <c r="A576" s="144"/>
      <c r="B576" s="139"/>
      <c r="C576" s="139"/>
      <c r="D576" s="167"/>
      <c r="E576" s="44"/>
      <c r="F576" s="44"/>
      <c r="G576" s="46"/>
      <c r="H576" s="46"/>
    </row>
    <row r="577" spans="1:8" ht="12.75">
      <c r="A577" s="144"/>
      <c r="B577" s="139"/>
      <c r="C577" s="139"/>
      <c r="D577" s="167"/>
      <c r="E577" s="44"/>
      <c r="F577" s="44"/>
      <c r="G577" s="46"/>
      <c r="H577" s="46"/>
    </row>
    <row r="578" spans="1:8" ht="12.75">
      <c r="A578" s="144"/>
      <c r="B578" s="139"/>
      <c r="C578" s="139"/>
      <c r="D578" s="167"/>
      <c r="E578" s="44"/>
      <c r="F578" s="44"/>
      <c r="G578" s="46"/>
      <c r="H578" s="46"/>
    </row>
    <row r="579" spans="1:8" ht="12.75">
      <c r="A579" s="144"/>
      <c r="B579" s="139"/>
      <c r="C579" s="139"/>
      <c r="D579" s="167"/>
      <c r="E579" s="44"/>
      <c r="F579" s="44"/>
      <c r="G579" s="46"/>
      <c r="H579" s="46"/>
    </row>
    <row r="580" spans="1:8" ht="12.75">
      <c r="A580" s="144"/>
      <c r="B580" s="139"/>
      <c r="C580" s="139"/>
      <c r="D580" s="167"/>
      <c r="E580" s="44"/>
      <c r="F580" s="44"/>
      <c r="G580" s="46"/>
      <c r="H580" s="46"/>
    </row>
    <row r="581" spans="1:8" ht="12.75">
      <c r="A581" s="144"/>
      <c r="B581" s="139"/>
      <c r="C581" s="139"/>
      <c r="D581" s="167"/>
      <c r="E581" s="44"/>
      <c r="F581" s="44"/>
      <c r="G581" s="46"/>
      <c r="H581" s="46"/>
    </row>
    <row r="582" spans="1:8" ht="12.75">
      <c r="A582" s="144"/>
      <c r="B582" s="139"/>
      <c r="C582" s="139"/>
      <c r="D582" s="167"/>
      <c r="E582" s="44"/>
      <c r="F582" s="44"/>
      <c r="G582" s="46"/>
      <c r="H582" s="46"/>
    </row>
    <row r="583" spans="1:8" ht="12.75">
      <c r="A583" s="144"/>
      <c r="B583" s="139"/>
      <c r="C583" s="139"/>
      <c r="D583" s="167"/>
      <c r="E583" s="44"/>
      <c r="F583" s="44"/>
      <c r="G583" s="46"/>
      <c r="H583" s="46"/>
    </row>
    <row r="584" spans="1:8" ht="12.75">
      <c r="A584" s="144"/>
      <c r="B584" s="139"/>
      <c r="C584" s="139"/>
      <c r="D584" s="167"/>
      <c r="E584" s="44"/>
      <c r="F584" s="44"/>
      <c r="G584" s="46"/>
      <c r="H584" s="46"/>
    </row>
    <row r="585" spans="1:8" ht="12.75">
      <c r="A585" s="144"/>
      <c r="B585" s="139"/>
      <c r="C585" s="139"/>
      <c r="D585" s="167"/>
      <c r="E585" s="44"/>
      <c r="F585" s="44"/>
      <c r="G585" s="46"/>
      <c r="H585" s="46"/>
    </row>
    <row r="586" spans="1:8" ht="12.75">
      <c r="A586" s="144"/>
      <c r="B586" s="139"/>
      <c r="C586" s="139"/>
      <c r="D586" s="167"/>
      <c r="E586" s="44"/>
      <c r="F586" s="44"/>
      <c r="G586" s="46"/>
      <c r="H586" s="46"/>
    </row>
    <row r="587" spans="1:8" ht="12.75">
      <c r="A587" s="144"/>
      <c r="B587" s="139"/>
      <c r="C587" s="139"/>
      <c r="D587" s="167"/>
      <c r="E587" s="44"/>
      <c r="F587" s="44"/>
      <c r="G587" s="46"/>
      <c r="H587" s="46"/>
    </row>
    <row r="588" spans="1:8" ht="12.75">
      <c r="A588" s="144"/>
      <c r="B588" s="139"/>
      <c r="C588" s="139"/>
      <c r="D588" s="167"/>
      <c r="E588" s="44"/>
      <c r="F588" s="44"/>
      <c r="G588" s="46"/>
      <c r="H588" s="46"/>
    </row>
    <row r="589" spans="1:8" ht="12.75">
      <c r="A589" s="144"/>
      <c r="B589" s="139"/>
      <c r="C589" s="139"/>
      <c r="D589" s="167"/>
      <c r="E589" s="44"/>
      <c r="F589" s="44"/>
      <c r="G589" s="46"/>
      <c r="H589" s="46"/>
    </row>
    <row r="590" spans="1:8" ht="12.75">
      <c r="A590" s="144"/>
      <c r="B590" s="139"/>
      <c r="C590" s="139"/>
      <c r="D590" s="167"/>
      <c r="E590" s="44"/>
      <c r="F590" s="44"/>
      <c r="G590" s="46"/>
      <c r="H590" s="46"/>
    </row>
    <row r="591" spans="1:8" ht="12.75">
      <c r="A591" s="144"/>
      <c r="B591" s="139"/>
      <c r="C591" s="139"/>
      <c r="D591" s="167"/>
      <c r="E591" s="44"/>
      <c r="F591" s="44"/>
      <c r="G591" s="46"/>
      <c r="H591" s="46"/>
    </row>
    <row r="592" spans="1:8" ht="12.75">
      <c r="A592" s="144"/>
      <c r="B592" s="139"/>
      <c r="C592" s="139"/>
      <c r="D592" s="167"/>
      <c r="E592" s="44"/>
      <c r="F592" s="44"/>
      <c r="G592" s="46"/>
      <c r="H592" s="46"/>
    </row>
    <row r="593" spans="1:8" ht="12.75">
      <c r="A593" s="144"/>
      <c r="B593" s="139"/>
      <c r="C593" s="139"/>
      <c r="D593" s="167"/>
      <c r="E593" s="44"/>
      <c r="F593" s="44"/>
      <c r="G593" s="46"/>
      <c r="H593" s="46"/>
    </row>
    <row r="594" spans="1:8" ht="12.75">
      <c r="A594" s="144"/>
      <c r="B594" s="139"/>
      <c r="C594" s="139"/>
      <c r="D594" s="167"/>
      <c r="E594" s="44"/>
      <c r="F594" s="44"/>
      <c r="G594" s="46"/>
      <c r="H594" s="46"/>
    </row>
    <row r="595" spans="1:8" ht="12.75">
      <c r="A595" s="144"/>
      <c r="B595" s="139"/>
      <c r="C595" s="139"/>
      <c r="D595" s="167"/>
      <c r="E595" s="44"/>
      <c r="F595" s="44"/>
      <c r="G595" s="46"/>
      <c r="H595" s="46"/>
    </row>
    <row r="596" spans="1:8" ht="12.75">
      <c r="A596" s="144"/>
      <c r="B596" s="139"/>
      <c r="C596" s="139"/>
      <c r="D596" s="167"/>
      <c r="E596" s="44"/>
      <c r="F596" s="44"/>
      <c r="G596" s="46"/>
      <c r="H596" s="46"/>
    </row>
    <row r="597" spans="1:8" ht="12.75">
      <c r="A597" s="144"/>
      <c r="B597" s="139"/>
      <c r="C597" s="139"/>
      <c r="D597" s="167"/>
      <c r="E597" s="44"/>
      <c r="F597" s="44"/>
      <c r="G597" s="46"/>
      <c r="H597" s="46"/>
    </row>
    <row r="598" spans="1:8" ht="12.75">
      <c r="A598" s="144"/>
      <c r="B598" s="139"/>
      <c r="C598" s="139"/>
      <c r="D598" s="167"/>
      <c r="E598" s="44"/>
      <c r="F598" s="44"/>
      <c r="G598" s="46"/>
      <c r="H598" s="46"/>
    </row>
    <row r="599" spans="1:8" ht="12.75">
      <c r="A599" s="144"/>
      <c r="B599" s="139"/>
      <c r="C599" s="139"/>
      <c r="D599" s="167"/>
      <c r="E599" s="44"/>
      <c r="F599" s="44"/>
      <c r="G599" s="46"/>
      <c r="H599" s="46"/>
    </row>
    <row r="600" spans="1:8" ht="12.75">
      <c r="A600" s="144"/>
      <c r="B600" s="139"/>
      <c r="C600" s="139"/>
      <c r="D600" s="167"/>
      <c r="E600" s="44"/>
      <c r="F600" s="44"/>
      <c r="G600" s="46"/>
      <c r="H600" s="46"/>
    </row>
    <row r="601" spans="1:8" ht="12.75">
      <c r="A601" s="144"/>
      <c r="B601" s="139"/>
      <c r="C601" s="139"/>
      <c r="D601" s="167"/>
      <c r="E601" s="44"/>
      <c r="F601" s="44"/>
      <c r="G601" s="46"/>
      <c r="H601" s="46"/>
    </row>
    <row r="602" spans="1:8" ht="12.75">
      <c r="A602" s="144"/>
      <c r="B602" s="139"/>
      <c r="C602" s="139"/>
      <c r="D602" s="167"/>
      <c r="E602" s="44"/>
      <c r="F602" s="44"/>
      <c r="G602" s="46"/>
      <c r="H602" s="46"/>
    </row>
    <row r="603" spans="1:8" ht="12.75">
      <c r="A603" s="144"/>
      <c r="B603" s="139"/>
      <c r="C603" s="139"/>
      <c r="D603" s="167"/>
      <c r="E603" s="44"/>
      <c r="F603" s="44"/>
      <c r="G603" s="46"/>
      <c r="H603" s="46"/>
    </row>
    <row r="604" spans="1:8" ht="12.75">
      <c r="A604" s="144"/>
      <c r="B604" s="139"/>
      <c r="C604" s="139"/>
      <c r="D604" s="167"/>
      <c r="E604" s="44"/>
      <c r="F604" s="44"/>
      <c r="G604" s="46"/>
      <c r="H604" s="46"/>
    </row>
    <row r="605" spans="1:8" ht="12.75">
      <c r="A605" s="144"/>
      <c r="B605" s="139"/>
      <c r="C605" s="139"/>
      <c r="D605" s="167"/>
      <c r="E605" s="44"/>
      <c r="F605" s="44"/>
      <c r="G605" s="46"/>
      <c r="H605" s="46"/>
    </row>
    <row r="606" spans="1:8" ht="12.75">
      <c r="A606" s="144"/>
      <c r="B606" s="139"/>
      <c r="C606" s="139"/>
      <c r="D606" s="167"/>
      <c r="E606" s="44"/>
      <c r="F606" s="44"/>
      <c r="G606" s="46"/>
      <c r="H606" s="46"/>
    </row>
    <row r="607" spans="1:8" ht="12.75">
      <c r="A607" s="144"/>
      <c r="B607" s="139"/>
      <c r="C607" s="139"/>
      <c r="D607" s="167"/>
      <c r="E607" s="44"/>
      <c r="F607" s="44"/>
      <c r="G607" s="46"/>
      <c r="H607" s="46"/>
    </row>
    <row r="608" spans="1:8" ht="12.75">
      <c r="A608" s="144"/>
      <c r="B608" s="139"/>
      <c r="C608" s="139"/>
      <c r="D608" s="167"/>
      <c r="E608" s="44"/>
      <c r="F608" s="44"/>
      <c r="G608" s="46"/>
      <c r="H608" s="46"/>
    </row>
    <row r="609" spans="1:8" ht="12.75">
      <c r="A609" s="144"/>
      <c r="B609" s="139"/>
      <c r="C609" s="139"/>
      <c r="D609" s="167"/>
      <c r="E609" s="44"/>
      <c r="F609" s="44"/>
      <c r="G609" s="46"/>
      <c r="H609" s="46"/>
    </row>
    <row r="610" spans="1:8" ht="12.75">
      <c r="A610" s="144"/>
      <c r="B610" s="139"/>
      <c r="C610" s="139"/>
      <c r="D610" s="167"/>
      <c r="E610" s="44"/>
      <c r="F610" s="44"/>
      <c r="G610" s="46"/>
      <c r="H610" s="46"/>
    </row>
    <row r="611" spans="1:8" ht="12.75">
      <c r="A611" s="144"/>
      <c r="B611" s="139"/>
      <c r="C611" s="139"/>
      <c r="D611" s="167"/>
      <c r="E611" s="44"/>
      <c r="F611" s="44"/>
      <c r="G611" s="46"/>
      <c r="H611" s="46"/>
    </row>
    <row r="612" spans="1:8" ht="12.75">
      <c r="A612" s="144"/>
      <c r="B612" s="139"/>
      <c r="C612" s="139"/>
      <c r="D612" s="167"/>
      <c r="E612" s="44"/>
      <c r="F612" s="44"/>
      <c r="G612" s="46"/>
      <c r="H612" s="46"/>
    </row>
    <row r="613" spans="1:8" ht="12.75">
      <c r="A613" s="144"/>
      <c r="B613" s="139"/>
      <c r="C613" s="139"/>
      <c r="D613" s="167"/>
      <c r="E613" s="44"/>
      <c r="F613" s="44"/>
      <c r="G613" s="46"/>
      <c r="H613" s="46"/>
    </row>
    <row r="614" spans="1:8" ht="12.75">
      <c r="A614" s="144"/>
      <c r="B614" s="139"/>
      <c r="C614" s="139"/>
      <c r="D614" s="167"/>
      <c r="E614" s="44"/>
      <c r="F614" s="44"/>
      <c r="G614" s="46"/>
      <c r="H614" s="46"/>
    </row>
    <row r="615" spans="1:8" ht="12.75">
      <c r="A615" s="144"/>
      <c r="B615" s="139"/>
      <c r="C615" s="139"/>
      <c r="D615" s="167"/>
      <c r="E615" s="44"/>
      <c r="F615" s="44"/>
      <c r="G615" s="46"/>
      <c r="H615" s="46"/>
    </row>
    <row r="616" spans="1:8" ht="12.75">
      <c r="A616" s="144"/>
      <c r="B616" s="139"/>
      <c r="C616" s="139"/>
      <c r="D616" s="167"/>
      <c r="E616" s="44"/>
      <c r="F616" s="44"/>
      <c r="G616" s="46"/>
      <c r="H616" s="46"/>
    </row>
    <row r="617" spans="1:8" ht="12.75">
      <c r="A617" s="144"/>
      <c r="B617" s="139"/>
      <c r="C617" s="139"/>
      <c r="D617" s="167"/>
      <c r="E617" s="44"/>
      <c r="F617" s="44"/>
      <c r="G617" s="46"/>
      <c r="H617" s="46"/>
    </row>
    <row r="618" spans="1:8" ht="12.75">
      <c r="A618" s="144"/>
      <c r="B618" s="139"/>
      <c r="C618" s="139"/>
      <c r="D618" s="167"/>
      <c r="E618" s="44"/>
      <c r="F618" s="44"/>
      <c r="G618" s="46"/>
      <c r="H618" s="46"/>
    </row>
    <row r="619" spans="1:8" ht="12.75">
      <c r="A619" s="144"/>
      <c r="B619" s="139"/>
      <c r="C619" s="139"/>
      <c r="D619" s="167"/>
      <c r="E619" s="44"/>
      <c r="F619" s="44"/>
      <c r="G619" s="46"/>
      <c r="H619" s="46"/>
    </row>
    <row r="620" spans="1:8" ht="12.75">
      <c r="A620" s="144"/>
      <c r="B620" s="139"/>
      <c r="C620" s="139"/>
      <c r="D620" s="167"/>
      <c r="E620" s="44"/>
      <c r="F620" s="44"/>
      <c r="G620" s="46"/>
      <c r="H620" s="46"/>
    </row>
    <row r="621" spans="1:8" ht="12.75">
      <c r="A621" s="144"/>
      <c r="B621" s="139"/>
      <c r="C621" s="139"/>
      <c r="D621" s="167"/>
      <c r="E621" s="44"/>
      <c r="F621" s="44"/>
      <c r="G621" s="46"/>
      <c r="H621" s="46"/>
    </row>
    <row r="622" spans="1:8" ht="12.75">
      <c r="A622" s="144"/>
      <c r="B622" s="139"/>
      <c r="C622" s="139"/>
      <c r="D622" s="167"/>
      <c r="E622" s="44"/>
      <c r="F622" s="44"/>
      <c r="G622" s="46"/>
      <c r="H622" s="46"/>
    </row>
    <row r="623" spans="1:8" ht="12.75">
      <c r="A623" s="144"/>
      <c r="B623" s="139"/>
      <c r="C623" s="139"/>
      <c r="D623" s="167"/>
      <c r="E623" s="44"/>
      <c r="F623" s="44"/>
      <c r="G623" s="46"/>
      <c r="H623" s="46"/>
    </row>
    <row r="624" spans="1:8" ht="12.75">
      <c r="A624" s="144"/>
      <c r="B624" s="139"/>
      <c r="C624" s="139"/>
      <c r="D624" s="167"/>
      <c r="E624" s="44"/>
      <c r="F624" s="44"/>
      <c r="G624" s="46"/>
      <c r="H624" s="46"/>
    </row>
    <row r="625" spans="1:8" ht="12.75">
      <c r="A625" s="144"/>
      <c r="B625" s="139"/>
      <c r="C625" s="139"/>
      <c r="D625" s="167"/>
      <c r="E625" s="44"/>
      <c r="F625" s="44"/>
      <c r="G625" s="46"/>
      <c r="H625" s="46"/>
    </row>
    <row r="626" spans="1:8" ht="12.75">
      <c r="A626" s="144"/>
      <c r="B626" s="139"/>
      <c r="C626" s="139"/>
      <c r="D626" s="167"/>
      <c r="E626" s="44"/>
      <c r="F626" s="44"/>
      <c r="G626" s="46"/>
      <c r="H626" s="46"/>
    </row>
    <row r="627" spans="1:8" ht="12.75">
      <c r="A627" s="144"/>
      <c r="B627" s="139"/>
      <c r="C627" s="139"/>
      <c r="D627" s="167"/>
      <c r="E627" s="44"/>
      <c r="F627" s="44"/>
      <c r="G627" s="46"/>
      <c r="H627" s="46"/>
    </row>
    <row r="628" spans="1:8" ht="12.75">
      <c r="A628" s="144"/>
      <c r="B628" s="139"/>
      <c r="C628" s="139"/>
      <c r="D628" s="167"/>
      <c r="E628" s="44"/>
      <c r="F628" s="44"/>
      <c r="G628" s="46"/>
      <c r="H628" s="46"/>
    </row>
    <row r="629" spans="1:8" ht="12.75">
      <c r="A629" s="144"/>
      <c r="B629" s="139"/>
      <c r="C629" s="139"/>
      <c r="D629" s="167"/>
      <c r="E629" s="44"/>
      <c r="F629" s="44"/>
      <c r="G629" s="46"/>
      <c r="H629" s="46"/>
    </row>
    <row r="630" spans="1:8" ht="12.75">
      <c r="A630" s="144"/>
      <c r="B630" s="139"/>
      <c r="C630" s="139"/>
      <c r="D630" s="167"/>
      <c r="E630" s="44"/>
      <c r="F630" s="44"/>
      <c r="G630" s="46"/>
      <c r="H630" s="46"/>
    </row>
    <row r="631" spans="1:8" ht="12.75">
      <c r="A631" s="144"/>
      <c r="B631" s="139"/>
      <c r="C631" s="139"/>
      <c r="D631" s="167"/>
      <c r="E631" s="44"/>
      <c r="F631" s="44"/>
      <c r="G631" s="46"/>
      <c r="H631" s="46"/>
    </row>
    <row r="632" spans="1:8" ht="12.75">
      <c r="A632" s="144"/>
      <c r="B632" s="139"/>
      <c r="C632" s="139"/>
      <c r="D632" s="167"/>
      <c r="E632" s="44"/>
      <c r="F632" s="44"/>
      <c r="G632" s="46"/>
      <c r="H632" s="46"/>
    </row>
    <row r="633" spans="1:8" ht="12.75">
      <c r="A633" s="144"/>
      <c r="B633" s="139"/>
      <c r="C633" s="139"/>
      <c r="D633" s="167"/>
      <c r="E633" s="44"/>
      <c r="F633" s="44"/>
      <c r="G633" s="46"/>
      <c r="H633" s="46"/>
    </row>
    <row r="634" spans="1:8" ht="12.75">
      <c r="A634" s="144"/>
      <c r="B634" s="139"/>
      <c r="C634" s="139"/>
      <c r="D634" s="167"/>
      <c r="E634" s="44"/>
      <c r="F634" s="44"/>
      <c r="G634" s="46"/>
      <c r="H634" s="46"/>
    </row>
    <row r="635" spans="1:8" ht="12.75">
      <c r="A635" s="144"/>
      <c r="B635" s="139"/>
      <c r="C635" s="139"/>
      <c r="D635" s="167"/>
      <c r="E635" s="44"/>
      <c r="F635" s="44"/>
      <c r="G635" s="46"/>
      <c r="H635" s="46"/>
    </row>
    <row r="636" spans="1:8" ht="12.75">
      <c r="A636" s="144"/>
      <c r="B636" s="139"/>
      <c r="C636" s="139"/>
      <c r="D636" s="167"/>
      <c r="E636" s="44"/>
      <c r="F636" s="44"/>
      <c r="G636" s="46"/>
      <c r="H636" s="46"/>
    </row>
    <row r="637" spans="1:8" ht="12.75">
      <c r="A637" s="144"/>
      <c r="B637" s="139"/>
      <c r="C637" s="139"/>
      <c r="D637" s="167"/>
      <c r="E637" s="44"/>
      <c r="F637" s="44"/>
      <c r="G637" s="46"/>
      <c r="H637" s="46"/>
    </row>
    <row r="638" spans="1:8" ht="12.75">
      <c r="A638" s="144"/>
      <c r="B638" s="139"/>
      <c r="C638" s="139"/>
      <c r="D638" s="167"/>
      <c r="E638" s="44"/>
      <c r="F638" s="44"/>
      <c r="G638" s="46"/>
      <c r="H638" s="46"/>
    </row>
    <row r="639" spans="1:8" ht="12.75">
      <c r="A639" s="144"/>
      <c r="B639" s="139"/>
      <c r="C639" s="139"/>
      <c r="D639" s="167"/>
      <c r="E639" s="44"/>
      <c r="F639" s="44"/>
      <c r="G639" s="46"/>
      <c r="H639" s="46"/>
    </row>
    <row r="640" spans="1:8" ht="12.75">
      <c r="A640" s="144"/>
      <c r="B640" s="139"/>
      <c r="C640" s="139"/>
      <c r="D640" s="167"/>
      <c r="E640" s="44"/>
      <c r="F640" s="44"/>
      <c r="G640" s="46"/>
      <c r="H640" s="46"/>
    </row>
    <row r="641" spans="1:8" ht="12.75">
      <c r="A641" s="144"/>
      <c r="B641" s="139"/>
      <c r="C641" s="139"/>
      <c r="D641" s="167"/>
      <c r="E641" s="44"/>
      <c r="F641" s="44"/>
      <c r="G641" s="46"/>
      <c r="H641" s="46"/>
    </row>
    <row r="642" spans="1:8" ht="12.75">
      <c r="A642" s="144"/>
      <c r="B642" s="139"/>
      <c r="C642" s="139"/>
      <c r="D642" s="167"/>
      <c r="E642" s="44"/>
      <c r="F642" s="44"/>
      <c r="G642" s="46"/>
      <c r="H642" s="46"/>
    </row>
    <row r="643" spans="1:8" ht="12.75">
      <c r="A643" s="144"/>
      <c r="B643" s="139"/>
      <c r="C643" s="139"/>
      <c r="D643" s="167"/>
      <c r="E643" s="44"/>
      <c r="F643" s="44"/>
      <c r="G643" s="46"/>
      <c r="H643" s="46"/>
    </row>
    <row r="644" spans="1:8" ht="12.75">
      <c r="A644" s="144"/>
      <c r="B644" s="139"/>
      <c r="C644" s="139"/>
      <c r="D644" s="167"/>
      <c r="E644" s="44"/>
      <c r="F644" s="44"/>
      <c r="G644" s="46"/>
      <c r="H644" s="46"/>
    </row>
    <row r="645" spans="1:8" ht="12.75">
      <c r="A645" s="144"/>
      <c r="B645" s="139"/>
      <c r="C645" s="139"/>
      <c r="D645" s="167"/>
      <c r="E645" s="44"/>
      <c r="F645" s="44"/>
      <c r="G645" s="46"/>
      <c r="H645" s="46"/>
    </row>
    <row r="646" spans="1:8" ht="12.75">
      <c r="A646" s="144"/>
      <c r="B646" s="139"/>
      <c r="C646" s="139"/>
      <c r="D646" s="167"/>
      <c r="E646" s="44"/>
      <c r="F646" s="44"/>
      <c r="G646" s="46"/>
      <c r="H646" s="46"/>
    </row>
    <row r="647" spans="1:8" ht="12.75">
      <c r="A647" s="144"/>
      <c r="B647" s="139"/>
      <c r="C647" s="139"/>
      <c r="D647" s="167"/>
      <c r="E647" s="44"/>
      <c r="F647" s="44"/>
      <c r="G647" s="46"/>
      <c r="H647" s="46"/>
    </row>
    <row r="648" spans="1:8" ht="12.75">
      <c r="A648" s="144"/>
      <c r="B648" s="139"/>
      <c r="C648" s="139"/>
      <c r="D648" s="167"/>
      <c r="E648" s="44"/>
      <c r="F648" s="44"/>
      <c r="G648" s="46"/>
      <c r="H648" s="46"/>
    </row>
    <row r="649" spans="1:8" ht="12.75">
      <c r="A649" s="144"/>
      <c r="B649" s="139"/>
      <c r="C649" s="139"/>
      <c r="D649" s="167"/>
      <c r="E649" s="44"/>
      <c r="F649" s="44"/>
      <c r="G649" s="46"/>
      <c r="H649" s="46"/>
    </row>
    <row r="650" spans="1:8" ht="12.75">
      <c r="A650" s="144"/>
      <c r="B650" s="139"/>
      <c r="C650" s="139"/>
      <c r="D650" s="167"/>
      <c r="E650" s="44"/>
      <c r="F650" s="44"/>
      <c r="G650" s="46"/>
      <c r="H650" s="46"/>
    </row>
    <row r="651" spans="1:8" ht="12.75">
      <c r="A651" s="144"/>
      <c r="B651" s="139"/>
      <c r="C651" s="139"/>
      <c r="D651" s="167"/>
      <c r="E651" s="44"/>
      <c r="F651" s="44"/>
      <c r="G651" s="46"/>
      <c r="H651" s="46"/>
    </row>
    <row r="652" spans="1:8" ht="12.75">
      <c r="A652" s="144"/>
      <c r="B652" s="139"/>
      <c r="C652" s="139"/>
      <c r="D652" s="167"/>
      <c r="E652" s="44"/>
      <c r="F652" s="44"/>
      <c r="G652" s="46"/>
      <c r="H652" s="46"/>
    </row>
    <row r="653" spans="1:8" ht="12.75">
      <c r="A653" s="144"/>
      <c r="B653" s="139"/>
      <c r="C653" s="139"/>
      <c r="D653" s="167"/>
      <c r="E653" s="44"/>
      <c r="F653" s="44"/>
      <c r="G653" s="46"/>
      <c r="H653" s="46"/>
    </row>
    <row r="654" spans="1:8" ht="12.75">
      <c r="A654" s="144"/>
      <c r="B654" s="139"/>
      <c r="C654" s="139"/>
      <c r="D654" s="167"/>
      <c r="E654" s="44"/>
      <c r="F654" s="44"/>
      <c r="G654" s="46"/>
      <c r="H654" s="46"/>
    </row>
    <row r="655" spans="1:8" ht="12.75">
      <c r="A655" s="144"/>
      <c r="B655" s="139"/>
      <c r="C655" s="139"/>
      <c r="D655" s="167"/>
      <c r="E655" s="44"/>
      <c r="F655" s="44"/>
      <c r="G655" s="46"/>
      <c r="H655" s="46"/>
    </row>
    <row r="656" spans="1:8" ht="12.75">
      <c r="A656" s="144"/>
      <c r="B656" s="139"/>
      <c r="C656" s="139"/>
      <c r="D656" s="167"/>
      <c r="E656" s="44"/>
      <c r="F656" s="44"/>
      <c r="G656" s="46"/>
      <c r="H656" s="46"/>
    </row>
    <row r="657" spans="1:8" ht="12.75">
      <c r="A657" s="144"/>
      <c r="B657" s="139"/>
      <c r="C657" s="139"/>
      <c r="D657" s="167"/>
      <c r="E657" s="44"/>
      <c r="F657" s="44"/>
      <c r="G657" s="46"/>
      <c r="H657" s="46"/>
    </row>
    <row r="658" spans="1:8" ht="12.75">
      <c r="A658" s="144"/>
      <c r="B658" s="139"/>
      <c r="C658" s="139"/>
      <c r="D658" s="167"/>
      <c r="E658" s="44"/>
      <c r="F658" s="44"/>
      <c r="G658" s="46"/>
      <c r="H658" s="46"/>
    </row>
    <row r="659" spans="1:8" ht="12.75">
      <c r="A659" s="144"/>
      <c r="B659" s="139"/>
      <c r="C659" s="139"/>
      <c r="D659" s="167"/>
      <c r="E659" s="44"/>
      <c r="F659" s="44"/>
      <c r="G659" s="46"/>
      <c r="H659" s="46"/>
    </row>
    <row r="660" spans="1:8" ht="12.75">
      <c r="A660" s="144"/>
      <c r="B660" s="139"/>
      <c r="C660" s="139"/>
      <c r="D660" s="167"/>
      <c r="E660" s="44"/>
      <c r="F660" s="44"/>
      <c r="G660" s="46"/>
      <c r="H660" s="46"/>
    </row>
    <row r="661" spans="1:8" ht="12.75">
      <c r="A661" s="144"/>
      <c r="B661" s="139"/>
      <c r="C661" s="139"/>
      <c r="D661" s="167"/>
      <c r="E661" s="44"/>
      <c r="F661" s="44"/>
      <c r="G661" s="46"/>
      <c r="H661" s="46"/>
    </row>
    <row r="662" spans="1:8" ht="12.75">
      <c r="A662" s="144"/>
      <c r="B662" s="139"/>
      <c r="C662" s="139"/>
      <c r="D662" s="167"/>
      <c r="E662" s="44"/>
      <c r="F662" s="44"/>
      <c r="G662" s="46"/>
      <c r="H662" s="46"/>
    </row>
    <row r="663" spans="1:8" ht="12.75">
      <c r="A663" s="144"/>
      <c r="B663" s="139"/>
      <c r="C663" s="139"/>
      <c r="D663" s="167"/>
      <c r="E663" s="44"/>
      <c r="F663" s="44"/>
      <c r="G663" s="46"/>
      <c r="H663" s="46"/>
    </row>
    <row r="664" spans="1:8" ht="12.75">
      <c r="A664" s="144"/>
      <c r="B664" s="139"/>
      <c r="C664" s="139"/>
      <c r="D664" s="167"/>
      <c r="E664" s="44"/>
      <c r="F664" s="44"/>
      <c r="G664" s="46"/>
      <c r="H664" s="46"/>
    </row>
    <row r="665" spans="1:8" ht="12.75">
      <c r="A665" s="144"/>
      <c r="B665" s="139"/>
      <c r="C665" s="139"/>
      <c r="D665" s="167"/>
      <c r="E665" s="44"/>
      <c r="F665" s="44"/>
      <c r="G665" s="46"/>
      <c r="H665" s="46"/>
    </row>
    <row r="666" spans="1:8" ht="12.75">
      <c r="A666" s="144"/>
      <c r="B666" s="139"/>
      <c r="C666" s="139"/>
      <c r="D666" s="167"/>
      <c r="E666" s="44"/>
      <c r="F666" s="44"/>
      <c r="G666" s="46"/>
      <c r="H666" s="46"/>
    </row>
    <row r="667" spans="1:8" ht="12.75">
      <c r="A667" s="144"/>
      <c r="B667" s="139"/>
      <c r="C667" s="139"/>
      <c r="D667" s="167"/>
      <c r="E667" s="44"/>
      <c r="F667" s="44"/>
      <c r="G667" s="46"/>
      <c r="H667" s="46"/>
    </row>
    <row r="668" spans="1:8" ht="12.75">
      <c r="A668" s="144"/>
      <c r="B668" s="139"/>
      <c r="C668" s="139"/>
      <c r="D668" s="167"/>
      <c r="E668" s="44"/>
      <c r="F668" s="44"/>
      <c r="G668" s="46"/>
      <c r="H668" s="46"/>
    </row>
    <row r="669" spans="1:8" ht="12.75">
      <c r="A669" s="144"/>
      <c r="B669" s="139"/>
      <c r="C669" s="139"/>
      <c r="D669" s="167"/>
      <c r="E669" s="44"/>
      <c r="F669" s="44"/>
      <c r="G669" s="46"/>
      <c r="H669" s="46"/>
    </row>
    <row r="670" spans="1:8" ht="12.75">
      <c r="A670" s="144"/>
      <c r="B670" s="139"/>
      <c r="C670" s="139"/>
      <c r="D670" s="167"/>
      <c r="E670" s="44"/>
      <c r="F670" s="44"/>
      <c r="G670" s="46"/>
      <c r="H670" s="46"/>
    </row>
    <row r="671" spans="1:8" ht="12.75">
      <c r="A671" s="144"/>
      <c r="B671" s="139"/>
      <c r="C671" s="139"/>
      <c r="D671" s="167"/>
      <c r="E671" s="44"/>
      <c r="F671" s="44"/>
      <c r="G671" s="46"/>
      <c r="H671" s="46"/>
    </row>
    <row r="672" spans="1:8" ht="12.75">
      <c r="A672" s="144"/>
      <c r="B672" s="139"/>
      <c r="C672" s="139"/>
      <c r="D672" s="167"/>
      <c r="E672" s="44"/>
      <c r="F672" s="44"/>
      <c r="G672" s="46"/>
      <c r="H672" s="46"/>
    </row>
    <row r="673" spans="1:8" ht="12.75">
      <c r="A673" s="144"/>
      <c r="B673" s="139"/>
      <c r="C673" s="139"/>
      <c r="D673" s="167"/>
      <c r="E673" s="44"/>
      <c r="F673" s="44"/>
      <c r="G673" s="46"/>
      <c r="H673" s="46"/>
    </row>
    <row r="674" spans="1:8" ht="12.75">
      <c r="A674" s="144"/>
      <c r="B674" s="139"/>
      <c r="C674" s="139"/>
      <c r="D674" s="167"/>
      <c r="E674" s="44"/>
      <c r="F674" s="44"/>
      <c r="G674" s="46"/>
      <c r="H674" s="46"/>
    </row>
    <row r="675" spans="1:8" ht="12.75">
      <c r="A675" s="144"/>
      <c r="B675" s="139"/>
      <c r="C675" s="139"/>
      <c r="D675" s="167"/>
      <c r="E675" s="44"/>
      <c r="F675" s="44"/>
      <c r="G675" s="46"/>
      <c r="H675" s="46"/>
    </row>
    <row r="676" spans="1:8" ht="12.75">
      <c r="A676" s="144"/>
      <c r="B676" s="139"/>
      <c r="C676" s="139"/>
      <c r="D676" s="167"/>
      <c r="E676" s="44"/>
      <c r="F676" s="44"/>
      <c r="G676" s="46"/>
      <c r="H676" s="46"/>
    </row>
    <row r="677" spans="1:8" ht="12.75">
      <c r="A677" s="144"/>
      <c r="B677" s="139"/>
      <c r="C677" s="139"/>
      <c r="D677" s="167"/>
      <c r="E677" s="44"/>
      <c r="F677" s="44"/>
      <c r="G677" s="46"/>
      <c r="H677" s="46"/>
    </row>
    <row r="678" spans="1:8" ht="12.75">
      <c r="A678" s="144"/>
      <c r="B678" s="139"/>
      <c r="C678" s="139"/>
      <c r="D678" s="167"/>
      <c r="E678" s="44"/>
      <c r="F678" s="44"/>
      <c r="G678" s="46"/>
      <c r="H678" s="46"/>
    </row>
    <row r="679" spans="1:8" ht="12.75">
      <c r="A679" s="144"/>
      <c r="B679" s="139"/>
      <c r="C679" s="139"/>
      <c r="D679" s="167"/>
      <c r="E679" s="44"/>
      <c r="F679" s="44"/>
      <c r="G679" s="46"/>
      <c r="H679" s="46"/>
    </row>
    <row r="680" spans="1:8" ht="12.75">
      <c r="A680" s="144"/>
      <c r="B680" s="139"/>
      <c r="C680" s="139"/>
      <c r="D680" s="167"/>
      <c r="E680" s="44"/>
      <c r="F680" s="44"/>
      <c r="G680" s="46"/>
      <c r="H680" s="46"/>
    </row>
    <row r="681" spans="1:8" ht="12.75">
      <c r="A681" s="144"/>
      <c r="B681" s="139"/>
      <c r="C681" s="139"/>
      <c r="D681" s="167"/>
      <c r="E681" s="44"/>
      <c r="F681" s="44"/>
      <c r="G681" s="46"/>
      <c r="H681" s="46"/>
    </row>
    <row r="682" spans="1:8" ht="12.75">
      <c r="A682" s="144"/>
      <c r="B682" s="139"/>
      <c r="C682" s="139"/>
      <c r="D682" s="167"/>
      <c r="E682" s="44"/>
      <c r="F682" s="44"/>
      <c r="G682" s="46"/>
      <c r="H682" s="46"/>
    </row>
    <row r="683" spans="1:8" ht="12.75">
      <c r="A683" s="144"/>
      <c r="B683" s="139"/>
      <c r="C683" s="139"/>
      <c r="D683" s="167"/>
      <c r="E683" s="44"/>
      <c r="F683" s="44"/>
      <c r="G683" s="46"/>
      <c r="H683" s="46"/>
    </row>
    <row r="684" spans="1:8" ht="12.75">
      <c r="A684" s="144"/>
      <c r="B684" s="139"/>
      <c r="C684" s="139"/>
      <c r="D684" s="167"/>
      <c r="E684" s="44"/>
      <c r="F684" s="44"/>
      <c r="G684" s="46"/>
      <c r="H684" s="46"/>
    </row>
    <row r="685" spans="1:8" ht="12.75">
      <c r="A685" s="144"/>
      <c r="B685" s="139"/>
      <c r="C685" s="139"/>
      <c r="D685" s="167"/>
      <c r="E685" s="44"/>
      <c r="F685" s="44"/>
      <c r="G685" s="46"/>
      <c r="H685" s="46"/>
    </row>
    <row r="686" spans="1:8" ht="12.75">
      <c r="A686" s="144"/>
      <c r="B686" s="139"/>
      <c r="C686" s="139"/>
      <c r="D686" s="167"/>
      <c r="E686" s="44"/>
      <c r="F686" s="44"/>
      <c r="G686" s="46"/>
      <c r="H686" s="46"/>
    </row>
    <row r="687" spans="1:8" ht="12.75">
      <c r="A687" s="144"/>
      <c r="B687" s="139"/>
      <c r="C687" s="139"/>
      <c r="D687" s="167"/>
      <c r="E687" s="44"/>
      <c r="F687" s="44"/>
      <c r="G687" s="46"/>
      <c r="H687" s="46"/>
    </row>
    <row r="688" spans="1:8" ht="12.75">
      <c r="A688" s="144"/>
      <c r="B688" s="139"/>
      <c r="C688" s="139"/>
      <c r="D688" s="167"/>
      <c r="E688" s="44"/>
      <c r="F688" s="44"/>
      <c r="G688" s="46"/>
      <c r="H688" s="46"/>
    </row>
    <row r="689" spans="1:8" ht="12.75">
      <c r="A689" s="144"/>
      <c r="B689" s="139"/>
      <c r="C689" s="139"/>
      <c r="D689" s="167"/>
      <c r="E689" s="44"/>
      <c r="F689" s="44"/>
      <c r="G689" s="46"/>
      <c r="H689" s="46"/>
    </row>
    <row r="690" spans="1:8" ht="12.75">
      <c r="A690" s="144"/>
      <c r="B690" s="139"/>
      <c r="C690" s="139"/>
      <c r="D690" s="167"/>
      <c r="E690" s="44"/>
      <c r="F690" s="44"/>
      <c r="G690" s="46"/>
      <c r="H690" s="46"/>
    </row>
    <row r="691" spans="1:8" ht="12.75">
      <c r="A691" s="144"/>
      <c r="B691" s="139"/>
      <c r="C691" s="139"/>
      <c r="D691" s="167"/>
      <c r="E691" s="44"/>
      <c r="F691" s="44"/>
      <c r="G691" s="46"/>
      <c r="H691" s="46"/>
    </row>
    <row r="692" spans="1:8" ht="12.75">
      <c r="A692" s="144"/>
      <c r="B692" s="139"/>
      <c r="C692" s="139"/>
      <c r="D692" s="167"/>
      <c r="E692" s="44"/>
      <c r="F692" s="44"/>
      <c r="G692" s="46"/>
      <c r="H692" s="46"/>
    </row>
    <row r="693" spans="1:8" ht="12.75">
      <c r="A693" s="144"/>
      <c r="B693" s="139"/>
      <c r="C693" s="139"/>
      <c r="D693" s="167"/>
      <c r="E693" s="44"/>
      <c r="F693" s="44"/>
      <c r="G693" s="46"/>
      <c r="H693" s="46"/>
    </row>
    <row r="694" spans="1:8" ht="12.75">
      <c r="A694" s="144"/>
      <c r="B694" s="139"/>
      <c r="C694" s="139"/>
      <c r="D694" s="167"/>
      <c r="E694" s="44"/>
      <c r="F694" s="44"/>
      <c r="G694" s="46"/>
      <c r="H694" s="46"/>
    </row>
    <row r="695" spans="1:8" ht="12.75">
      <c r="A695" s="144"/>
      <c r="B695" s="139"/>
      <c r="C695" s="139"/>
      <c r="D695" s="167"/>
      <c r="E695" s="44"/>
      <c r="F695" s="44"/>
      <c r="G695" s="46"/>
      <c r="H695" s="46"/>
    </row>
    <row r="696" spans="1:8" ht="12.75">
      <c r="A696" s="144"/>
      <c r="B696" s="139"/>
      <c r="C696" s="139"/>
      <c r="D696" s="167"/>
      <c r="E696" s="44"/>
      <c r="F696" s="44"/>
      <c r="G696" s="46"/>
      <c r="H696" s="46"/>
    </row>
    <row r="697" spans="1:8" ht="12.75">
      <c r="A697" s="144"/>
      <c r="B697" s="139"/>
      <c r="C697" s="139"/>
      <c r="D697" s="167"/>
      <c r="E697" s="44"/>
      <c r="F697" s="44"/>
      <c r="G697" s="46"/>
      <c r="H697" s="46"/>
    </row>
    <row r="698" spans="1:8" ht="12.75">
      <c r="A698" s="144"/>
      <c r="B698" s="139"/>
      <c r="C698" s="139"/>
      <c r="D698" s="167"/>
      <c r="E698" s="44"/>
      <c r="F698" s="44"/>
      <c r="G698" s="46"/>
      <c r="H698" s="46"/>
    </row>
    <row r="699" spans="1:8" ht="12.75">
      <c r="A699" s="144"/>
      <c r="B699" s="139"/>
      <c r="C699" s="139"/>
      <c r="D699" s="167"/>
      <c r="E699" s="44"/>
      <c r="F699" s="44"/>
      <c r="G699" s="46"/>
      <c r="H699" s="46"/>
    </row>
    <row r="700" spans="1:8" ht="12.75">
      <c r="A700" s="144"/>
      <c r="B700" s="139"/>
      <c r="C700" s="139"/>
      <c r="D700" s="167"/>
      <c r="E700" s="44"/>
      <c r="F700" s="44"/>
      <c r="G700" s="46"/>
      <c r="H700" s="46"/>
    </row>
    <row r="701" spans="1:8" ht="12.75">
      <c r="A701" s="144"/>
      <c r="B701" s="139"/>
      <c r="C701" s="139"/>
      <c r="D701" s="167"/>
      <c r="E701" s="44"/>
      <c r="F701" s="44"/>
      <c r="G701" s="46"/>
      <c r="H701" s="46"/>
    </row>
    <row r="702" spans="1:8" ht="12.75">
      <c r="A702" s="144"/>
      <c r="B702" s="139"/>
      <c r="C702" s="139"/>
      <c r="D702" s="167"/>
      <c r="E702" s="44"/>
      <c r="F702" s="44"/>
      <c r="G702" s="46"/>
      <c r="H702" s="46"/>
    </row>
    <row r="703" spans="1:8" ht="12.75">
      <c r="A703" s="144"/>
      <c r="B703" s="139"/>
      <c r="C703" s="139"/>
      <c r="D703" s="167"/>
      <c r="E703" s="44"/>
      <c r="F703" s="44"/>
      <c r="G703" s="46"/>
      <c r="H703" s="46"/>
    </row>
    <row r="704" spans="1:8" ht="12.75">
      <c r="A704" s="144"/>
      <c r="B704" s="139"/>
      <c r="C704" s="139"/>
      <c r="D704" s="167"/>
      <c r="E704" s="44"/>
      <c r="F704" s="44"/>
      <c r="G704" s="46"/>
      <c r="H704" s="46"/>
    </row>
    <row r="705" spans="1:8" ht="12.75">
      <c r="A705" s="144"/>
      <c r="B705" s="139"/>
      <c r="C705" s="139"/>
      <c r="D705" s="167"/>
      <c r="E705" s="44"/>
      <c r="F705" s="44"/>
      <c r="G705" s="46"/>
      <c r="H705" s="46"/>
    </row>
    <row r="706" spans="1:8" ht="12.75">
      <c r="A706" s="144"/>
      <c r="B706" s="139"/>
      <c r="C706" s="139"/>
      <c r="D706" s="167"/>
      <c r="E706" s="44"/>
      <c r="F706" s="44"/>
      <c r="G706" s="46"/>
      <c r="H706" s="46"/>
    </row>
    <row r="707" spans="1:8" ht="12.75">
      <c r="A707" s="144"/>
      <c r="B707" s="139"/>
      <c r="C707" s="139"/>
      <c r="D707" s="167"/>
      <c r="E707" s="44"/>
      <c r="F707" s="44"/>
      <c r="G707" s="46"/>
      <c r="H707" s="46"/>
    </row>
    <row r="708" spans="1:8" ht="12.75">
      <c r="A708" s="144"/>
      <c r="B708" s="139"/>
      <c r="C708" s="139"/>
      <c r="D708" s="167"/>
      <c r="E708" s="44"/>
      <c r="F708" s="44"/>
      <c r="G708" s="46"/>
      <c r="H708" s="46"/>
    </row>
    <row r="709" spans="1:8" ht="12.75">
      <c r="A709" s="144"/>
      <c r="B709" s="139"/>
      <c r="C709" s="139"/>
      <c r="D709" s="167"/>
      <c r="E709" s="44"/>
      <c r="F709" s="44"/>
      <c r="G709" s="46"/>
      <c r="H709" s="46"/>
    </row>
    <row r="710" spans="1:8" ht="12.75">
      <c r="A710" s="144"/>
      <c r="B710" s="139"/>
      <c r="C710" s="139"/>
      <c r="D710" s="167"/>
      <c r="E710" s="44"/>
      <c r="F710" s="44"/>
      <c r="G710" s="46"/>
      <c r="H710" s="46"/>
    </row>
    <row r="711" spans="1:8" ht="12.75">
      <c r="A711" s="144"/>
      <c r="B711" s="139"/>
      <c r="C711" s="139"/>
      <c r="D711" s="167"/>
      <c r="E711" s="44"/>
      <c r="F711" s="44"/>
      <c r="G711" s="46"/>
      <c r="H711" s="46"/>
    </row>
    <row r="712" spans="1:8" ht="12.75">
      <c r="A712" s="144"/>
      <c r="B712" s="139"/>
      <c r="C712" s="139"/>
      <c r="D712" s="167"/>
      <c r="E712" s="44"/>
      <c r="F712" s="44"/>
      <c r="G712" s="46"/>
      <c r="H712" s="46"/>
    </row>
    <row r="713" spans="1:8" ht="12.75">
      <c r="A713" s="144"/>
      <c r="B713" s="139"/>
      <c r="C713" s="139"/>
      <c r="D713" s="167"/>
      <c r="E713" s="44"/>
      <c r="F713" s="44"/>
      <c r="G713" s="46"/>
      <c r="H713" s="46"/>
    </row>
    <row r="714" spans="1:8" ht="12.75">
      <c r="A714" s="144"/>
      <c r="B714" s="139"/>
      <c r="C714" s="139"/>
      <c r="D714" s="167"/>
      <c r="E714" s="44"/>
      <c r="F714" s="44"/>
      <c r="G714" s="46"/>
      <c r="H714" s="46"/>
    </row>
    <row r="715" spans="1:8" ht="12.75">
      <c r="A715" s="144"/>
      <c r="B715" s="139"/>
      <c r="C715" s="139"/>
      <c r="D715" s="167"/>
      <c r="E715" s="44"/>
      <c r="F715" s="44"/>
      <c r="G715" s="46"/>
      <c r="H715" s="46"/>
    </row>
    <row r="716" spans="1:8" ht="12.75">
      <c r="A716" s="144"/>
      <c r="B716" s="139"/>
      <c r="C716" s="139"/>
      <c r="D716" s="167"/>
      <c r="E716" s="44"/>
      <c r="F716" s="44"/>
      <c r="G716" s="46"/>
      <c r="H716" s="46"/>
    </row>
    <row r="717" spans="1:8" ht="12.75">
      <c r="A717" s="144"/>
      <c r="B717" s="139"/>
      <c r="C717" s="139"/>
      <c r="D717" s="167"/>
      <c r="E717" s="44"/>
      <c r="F717" s="44"/>
      <c r="G717" s="46"/>
      <c r="H717" s="46"/>
    </row>
    <row r="718" spans="1:8" ht="12.75">
      <c r="A718" s="144"/>
      <c r="B718" s="139"/>
      <c r="C718" s="139"/>
      <c r="D718" s="167"/>
      <c r="E718" s="44"/>
      <c r="F718" s="44"/>
      <c r="G718" s="46"/>
      <c r="H718" s="46"/>
    </row>
    <row r="719" spans="1:8" ht="12.75">
      <c r="A719" s="144"/>
      <c r="B719" s="139"/>
      <c r="C719" s="139"/>
      <c r="D719" s="167"/>
      <c r="E719" s="44"/>
      <c r="F719" s="44"/>
      <c r="G719" s="46"/>
      <c r="H719" s="46"/>
    </row>
    <row r="720" spans="1:8" ht="12.75">
      <c r="A720" s="144"/>
      <c r="B720" s="139"/>
      <c r="C720" s="139"/>
      <c r="D720" s="167"/>
      <c r="E720" s="44"/>
      <c r="F720" s="44"/>
      <c r="G720" s="46"/>
      <c r="H720" s="46"/>
    </row>
    <row r="721" spans="1:8" ht="12.75">
      <c r="A721" s="144"/>
      <c r="B721" s="139"/>
      <c r="C721" s="139"/>
      <c r="D721" s="167"/>
      <c r="E721" s="44"/>
      <c r="F721" s="44"/>
      <c r="G721" s="46"/>
      <c r="H721" s="46"/>
    </row>
    <row r="722" spans="1:8" ht="12.75">
      <c r="A722" s="144"/>
      <c r="B722" s="139"/>
      <c r="C722" s="139"/>
      <c r="D722" s="167"/>
      <c r="E722" s="44"/>
      <c r="F722" s="44"/>
      <c r="G722" s="46"/>
      <c r="H722" s="46"/>
    </row>
    <row r="723" spans="1:8" ht="12.75">
      <c r="A723" s="144"/>
      <c r="B723" s="139"/>
      <c r="C723" s="139"/>
      <c r="D723" s="167"/>
      <c r="E723" s="44"/>
      <c r="F723" s="44"/>
      <c r="G723" s="46"/>
      <c r="H723" s="46"/>
    </row>
    <row r="724" spans="1:8" ht="12.75">
      <c r="A724" s="144"/>
      <c r="B724" s="139"/>
      <c r="C724" s="139"/>
      <c r="D724" s="167"/>
      <c r="E724" s="44"/>
      <c r="F724" s="44"/>
      <c r="G724" s="46"/>
      <c r="H724" s="46"/>
    </row>
    <row r="725" spans="1:8" ht="12.75">
      <c r="A725" s="144"/>
      <c r="B725" s="139"/>
      <c r="C725" s="139"/>
      <c r="D725" s="167"/>
      <c r="E725" s="44"/>
      <c r="F725" s="44"/>
      <c r="G725" s="46"/>
      <c r="H725" s="46"/>
    </row>
    <row r="726" spans="1:8" ht="12.75">
      <c r="A726" s="144"/>
      <c r="B726" s="139"/>
      <c r="C726" s="139"/>
      <c r="D726" s="167"/>
      <c r="E726" s="44"/>
      <c r="F726" s="44"/>
      <c r="G726" s="46"/>
      <c r="H726" s="46"/>
    </row>
    <row r="727" spans="1:8" ht="12.75">
      <c r="A727" s="144"/>
      <c r="B727" s="139"/>
      <c r="C727" s="139"/>
      <c r="D727" s="167"/>
      <c r="E727" s="44"/>
      <c r="F727" s="44"/>
      <c r="G727" s="46"/>
      <c r="H727" s="46"/>
    </row>
    <row r="728" spans="1:8" ht="12.75">
      <c r="A728" s="144"/>
      <c r="B728" s="139"/>
      <c r="C728" s="139"/>
      <c r="D728" s="167"/>
      <c r="E728" s="44"/>
      <c r="F728" s="44"/>
      <c r="G728" s="46"/>
      <c r="H728" s="46"/>
    </row>
    <row r="729" spans="1:8" ht="12.75">
      <c r="A729" s="144"/>
      <c r="B729" s="139"/>
      <c r="C729" s="139"/>
      <c r="D729" s="167"/>
      <c r="E729" s="44"/>
      <c r="F729" s="44"/>
      <c r="G729" s="46"/>
      <c r="H729" s="46"/>
    </row>
    <row r="730" spans="1:8" ht="12.75">
      <c r="A730" s="144"/>
      <c r="B730" s="139"/>
      <c r="C730" s="139"/>
      <c r="D730" s="167"/>
      <c r="E730" s="44"/>
      <c r="F730" s="44"/>
      <c r="G730" s="46"/>
      <c r="H730" s="46"/>
    </row>
    <row r="731" spans="1:8" ht="12.75">
      <c r="A731" s="144"/>
      <c r="B731" s="139"/>
      <c r="C731" s="139"/>
      <c r="D731" s="167"/>
      <c r="E731" s="44"/>
      <c r="F731" s="44"/>
      <c r="G731" s="46"/>
      <c r="H731" s="46"/>
    </row>
    <row r="732" spans="1:8" ht="12.75">
      <c r="A732" s="144"/>
      <c r="B732" s="139"/>
      <c r="C732" s="139"/>
      <c r="D732" s="167"/>
      <c r="E732" s="44"/>
      <c r="F732" s="44"/>
      <c r="G732" s="46"/>
      <c r="H732" s="46"/>
    </row>
    <row r="733" spans="1:8" ht="12.75">
      <c r="A733" s="144"/>
      <c r="B733" s="139"/>
      <c r="C733" s="139"/>
      <c r="D733" s="167"/>
      <c r="E733" s="44"/>
      <c r="F733" s="44"/>
      <c r="G733" s="46"/>
      <c r="H733" s="46"/>
    </row>
    <row r="734" spans="1:8" ht="12.75">
      <c r="A734" s="144"/>
      <c r="B734" s="139"/>
      <c r="C734" s="139"/>
      <c r="D734" s="167"/>
      <c r="E734" s="44"/>
      <c r="F734" s="44"/>
      <c r="G734" s="46"/>
      <c r="H734" s="46"/>
    </row>
    <row r="735" spans="1:8" ht="12.75">
      <c r="A735" s="144"/>
      <c r="B735" s="139"/>
      <c r="C735" s="139"/>
      <c r="D735" s="167"/>
      <c r="E735" s="44"/>
      <c r="F735" s="44"/>
      <c r="G735" s="46"/>
      <c r="H735" s="46"/>
    </row>
    <row r="736" spans="1:8" ht="12.75">
      <c r="A736" s="144"/>
      <c r="B736" s="139"/>
      <c r="C736" s="139"/>
      <c r="D736" s="167"/>
      <c r="E736" s="44"/>
      <c r="F736" s="44"/>
      <c r="G736" s="46"/>
      <c r="H736" s="46"/>
    </row>
    <row r="737" spans="1:8" ht="12.75">
      <c r="A737" s="144"/>
      <c r="B737" s="139"/>
      <c r="C737" s="139"/>
      <c r="D737" s="167"/>
      <c r="E737" s="44"/>
      <c r="F737" s="44"/>
      <c r="G737" s="46"/>
      <c r="H737" s="46"/>
    </row>
    <row r="738" spans="1:8" ht="12.75">
      <c r="A738" s="144"/>
      <c r="B738" s="139"/>
      <c r="C738" s="139"/>
      <c r="D738" s="167"/>
      <c r="E738" s="44"/>
      <c r="F738" s="44"/>
      <c r="G738" s="46"/>
      <c r="H738" s="46"/>
    </row>
    <row r="739" spans="1:8" ht="12.75">
      <c r="A739" s="144"/>
      <c r="B739" s="139"/>
      <c r="C739" s="139"/>
      <c r="D739" s="167"/>
      <c r="E739" s="44"/>
      <c r="F739" s="44"/>
      <c r="G739" s="46"/>
      <c r="H739" s="46"/>
    </row>
    <row r="740" spans="1:8" ht="12.75">
      <c r="A740" s="144"/>
      <c r="B740" s="139"/>
      <c r="C740" s="139"/>
      <c r="D740" s="167"/>
      <c r="E740" s="44"/>
      <c r="F740" s="44"/>
      <c r="G740" s="46"/>
      <c r="H740" s="46"/>
    </row>
    <row r="741" spans="1:8" ht="12.75">
      <c r="A741" s="144"/>
      <c r="B741" s="139"/>
      <c r="C741" s="139"/>
      <c r="D741" s="167"/>
      <c r="E741" s="44"/>
      <c r="F741" s="44"/>
      <c r="G741" s="46"/>
      <c r="H741" s="46"/>
    </row>
    <row r="742" spans="1:8" ht="12.75">
      <c r="A742" s="144"/>
      <c r="B742" s="139"/>
      <c r="C742" s="139"/>
      <c r="D742" s="167"/>
      <c r="E742" s="44"/>
      <c r="F742" s="44"/>
      <c r="G742" s="46"/>
      <c r="H742" s="46"/>
    </row>
    <row r="743" spans="1:8" ht="12.75">
      <c r="A743" s="144"/>
      <c r="B743" s="139"/>
      <c r="C743" s="139"/>
      <c r="D743" s="167"/>
      <c r="E743" s="44"/>
      <c r="F743" s="44"/>
      <c r="G743" s="46"/>
      <c r="H743" s="46"/>
    </row>
    <row r="744" spans="1:8" ht="12.75">
      <c r="A744" s="144"/>
      <c r="B744" s="139"/>
      <c r="C744" s="139"/>
      <c r="D744" s="167"/>
      <c r="E744" s="44"/>
      <c r="F744" s="44"/>
      <c r="G744" s="46"/>
      <c r="H744" s="46"/>
    </row>
    <row r="745" spans="1:8" ht="12.75">
      <c r="A745" s="144"/>
      <c r="B745" s="139"/>
      <c r="C745" s="139"/>
      <c r="D745" s="167"/>
      <c r="E745" s="44"/>
      <c r="F745" s="44"/>
      <c r="G745" s="46"/>
      <c r="H745" s="46"/>
    </row>
    <row r="746" spans="1:8" ht="12.75">
      <c r="A746" s="144"/>
      <c r="B746" s="139"/>
      <c r="C746" s="139"/>
      <c r="D746" s="167"/>
      <c r="E746" s="44"/>
      <c r="F746" s="44"/>
      <c r="G746" s="46"/>
      <c r="H746" s="46"/>
    </row>
    <row r="747" spans="1:8" ht="12.75">
      <c r="A747" s="144"/>
      <c r="B747" s="139"/>
      <c r="C747" s="139"/>
      <c r="D747" s="167"/>
      <c r="E747" s="44"/>
      <c r="F747" s="44"/>
      <c r="G747" s="46"/>
      <c r="H747" s="46"/>
    </row>
    <row r="748" spans="1:8" ht="12.75">
      <c r="A748" s="144"/>
      <c r="B748" s="139"/>
      <c r="C748" s="139"/>
      <c r="D748" s="167"/>
      <c r="E748" s="44"/>
      <c r="F748" s="44"/>
      <c r="G748" s="46"/>
      <c r="H748" s="46"/>
    </row>
    <row r="749" spans="1:8" ht="12.75">
      <c r="A749" s="144"/>
      <c r="B749" s="139"/>
      <c r="C749" s="139"/>
      <c r="D749" s="167"/>
      <c r="E749" s="44"/>
      <c r="F749" s="44"/>
      <c r="G749" s="46"/>
      <c r="H749" s="46"/>
    </row>
    <row r="750" spans="1:8" ht="12.75">
      <c r="A750" s="144"/>
      <c r="B750" s="139"/>
      <c r="C750" s="139"/>
      <c r="D750" s="167"/>
      <c r="E750" s="44"/>
      <c r="F750" s="44"/>
      <c r="G750" s="46"/>
      <c r="H750" s="46"/>
    </row>
    <row r="751" spans="1:8" ht="12.75">
      <c r="A751" s="144"/>
      <c r="B751" s="139"/>
      <c r="C751" s="139"/>
      <c r="D751" s="167"/>
      <c r="E751" s="44"/>
      <c r="F751" s="44"/>
      <c r="G751" s="46"/>
      <c r="H751" s="46"/>
    </row>
    <row r="752" spans="1:8" ht="12.75">
      <c r="A752" s="144"/>
      <c r="B752" s="139"/>
      <c r="C752" s="139"/>
      <c r="D752" s="167"/>
      <c r="E752" s="44"/>
      <c r="F752" s="44"/>
      <c r="G752" s="46"/>
      <c r="H752" s="46"/>
    </row>
    <row r="753" spans="1:8" ht="12.75">
      <c r="A753" s="144"/>
      <c r="B753" s="139"/>
      <c r="C753" s="139"/>
      <c r="D753" s="167"/>
      <c r="E753" s="44"/>
      <c r="F753" s="44"/>
      <c r="G753" s="46"/>
      <c r="H753" s="46"/>
    </row>
    <row r="754" spans="1:8" ht="12.75">
      <c r="A754" s="144"/>
      <c r="B754" s="139"/>
      <c r="C754" s="139"/>
      <c r="D754" s="167"/>
      <c r="E754" s="44"/>
      <c r="F754" s="44"/>
      <c r="G754" s="46"/>
      <c r="H754" s="46"/>
    </row>
    <row r="755" spans="1:8" ht="12.75">
      <c r="A755" s="144"/>
      <c r="B755" s="139"/>
      <c r="C755" s="139"/>
      <c r="D755" s="167"/>
      <c r="E755" s="44"/>
      <c r="F755" s="44"/>
      <c r="G755" s="46"/>
      <c r="H755" s="46"/>
    </row>
    <row r="756" spans="1:8" ht="12.75">
      <c r="A756" s="144"/>
      <c r="B756" s="139"/>
      <c r="C756" s="139"/>
      <c r="D756" s="167"/>
      <c r="E756" s="44"/>
      <c r="F756" s="44"/>
      <c r="G756" s="46"/>
      <c r="H756" s="46"/>
    </row>
    <row r="757" spans="1:8" ht="12.75">
      <c r="A757" s="144"/>
      <c r="B757" s="139"/>
      <c r="C757" s="139"/>
      <c r="D757" s="167"/>
      <c r="E757" s="44"/>
      <c r="F757" s="44"/>
      <c r="G757" s="46"/>
      <c r="H757" s="46"/>
    </row>
    <row r="758" spans="1:8" ht="12.75">
      <c r="A758" s="144"/>
      <c r="B758" s="139"/>
      <c r="C758" s="139"/>
      <c r="D758" s="167"/>
      <c r="E758" s="44"/>
      <c r="F758" s="44"/>
      <c r="G758" s="46"/>
      <c r="H758" s="46"/>
    </row>
    <row r="759" spans="1:8" ht="12.75">
      <c r="A759" s="144"/>
      <c r="B759" s="139"/>
      <c r="C759" s="139"/>
      <c r="D759" s="167"/>
      <c r="E759" s="44"/>
      <c r="F759" s="44"/>
      <c r="G759" s="46"/>
      <c r="H759" s="46"/>
    </row>
    <row r="760" spans="1:8" ht="12.75">
      <c r="A760" s="144"/>
      <c r="B760" s="139"/>
      <c r="C760" s="139"/>
      <c r="D760" s="167"/>
      <c r="E760" s="44"/>
      <c r="F760" s="44"/>
      <c r="G760" s="46"/>
      <c r="H760" s="46"/>
    </row>
    <row r="761" spans="1:8" ht="12.75">
      <c r="A761" s="144"/>
      <c r="B761" s="139"/>
      <c r="C761" s="139"/>
      <c r="D761" s="167"/>
      <c r="E761" s="44"/>
      <c r="F761" s="44"/>
      <c r="G761" s="46"/>
      <c r="H761" s="46"/>
    </row>
    <row r="762" spans="1:8" ht="12.75">
      <c r="A762" s="144"/>
      <c r="B762" s="139"/>
      <c r="C762" s="139"/>
      <c r="D762" s="167"/>
      <c r="E762" s="44"/>
      <c r="F762" s="44"/>
      <c r="G762" s="46"/>
      <c r="H762" s="46"/>
    </row>
    <row r="763" spans="1:8" ht="12.75">
      <c r="A763" s="144"/>
      <c r="B763" s="139"/>
      <c r="C763" s="139"/>
      <c r="D763" s="167"/>
      <c r="E763" s="44"/>
      <c r="F763" s="44"/>
      <c r="G763" s="46"/>
      <c r="H763" s="46"/>
    </row>
    <row r="764" spans="1:8" ht="12.75">
      <c r="A764" s="144"/>
      <c r="B764" s="139"/>
      <c r="C764" s="139"/>
      <c r="D764" s="167"/>
      <c r="E764" s="44"/>
      <c r="F764" s="44"/>
      <c r="G764" s="46"/>
      <c r="H764" s="46"/>
    </row>
    <row r="765" spans="1:8" ht="12.75">
      <c r="A765" s="144"/>
      <c r="B765" s="139"/>
      <c r="C765" s="139"/>
      <c r="D765" s="167"/>
      <c r="E765" s="44"/>
      <c r="F765" s="44"/>
      <c r="G765" s="46"/>
      <c r="H765" s="46"/>
    </row>
    <row r="766" spans="1:8" ht="12.75">
      <c r="A766" s="144"/>
      <c r="B766" s="139"/>
      <c r="C766" s="139"/>
      <c r="D766" s="167"/>
      <c r="E766" s="44"/>
      <c r="F766" s="44"/>
      <c r="G766" s="46"/>
      <c r="H766" s="46"/>
    </row>
    <row r="767" spans="1:8" ht="12.75">
      <c r="A767" s="144"/>
      <c r="B767" s="139"/>
      <c r="C767" s="139"/>
      <c r="D767" s="167"/>
      <c r="E767" s="44"/>
      <c r="F767" s="44"/>
      <c r="G767" s="46"/>
      <c r="H767" s="46"/>
    </row>
    <row r="768" spans="1:8" ht="12.75">
      <c r="A768" s="144"/>
      <c r="B768" s="139"/>
      <c r="C768" s="139"/>
      <c r="D768" s="167"/>
      <c r="E768" s="44"/>
      <c r="F768" s="44"/>
      <c r="G768" s="46"/>
      <c r="H768" s="46"/>
    </row>
    <row r="769" spans="1:8" ht="12.75">
      <c r="A769" s="144"/>
      <c r="B769" s="139"/>
      <c r="C769" s="139"/>
      <c r="D769" s="167"/>
      <c r="E769" s="44"/>
      <c r="F769" s="44"/>
      <c r="G769" s="46"/>
      <c r="H769" s="46"/>
    </row>
    <row r="770" spans="1:8" ht="12.75">
      <c r="A770" s="144"/>
      <c r="B770" s="139"/>
      <c r="C770" s="139"/>
      <c r="D770" s="167"/>
      <c r="E770" s="44"/>
      <c r="F770" s="44"/>
      <c r="G770" s="46"/>
      <c r="H770" s="46"/>
    </row>
    <row r="771" spans="1:8" ht="12.75">
      <c r="A771" s="144"/>
      <c r="B771" s="139"/>
      <c r="C771" s="139"/>
      <c r="D771" s="167"/>
      <c r="E771" s="44"/>
      <c r="F771" s="44"/>
      <c r="G771" s="46"/>
      <c r="H771" s="46"/>
    </row>
    <row r="772" spans="1:8" ht="12.75">
      <c r="A772" s="144"/>
      <c r="B772" s="139"/>
      <c r="C772" s="139"/>
      <c r="D772" s="167"/>
      <c r="E772" s="44"/>
      <c r="F772" s="44"/>
      <c r="G772" s="46"/>
      <c r="H772" s="46"/>
    </row>
    <row r="773" spans="1:8" ht="12.75">
      <c r="A773" s="144"/>
      <c r="B773" s="139"/>
      <c r="C773" s="139"/>
      <c r="D773" s="167"/>
      <c r="E773" s="44"/>
      <c r="F773" s="44"/>
      <c r="G773" s="46"/>
      <c r="H773" s="46"/>
    </row>
    <row r="774" spans="1:8" ht="12.75">
      <c r="A774" s="144"/>
      <c r="B774" s="139"/>
      <c r="C774" s="139"/>
      <c r="D774" s="167"/>
      <c r="E774" s="44"/>
      <c r="F774" s="44"/>
      <c r="G774" s="46"/>
      <c r="H774" s="46"/>
    </row>
    <row r="775" spans="1:8" ht="12.75">
      <c r="A775" s="144"/>
      <c r="B775" s="139"/>
      <c r="C775" s="139"/>
      <c r="D775" s="167"/>
      <c r="E775" s="44"/>
      <c r="F775" s="44"/>
      <c r="G775" s="46"/>
      <c r="H775" s="46"/>
    </row>
    <row r="776" spans="1:8" ht="12.75">
      <c r="A776" s="144"/>
      <c r="B776" s="139"/>
      <c r="C776" s="139"/>
      <c r="D776" s="167"/>
      <c r="E776" s="44"/>
      <c r="F776" s="44"/>
      <c r="G776" s="46"/>
      <c r="H776" s="46"/>
    </row>
    <row r="777" spans="1:8" ht="12.75">
      <c r="A777" s="144"/>
      <c r="B777" s="139"/>
      <c r="C777" s="139"/>
      <c r="D777" s="167"/>
      <c r="E777" s="44"/>
      <c r="F777" s="44"/>
      <c r="G777" s="46"/>
      <c r="H777" s="46"/>
    </row>
    <row r="778" spans="1:8" ht="12.75">
      <c r="A778" s="144"/>
      <c r="B778" s="139"/>
      <c r="C778" s="139"/>
      <c r="D778" s="167"/>
      <c r="E778" s="44"/>
      <c r="F778" s="44"/>
      <c r="G778" s="46"/>
      <c r="H778" s="46"/>
    </row>
    <row r="779" spans="1:8" ht="12.75">
      <c r="A779" s="144"/>
      <c r="B779" s="139"/>
      <c r="C779" s="139"/>
      <c r="D779" s="167"/>
      <c r="E779" s="44"/>
      <c r="F779" s="44"/>
      <c r="G779" s="46"/>
      <c r="H779" s="46"/>
    </row>
    <row r="780" spans="1:8" ht="12.75">
      <c r="A780" s="144"/>
      <c r="B780" s="139"/>
      <c r="C780" s="139"/>
      <c r="D780" s="167"/>
      <c r="E780" s="44"/>
      <c r="F780" s="44"/>
      <c r="G780" s="46"/>
      <c r="H780" s="46"/>
    </row>
    <row r="781" spans="1:8" ht="12.75">
      <c r="A781" s="144"/>
      <c r="B781" s="139"/>
      <c r="C781" s="139"/>
      <c r="D781" s="167"/>
      <c r="E781" s="44"/>
      <c r="F781" s="44"/>
      <c r="G781" s="46"/>
      <c r="H781" s="46"/>
    </row>
    <row r="782" spans="1:8" ht="12.75">
      <c r="A782" s="144"/>
      <c r="B782" s="139"/>
      <c r="C782" s="139"/>
      <c r="D782" s="167"/>
      <c r="E782" s="44"/>
      <c r="F782" s="44"/>
      <c r="G782" s="46"/>
      <c r="H782" s="46"/>
    </row>
    <row r="783" spans="1:8" ht="12.75">
      <c r="A783" s="144"/>
      <c r="B783" s="139"/>
      <c r="C783" s="139"/>
      <c r="D783" s="167"/>
      <c r="E783" s="44"/>
      <c r="F783" s="44"/>
      <c r="G783" s="46"/>
      <c r="H783" s="46"/>
    </row>
    <row r="784" spans="1:8" ht="12.75">
      <c r="A784" s="144"/>
      <c r="B784" s="139"/>
      <c r="C784" s="139"/>
      <c r="D784" s="167"/>
      <c r="E784" s="44"/>
      <c r="F784" s="44"/>
      <c r="G784" s="46"/>
      <c r="H784" s="46"/>
    </row>
    <row r="785" spans="1:8" ht="12.75">
      <c r="A785" s="144"/>
      <c r="B785" s="139"/>
      <c r="C785" s="139"/>
      <c r="D785" s="167"/>
      <c r="E785" s="44"/>
      <c r="F785" s="44"/>
      <c r="G785" s="46"/>
      <c r="H785" s="46"/>
    </row>
    <row r="786" spans="1:8" ht="12.75">
      <c r="A786" s="144"/>
      <c r="B786" s="139"/>
      <c r="C786" s="139"/>
      <c r="D786" s="167"/>
      <c r="E786" s="44"/>
      <c r="F786" s="44"/>
      <c r="G786" s="46"/>
      <c r="H786" s="46"/>
    </row>
    <row r="787" spans="1:8" ht="12.75">
      <c r="A787" s="144"/>
      <c r="B787" s="139"/>
      <c r="C787" s="139"/>
      <c r="D787" s="167"/>
      <c r="E787" s="44"/>
      <c r="F787" s="44"/>
      <c r="G787" s="46"/>
      <c r="H787" s="46"/>
    </row>
    <row r="788" spans="1:8" ht="12.75">
      <c r="A788" s="144"/>
      <c r="B788" s="139"/>
      <c r="C788" s="139"/>
      <c r="D788" s="167"/>
      <c r="E788" s="44"/>
      <c r="F788" s="44"/>
      <c r="G788" s="46"/>
      <c r="H788" s="46"/>
    </row>
    <row r="789" spans="1:8" ht="12.75">
      <c r="A789" s="144"/>
      <c r="B789" s="139"/>
      <c r="C789" s="139"/>
      <c r="D789" s="167"/>
      <c r="E789" s="44"/>
      <c r="F789" s="44"/>
      <c r="G789" s="46"/>
      <c r="H789" s="46"/>
    </row>
    <row r="790" spans="1:8" ht="12.75">
      <c r="A790" s="144"/>
      <c r="B790" s="139"/>
      <c r="C790" s="139"/>
      <c r="D790" s="167"/>
      <c r="E790" s="44"/>
      <c r="F790" s="44"/>
      <c r="G790" s="46"/>
      <c r="H790" s="46"/>
    </row>
    <row r="791" spans="1:8" ht="12.75">
      <c r="A791" s="144"/>
      <c r="B791" s="139"/>
      <c r="C791" s="139"/>
      <c r="D791" s="167"/>
      <c r="E791" s="44"/>
      <c r="F791" s="44"/>
      <c r="G791" s="46"/>
      <c r="H791" s="46"/>
    </row>
    <row r="792" spans="1:8" ht="12.75">
      <c r="A792" s="144"/>
      <c r="B792" s="139"/>
      <c r="C792" s="139"/>
      <c r="D792" s="167"/>
      <c r="E792" s="44"/>
      <c r="F792" s="44"/>
      <c r="G792" s="46"/>
      <c r="H792" s="46"/>
    </row>
    <row r="793" spans="1:8" ht="12.75">
      <c r="A793" s="144"/>
      <c r="B793" s="139"/>
      <c r="C793" s="139"/>
      <c r="D793" s="167"/>
      <c r="E793" s="44"/>
      <c r="F793" s="44"/>
      <c r="G793" s="46"/>
      <c r="H793" s="46"/>
    </row>
    <row r="794" spans="1:8" ht="12.75">
      <c r="A794" s="144"/>
      <c r="B794" s="139"/>
      <c r="C794" s="139"/>
      <c r="D794" s="167"/>
      <c r="E794" s="44"/>
      <c r="F794" s="44"/>
      <c r="G794" s="46"/>
      <c r="H794" s="46"/>
    </row>
    <row r="795" spans="1:8" ht="12.75">
      <c r="A795" s="144"/>
      <c r="B795" s="139"/>
      <c r="C795" s="139"/>
      <c r="D795" s="167"/>
      <c r="E795" s="44"/>
      <c r="F795" s="44"/>
      <c r="G795" s="46"/>
      <c r="H795" s="46"/>
    </row>
    <row r="796" spans="1:8" ht="12.75">
      <c r="A796" s="144"/>
      <c r="B796" s="139"/>
      <c r="C796" s="139"/>
      <c r="D796" s="167"/>
      <c r="E796" s="44"/>
      <c r="F796" s="44"/>
      <c r="G796" s="46"/>
      <c r="H796" s="46"/>
    </row>
    <row r="797" spans="1:8" ht="12.75">
      <c r="A797" s="144"/>
      <c r="B797" s="139"/>
      <c r="C797" s="139"/>
      <c r="D797" s="167"/>
      <c r="E797" s="44"/>
      <c r="F797" s="44"/>
      <c r="G797" s="46"/>
      <c r="H797" s="46"/>
    </row>
    <row r="798" spans="1:8" ht="12.75">
      <c r="A798" s="144"/>
      <c r="B798" s="139"/>
      <c r="C798" s="139"/>
      <c r="D798" s="167"/>
      <c r="E798" s="44"/>
      <c r="F798" s="44"/>
      <c r="G798" s="46"/>
      <c r="H798" s="46"/>
    </row>
    <row r="799" spans="1:8" ht="12.75">
      <c r="A799" s="144"/>
      <c r="B799" s="139"/>
      <c r="C799" s="139"/>
      <c r="D799" s="167"/>
      <c r="E799" s="44"/>
      <c r="F799" s="44"/>
      <c r="G799" s="46"/>
      <c r="H799" s="46"/>
    </row>
    <row r="800" spans="1:8" ht="12.75">
      <c r="A800" s="144"/>
      <c r="B800" s="139"/>
      <c r="C800" s="139"/>
      <c r="D800" s="167"/>
      <c r="E800" s="44"/>
      <c r="F800" s="44"/>
      <c r="G800" s="46"/>
      <c r="H800" s="46"/>
    </row>
    <row r="801" spans="1:8" ht="12.75">
      <c r="A801" s="144"/>
      <c r="B801" s="139"/>
      <c r="C801" s="139"/>
      <c r="D801" s="167"/>
      <c r="E801" s="44"/>
      <c r="F801" s="44"/>
      <c r="G801" s="46"/>
      <c r="H801" s="46"/>
    </row>
    <row r="802" spans="1:8" ht="12.75">
      <c r="A802" s="144"/>
      <c r="B802" s="139"/>
      <c r="C802" s="139"/>
      <c r="D802" s="167"/>
      <c r="E802" s="44"/>
      <c r="F802" s="44"/>
      <c r="G802" s="46"/>
      <c r="H802" s="46"/>
    </row>
    <row r="803" spans="1:8" ht="12.75">
      <c r="A803" s="144"/>
      <c r="B803" s="139"/>
      <c r="C803" s="139"/>
      <c r="D803" s="167"/>
      <c r="E803" s="44"/>
      <c r="F803" s="44"/>
      <c r="G803" s="46"/>
      <c r="H803" s="46"/>
    </row>
    <row r="804" spans="1:8" ht="12.75">
      <c r="A804" s="144"/>
      <c r="B804" s="139"/>
      <c r="C804" s="139"/>
      <c r="D804" s="167"/>
      <c r="E804" s="44"/>
      <c r="F804" s="44"/>
      <c r="G804" s="46"/>
      <c r="H804" s="46"/>
    </row>
    <row r="805" spans="1:8" ht="12.75">
      <c r="A805" s="144"/>
      <c r="B805" s="139"/>
      <c r="C805" s="139"/>
      <c r="D805" s="167"/>
      <c r="E805" s="44"/>
      <c r="F805" s="44"/>
      <c r="G805" s="46"/>
      <c r="H805" s="46"/>
    </row>
    <row r="806" spans="1:8" ht="12.75">
      <c r="A806" s="144"/>
      <c r="B806" s="139"/>
      <c r="C806" s="139"/>
      <c r="D806" s="167"/>
      <c r="E806" s="44"/>
      <c r="F806" s="44"/>
      <c r="G806" s="46"/>
      <c r="H806" s="46"/>
    </row>
    <row r="807" spans="1:8" ht="12.75">
      <c r="A807" s="144"/>
      <c r="B807" s="139"/>
      <c r="C807" s="139"/>
      <c r="D807" s="167"/>
      <c r="E807" s="44"/>
      <c r="F807" s="44"/>
      <c r="G807" s="46"/>
      <c r="H807" s="46"/>
    </row>
    <row r="808" spans="1:8" ht="12.75">
      <c r="A808" s="144"/>
      <c r="B808" s="139"/>
      <c r="C808" s="139"/>
      <c r="D808" s="167"/>
      <c r="E808" s="44"/>
      <c r="F808" s="44"/>
      <c r="G808" s="46"/>
      <c r="H808" s="46"/>
    </row>
    <row r="809" spans="1:8" ht="12.75">
      <c r="A809" s="144"/>
      <c r="B809" s="139"/>
      <c r="C809" s="139"/>
      <c r="D809" s="167"/>
      <c r="E809" s="44"/>
      <c r="F809" s="44"/>
      <c r="G809" s="46"/>
      <c r="H809" s="46"/>
    </row>
    <row r="810" spans="1:8" ht="12.75">
      <c r="A810" s="144"/>
      <c r="B810" s="139"/>
      <c r="C810" s="139"/>
      <c r="D810" s="167"/>
      <c r="E810" s="44"/>
      <c r="F810" s="44"/>
      <c r="G810" s="46"/>
      <c r="H810" s="46"/>
    </row>
    <row r="811" spans="1:8" ht="12.75">
      <c r="A811" s="144"/>
      <c r="B811" s="139"/>
      <c r="C811" s="139"/>
      <c r="D811" s="167"/>
      <c r="E811" s="44"/>
      <c r="F811" s="44"/>
      <c r="G811" s="46"/>
      <c r="H811" s="46"/>
    </row>
    <row r="812" spans="1:8" ht="12.75">
      <c r="A812" s="144"/>
      <c r="B812" s="139"/>
      <c r="C812" s="139"/>
      <c r="D812" s="167"/>
      <c r="E812" s="44"/>
      <c r="F812" s="44"/>
      <c r="G812" s="46"/>
      <c r="H812" s="46"/>
    </row>
    <row r="813" spans="1:8" ht="12.75">
      <c r="A813" s="144"/>
      <c r="B813" s="139"/>
      <c r="C813" s="139"/>
      <c r="D813" s="167"/>
      <c r="E813" s="44"/>
      <c r="F813" s="44"/>
      <c r="G813" s="46"/>
      <c r="H813" s="46"/>
    </row>
    <row r="814" spans="1:8" ht="12.75">
      <c r="A814" s="144"/>
      <c r="B814" s="139"/>
      <c r="C814" s="139"/>
      <c r="D814" s="167"/>
      <c r="E814" s="44"/>
      <c r="F814" s="44"/>
      <c r="G814" s="46"/>
      <c r="H814" s="46"/>
    </row>
    <row r="815" spans="1:8" ht="12.75">
      <c r="A815" s="144"/>
      <c r="B815" s="139"/>
      <c r="C815" s="139"/>
      <c r="D815" s="167"/>
      <c r="E815" s="44"/>
      <c r="F815" s="44"/>
      <c r="G815" s="46"/>
      <c r="H815" s="46"/>
    </row>
    <row r="816" spans="1:8" ht="12.75">
      <c r="A816" s="144"/>
      <c r="B816" s="139"/>
      <c r="C816" s="139"/>
      <c r="D816" s="167"/>
      <c r="E816" s="44"/>
      <c r="F816" s="44"/>
      <c r="G816" s="46"/>
      <c r="H816" s="46"/>
    </row>
    <row r="817" spans="1:8" ht="12.75">
      <c r="A817" s="144"/>
      <c r="B817" s="139"/>
      <c r="C817" s="139"/>
      <c r="D817" s="167"/>
      <c r="E817" s="44"/>
      <c r="F817" s="44"/>
      <c r="G817" s="46"/>
      <c r="H817" s="46"/>
    </row>
    <row r="818" spans="1:8" ht="12.75">
      <c r="A818" s="144"/>
      <c r="B818" s="139"/>
      <c r="C818" s="139"/>
      <c r="D818" s="167"/>
      <c r="E818" s="44"/>
      <c r="F818" s="44"/>
      <c r="G818" s="46"/>
      <c r="H818" s="46"/>
    </row>
    <row r="819" spans="1:8" ht="12.75">
      <c r="A819" s="144"/>
      <c r="B819" s="139"/>
      <c r="C819" s="139"/>
      <c r="D819" s="167"/>
      <c r="E819" s="44"/>
      <c r="F819" s="44"/>
      <c r="G819" s="46"/>
      <c r="H819" s="46"/>
    </row>
    <row r="820" spans="1:8" ht="12.75">
      <c r="A820" s="144"/>
      <c r="B820" s="139"/>
      <c r="C820" s="139"/>
      <c r="D820" s="167"/>
      <c r="E820" s="44"/>
      <c r="F820" s="44"/>
      <c r="G820" s="46"/>
      <c r="H820" s="46"/>
    </row>
    <row r="821" spans="1:8" ht="12.75">
      <c r="A821" s="144"/>
      <c r="B821" s="139"/>
      <c r="C821" s="139"/>
      <c r="D821" s="167"/>
      <c r="E821" s="44"/>
      <c r="F821" s="44"/>
      <c r="G821" s="46"/>
      <c r="H821" s="46"/>
    </row>
    <row r="822" spans="1:8" ht="12.75">
      <c r="A822" s="144"/>
      <c r="B822" s="139"/>
      <c r="C822" s="139"/>
      <c r="D822" s="167"/>
      <c r="E822" s="44"/>
      <c r="F822" s="44"/>
      <c r="G822" s="46"/>
      <c r="H822" s="46"/>
    </row>
    <row r="823" spans="1:8" ht="12.75">
      <c r="A823" s="144"/>
      <c r="B823" s="139"/>
      <c r="C823" s="139"/>
      <c r="D823" s="167"/>
      <c r="E823" s="44"/>
      <c r="F823" s="44"/>
      <c r="G823" s="46"/>
      <c r="H823" s="46"/>
    </row>
    <row r="824" spans="1:8" ht="12.75">
      <c r="A824" s="144"/>
      <c r="B824" s="139"/>
      <c r="C824" s="139"/>
      <c r="D824" s="167"/>
      <c r="E824" s="44"/>
      <c r="F824" s="44"/>
      <c r="G824" s="46"/>
      <c r="H824" s="46"/>
    </row>
    <row r="825" spans="1:8" ht="12.75">
      <c r="A825" s="144"/>
      <c r="B825" s="139"/>
      <c r="C825" s="139"/>
      <c r="D825" s="167"/>
      <c r="E825" s="44"/>
      <c r="F825" s="44"/>
      <c r="G825" s="46"/>
      <c r="H825" s="46"/>
    </row>
    <row r="826" spans="1:8" ht="12.75">
      <c r="A826" s="144"/>
      <c r="B826" s="139"/>
      <c r="C826" s="139"/>
      <c r="D826" s="167"/>
      <c r="E826" s="44"/>
      <c r="F826" s="44"/>
      <c r="G826" s="46"/>
      <c r="H826" s="46"/>
    </row>
    <row r="827" spans="1:8" ht="12.75">
      <c r="A827" s="144"/>
      <c r="B827" s="139"/>
      <c r="C827" s="139"/>
      <c r="D827" s="167"/>
      <c r="E827" s="44"/>
      <c r="F827" s="44"/>
      <c r="G827" s="46"/>
      <c r="H827" s="46"/>
    </row>
    <row r="828" spans="1:8" ht="12.75">
      <c r="A828" s="144"/>
      <c r="B828" s="139"/>
      <c r="C828" s="139"/>
      <c r="D828" s="167"/>
      <c r="E828" s="44"/>
      <c r="F828" s="44"/>
      <c r="G828" s="46"/>
      <c r="H828" s="46"/>
    </row>
    <row r="829" spans="1:8" ht="12.75">
      <c r="A829" s="144"/>
      <c r="B829" s="139"/>
      <c r="C829" s="139"/>
      <c r="D829" s="167"/>
      <c r="E829" s="44"/>
      <c r="F829" s="44"/>
      <c r="G829" s="46"/>
      <c r="H829" s="46"/>
    </row>
    <row r="830" spans="1:8" ht="12.75">
      <c r="A830" s="144"/>
      <c r="B830" s="139"/>
      <c r="C830" s="139"/>
      <c r="D830" s="167"/>
      <c r="E830" s="44"/>
      <c r="F830" s="44"/>
      <c r="G830" s="46"/>
      <c r="H830" s="46"/>
    </row>
    <row r="831" spans="1:8" ht="12.75">
      <c r="A831" s="144"/>
      <c r="B831" s="139"/>
      <c r="C831" s="139"/>
      <c r="D831" s="167"/>
      <c r="E831" s="44"/>
      <c r="F831" s="44"/>
      <c r="G831" s="46"/>
      <c r="H831" s="46"/>
    </row>
    <row r="832" spans="1:8" ht="12.75">
      <c r="A832" s="144"/>
      <c r="B832" s="139"/>
      <c r="C832" s="139"/>
      <c r="D832" s="167"/>
      <c r="E832" s="44"/>
      <c r="F832" s="44"/>
      <c r="G832" s="46"/>
      <c r="H832" s="46"/>
    </row>
    <row r="833" spans="1:8" ht="12.75">
      <c r="A833" s="144"/>
      <c r="B833" s="139"/>
      <c r="C833" s="139"/>
      <c r="D833" s="167"/>
      <c r="E833" s="44"/>
      <c r="F833" s="44"/>
      <c r="G833" s="46"/>
      <c r="H833" s="46"/>
    </row>
    <row r="834" spans="1:8" ht="12.75">
      <c r="A834" s="144"/>
      <c r="B834" s="139"/>
      <c r="C834" s="139"/>
      <c r="D834" s="167"/>
      <c r="E834" s="44"/>
      <c r="F834" s="44"/>
      <c r="G834" s="46"/>
      <c r="H834" s="46"/>
    </row>
    <row r="835" spans="1:8" ht="12.75">
      <c r="A835" s="144"/>
      <c r="B835" s="139"/>
      <c r="C835" s="139"/>
      <c r="D835" s="167"/>
      <c r="E835" s="44"/>
      <c r="F835" s="44"/>
      <c r="G835" s="46"/>
      <c r="H835" s="46"/>
    </row>
    <row r="836" spans="1:8" ht="12.75">
      <c r="A836" s="144"/>
      <c r="B836" s="139"/>
      <c r="C836" s="139"/>
      <c r="D836" s="167"/>
      <c r="E836" s="44"/>
      <c r="F836" s="44"/>
      <c r="G836" s="46"/>
      <c r="H836" s="46"/>
    </row>
    <row r="837" spans="1:8" ht="12.75">
      <c r="A837" s="144"/>
      <c r="B837" s="139"/>
      <c r="C837" s="139"/>
      <c r="D837" s="167"/>
      <c r="E837" s="44"/>
      <c r="F837" s="44"/>
      <c r="G837" s="46"/>
      <c r="H837" s="46"/>
    </row>
    <row r="838" spans="1:8" ht="12.75">
      <c r="A838" s="144"/>
      <c r="B838" s="139"/>
      <c r="C838" s="139"/>
      <c r="D838" s="167"/>
      <c r="E838" s="44"/>
      <c r="F838" s="44"/>
      <c r="G838" s="46"/>
      <c r="H838" s="46"/>
    </row>
    <row r="839" spans="1:8" ht="12.75">
      <c r="A839" s="144"/>
      <c r="B839" s="139"/>
      <c r="C839" s="139"/>
      <c r="D839" s="167"/>
      <c r="E839" s="44"/>
      <c r="F839" s="44"/>
      <c r="G839" s="46"/>
      <c r="H839" s="46"/>
    </row>
    <row r="840" spans="1:8" ht="12.75">
      <c r="A840" s="144"/>
      <c r="B840" s="139"/>
      <c r="C840" s="139"/>
      <c r="D840" s="167"/>
      <c r="E840" s="44"/>
      <c r="F840" s="44"/>
      <c r="G840" s="46"/>
      <c r="H840" s="46"/>
    </row>
    <row r="841" spans="1:8" ht="12.75">
      <c r="A841" s="144"/>
      <c r="B841" s="139"/>
      <c r="C841" s="139"/>
      <c r="D841" s="167"/>
      <c r="E841" s="44"/>
      <c r="F841" s="44"/>
      <c r="G841" s="46"/>
      <c r="H841" s="46"/>
    </row>
    <row r="842" spans="1:8" ht="12.75">
      <c r="A842" s="144"/>
      <c r="B842" s="139"/>
      <c r="C842" s="139"/>
      <c r="D842" s="167"/>
      <c r="E842" s="44"/>
      <c r="F842" s="44"/>
      <c r="G842" s="46"/>
      <c r="H842" s="46"/>
    </row>
    <row r="843" spans="1:8" ht="12.75">
      <c r="A843" s="144"/>
      <c r="B843" s="139"/>
      <c r="C843" s="139"/>
      <c r="D843" s="167"/>
      <c r="E843" s="44"/>
      <c r="F843" s="44"/>
      <c r="G843" s="46"/>
      <c r="H843" s="46"/>
    </row>
    <row r="844" spans="1:8" ht="12.75">
      <c r="A844" s="144"/>
      <c r="B844" s="139"/>
      <c r="C844" s="139"/>
      <c r="D844" s="167"/>
      <c r="E844" s="44"/>
      <c r="F844" s="44"/>
      <c r="G844" s="46"/>
      <c r="H844" s="46"/>
    </row>
    <row r="845" spans="1:8" ht="12.75">
      <c r="A845" s="144"/>
      <c r="B845" s="139"/>
      <c r="C845" s="139"/>
      <c r="D845" s="167"/>
      <c r="E845" s="44"/>
      <c r="F845" s="44"/>
      <c r="G845" s="46"/>
      <c r="H845" s="46"/>
    </row>
    <row r="846" spans="1:8" ht="12.75">
      <c r="A846" s="144"/>
      <c r="B846" s="139"/>
      <c r="C846" s="139"/>
      <c r="D846" s="167"/>
      <c r="E846" s="44"/>
      <c r="F846" s="44"/>
      <c r="G846" s="46"/>
      <c r="H846" s="46"/>
    </row>
    <row r="847" spans="1:8" ht="12.75">
      <c r="A847" s="144"/>
      <c r="B847" s="139"/>
      <c r="C847" s="139"/>
      <c r="D847" s="167"/>
      <c r="E847" s="44"/>
      <c r="F847" s="44"/>
      <c r="G847" s="46"/>
      <c r="H847" s="46"/>
    </row>
    <row r="848" spans="1:8" ht="12.75">
      <c r="A848" s="144"/>
      <c r="B848" s="139"/>
      <c r="C848" s="139"/>
      <c r="D848" s="167"/>
      <c r="E848" s="44"/>
      <c r="F848" s="44"/>
      <c r="G848" s="46"/>
      <c r="H848" s="46"/>
    </row>
    <row r="849" spans="1:8" ht="12.75">
      <c r="A849" s="144"/>
      <c r="B849" s="139"/>
      <c r="C849" s="139"/>
      <c r="D849" s="167"/>
      <c r="E849" s="44"/>
      <c r="F849" s="44"/>
      <c r="G849" s="46"/>
      <c r="H849" s="46"/>
    </row>
    <row r="850" spans="1:8" ht="12.75">
      <c r="A850" s="144"/>
      <c r="B850" s="139"/>
      <c r="C850" s="139"/>
      <c r="D850" s="167"/>
      <c r="E850" s="44"/>
      <c r="F850" s="44"/>
      <c r="G850" s="46"/>
      <c r="H850" s="46"/>
    </row>
    <row r="851" spans="1:8" ht="12.75">
      <c r="A851" s="144"/>
      <c r="B851" s="139"/>
      <c r="C851" s="139"/>
      <c r="D851" s="167"/>
      <c r="E851" s="44"/>
      <c r="F851" s="44"/>
      <c r="G851" s="46"/>
      <c r="H851" s="46"/>
    </row>
    <row r="852" spans="1:8" ht="12.75">
      <c r="A852" s="144"/>
      <c r="B852" s="139"/>
      <c r="C852" s="139"/>
      <c r="D852" s="167"/>
      <c r="E852" s="44"/>
      <c r="F852" s="44"/>
      <c r="G852" s="46"/>
      <c r="H852" s="46"/>
    </row>
    <row r="853" spans="1:8" ht="12.75">
      <c r="A853" s="144"/>
      <c r="B853" s="139"/>
      <c r="C853" s="139"/>
      <c r="D853" s="167"/>
      <c r="E853" s="44"/>
      <c r="F853" s="44"/>
      <c r="G853" s="46"/>
      <c r="H853" s="46"/>
    </row>
    <row r="854" spans="1:8" ht="12.75">
      <c r="A854" s="144"/>
      <c r="B854" s="139"/>
      <c r="C854" s="139"/>
      <c r="D854" s="167"/>
      <c r="E854" s="44"/>
      <c r="F854" s="44"/>
      <c r="G854" s="46"/>
      <c r="H854" s="46"/>
    </row>
    <row r="855" spans="1:8" ht="12.75">
      <c r="A855" s="144"/>
      <c r="B855" s="139"/>
      <c r="C855" s="139"/>
      <c r="D855" s="167"/>
      <c r="E855" s="44"/>
      <c r="F855" s="44"/>
      <c r="G855" s="46"/>
      <c r="H855" s="46"/>
    </row>
    <row r="856" spans="1:8" ht="12.75">
      <c r="A856" s="144"/>
      <c r="B856" s="139"/>
      <c r="C856" s="139"/>
      <c r="D856" s="167"/>
      <c r="E856" s="44"/>
      <c r="F856" s="44"/>
      <c r="G856" s="46"/>
      <c r="H856" s="46"/>
    </row>
    <row r="857" spans="1:8" ht="12.75">
      <c r="A857" s="144"/>
      <c r="B857" s="139"/>
      <c r="C857" s="139"/>
      <c r="D857" s="167"/>
      <c r="E857" s="44"/>
      <c r="F857" s="44"/>
      <c r="G857" s="46"/>
      <c r="H857" s="46"/>
    </row>
    <row r="858" spans="1:8" ht="12.75">
      <c r="A858" s="144"/>
      <c r="B858" s="139"/>
      <c r="C858" s="139"/>
      <c r="D858" s="167"/>
      <c r="E858" s="44"/>
      <c r="F858" s="44"/>
      <c r="G858" s="46"/>
      <c r="H858" s="46"/>
    </row>
    <row r="859" spans="1:8" ht="12.75">
      <c r="A859" s="144"/>
      <c r="B859" s="139"/>
      <c r="C859" s="139"/>
      <c r="D859" s="167"/>
      <c r="E859" s="44"/>
      <c r="F859" s="44"/>
      <c r="G859" s="46"/>
      <c r="H859" s="46"/>
    </row>
    <row r="860" spans="1:8" ht="12.75">
      <c r="A860" s="144"/>
      <c r="B860" s="139"/>
      <c r="C860" s="139"/>
      <c r="D860" s="167"/>
      <c r="E860" s="44"/>
      <c r="F860" s="44"/>
      <c r="G860" s="46"/>
      <c r="H860" s="46"/>
    </row>
    <row r="861" spans="1:8" ht="12.75">
      <c r="A861" s="144"/>
      <c r="B861" s="139"/>
      <c r="C861" s="139"/>
      <c r="D861" s="167"/>
      <c r="E861" s="44"/>
      <c r="F861" s="44"/>
      <c r="G861" s="46"/>
      <c r="H861" s="46"/>
    </row>
    <row r="862" spans="1:8" ht="12.75">
      <c r="A862" s="144"/>
      <c r="B862" s="139"/>
      <c r="C862" s="139"/>
      <c r="D862" s="167"/>
      <c r="E862" s="44"/>
      <c r="F862" s="44"/>
      <c r="G862" s="46"/>
      <c r="H862" s="46"/>
    </row>
    <row r="863" spans="1:8" ht="12.75">
      <c r="A863" s="144"/>
      <c r="B863" s="139"/>
      <c r="C863" s="139"/>
      <c r="D863" s="167"/>
      <c r="E863" s="44"/>
      <c r="F863" s="44"/>
      <c r="G863" s="46"/>
      <c r="H863" s="46"/>
    </row>
    <row r="864" spans="1:8" ht="12.75">
      <c r="A864" s="144"/>
      <c r="B864" s="139"/>
      <c r="C864" s="139"/>
      <c r="D864" s="167"/>
      <c r="E864" s="44"/>
      <c r="F864" s="44"/>
      <c r="G864" s="46"/>
      <c r="H864" s="46"/>
    </row>
    <row r="865" spans="1:8" ht="12.75">
      <c r="A865" s="144"/>
      <c r="B865" s="139"/>
      <c r="C865" s="139"/>
      <c r="D865" s="167"/>
      <c r="E865" s="44"/>
      <c r="F865" s="44"/>
      <c r="G865" s="46"/>
      <c r="H865" s="46"/>
    </row>
    <row r="866" spans="1:8" ht="12.75">
      <c r="A866" s="144"/>
      <c r="B866" s="139"/>
      <c r="C866" s="139"/>
      <c r="D866" s="167"/>
      <c r="E866" s="44"/>
      <c r="F866" s="44"/>
      <c r="G866" s="46"/>
      <c r="H866" s="46"/>
    </row>
    <row r="867" spans="1:8" ht="12.75">
      <c r="A867" s="144"/>
      <c r="B867" s="139"/>
      <c r="C867" s="139"/>
      <c r="D867" s="167"/>
      <c r="E867" s="44"/>
      <c r="F867" s="44"/>
      <c r="G867" s="46"/>
      <c r="H867" s="46"/>
    </row>
    <row r="868" spans="1:8" ht="12.75">
      <c r="A868" s="144"/>
      <c r="B868" s="139"/>
      <c r="C868" s="139"/>
      <c r="D868" s="167"/>
      <c r="E868" s="44"/>
      <c r="F868" s="44"/>
      <c r="G868" s="46"/>
      <c r="H868" s="46"/>
    </row>
    <row r="869" spans="1:8" ht="12.75">
      <c r="A869" s="144"/>
      <c r="B869" s="139"/>
      <c r="C869" s="139"/>
      <c r="D869" s="167"/>
      <c r="E869" s="44"/>
      <c r="F869" s="44"/>
      <c r="G869" s="46"/>
      <c r="H869" s="46"/>
    </row>
    <row r="870" spans="1:8" ht="12.75">
      <c r="A870" s="144"/>
      <c r="B870" s="139"/>
      <c r="C870" s="139"/>
      <c r="D870" s="167"/>
      <c r="E870" s="44"/>
      <c r="F870" s="44"/>
      <c r="G870" s="46"/>
      <c r="H870" s="46"/>
    </row>
    <row r="871" spans="1:8" ht="12.75">
      <c r="A871" s="144"/>
      <c r="B871" s="139"/>
      <c r="C871" s="139"/>
      <c r="D871" s="167"/>
      <c r="E871" s="44"/>
      <c r="F871" s="44"/>
      <c r="G871" s="46"/>
      <c r="H871" s="46"/>
    </row>
    <row r="872" spans="1:8" ht="12.75">
      <c r="A872" s="144"/>
      <c r="B872" s="139"/>
      <c r="C872" s="139"/>
      <c r="D872" s="167"/>
      <c r="E872" s="44"/>
      <c r="F872" s="44"/>
      <c r="G872" s="46"/>
      <c r="H872" s="46"/>
    </row>
    <row r="873" spans="1:8" ht="12.75">
      <c r="A873" s="144"/>
      <c r="B873" s="139"/>
      <c r="C873" s="139"/>
      <c r="D873" s="167"/>
      <c r="E873" s="44"/>
      <c r="F873" s="44"/>
      <c r="G873" s="46"/>
      <c r="H873" s="46"/>
    </row>
    <row r="874" spans="1:8" ht="12.75">
      <c r="A874" s="144"/>
      <c r="B874" s="139"/>
      <c r="C874" s="139"/>
      <c r="D874" s="167"/>
      <c r="E874" s="44"/>
      <c r="F874" s="44"/>
      <c r="G874" s="46"/>
      <c r="H874" s="46"/>
    </row>
    <row r="875" spans="1:8" ht="12.75">
      <c r="A875" s="144"/>
      <c r="B875" s="139"/>
      <c r="C875" s="139"/>
      <c r="D875" s="167"/>
      <c r="E875" s="44"/>
      <c r="F875" s="44"/>
      <c r="G875" s="46"/>
      <c r="H875" s="46"/>
    </row>
    <row r="876" spans="1:8" ht="12.75">
      <c r="A876" s="144"/>
      <c r="B876" s="139"/>
      <c r="C876" s="139"/>
      <c r="D876" s="167"/>
      <c r="E876" s="44"/>
      <c r="F876" s="44"/>
      <c r="G876" s="46"/>
      <c r="H876" s="46"/>
    </row>
    <row r="877" spans="1:8" ht="12.75">
      <c r="A877" s="144"/>
      <c r="B877" s="139"/>
      <c r="C877" s="139"/>
      <c r="D877" s="167"/>
      <c r="E877" s="44"/>
      <c r="F877" s="44"/>
      <c r="G877" s="46"/>
      <c r="H877" s="46"/>
    </row>
    <row r="878" spans="1:8" ht="12.75">
      <c r="A878" s="144"/>
      <c r="B878" s="139"/>
      <c r="C878" s="139"/>
      <c r="D878" s="167"/>
      <c r="E878" s="44"/>
      <c r="F878" s="44"/>
      <c r="G878" s="46"/>
      <c r="H878" s="46"/>
    </row>
    <row r="879" spans="1:8" ht="12.75">
      <c r="A879" s="144"/>
      <c r="B879" s="139"/>
      <c r="C879" s="139"/>
      <c r="D879" s="167"/>
      <c r="E879" s="44"/>
      <c r="F879" s="44"/>
      <c r="G879" s="46"/>
      <c r="H879" s="46"/>
    </row>
    <row r="880" spans="1:8" ht="12.75">
      <c r="A880" s="144"/>
      <c r="B880" s="139"/>
      <c r="C880" s="139"/>
      <c r="D880" s="167"/>
      <c r="E880" s="44"/>
      <c r="F880" s="44"/>
      <c r="G880" s="46"/>
      <c r="H880" s="46"/>
    </row>
    <row r="881" spans="1:8" ht="12.75">
      <c r="A881" s="144"/>
      <c r="B881" s="139"/>
      <c r="C881" s="139"/>
      <c r="D881" s="167"/>
      <c r="E881" s="44"/>
      <c r="F881" s="44"/>
      <c r="G881" s="46"/>
      <c r="H881" s="46"/>
    </row>
    <row r="882" spans="1:8" ht="12.75">
      <c r="A882" s="144"/>
      <c r="B882" s="139"/>
      <c r="C882" s="139"/>
      <c r="D882" s="167"/>
      <c r="E882" s="44"/>
      <c r="F882" s="44"/>
      <c r="G882" s="46"/>
      <c r="H882" s="46"/>
    </row>
    <row r="883" spans="1:8" ht="12.75">
      <c r="A883" s="144"/>
      <c r="B883" s="139"/>
      <c r="C883" s="139"/>
      <c r="D883" s="167"/>
      <c r="E883" s="44"/>
      <c r="F883" s="44"/>
      <c r="G883" s="46"/>
      <c r="H883" s="46"/>
    </row>
    <row r="884" spans="1:8" ht="12.75">
      <c r="A884" s="144"/>
      <c r="B884" s="139"/>
      <c r="C884" s="139"/>
      <c r="D884" s="167"/>
      <c r="E884" s="44"/>
      <c r="F884" s="44"/>
      <c r="G884" s="46"/>
      <c r="H884" s="46"/>
    </row>
    <row r="885" spans="1:8" ht="12.75">
      <c r="A885" s="144"/>
      <c r="B885" s="139"/>
      <c r="C885" s="139"/>
      <c r="D885" s="167"/>
      <c r="E885" s="44"/>
      <c r="F885" s="44"/>
      <c r="G885" s="46"/>
      <c r="H885" s="46"/>
    </row>
    <row r="886" spans="1:8" ht="12.75">
      <c r="A886" s="144"/>
      <c r="B886" s="139"/>
      <c r="C886" s="139"/>
      <c r="D886" s="167"/>
      <c r="E886" s="44"/>
      <c r="F886" s="44"/>
      <c r="G886" s="46"/>
      <c r="H886" s="46"/>
    </row>
    <row r="887" spans="1:8" ht="12.75">
      <c r="A887" s="144"/>
      <c r="B887" s="139"/>
      <c r="C887" s="139"/>
      <c r="D887" s="167"/>
      <c r="E887" s="44"/>
      <c r="F887" s="44"/>
      <c r="G887" s="46"/>
      <c r="H887" s="46"/>
    </row>
    <row r="888" spans="1:8" ht="12.75">
      <c r="A888" s="144"/>
      <c r="B888" s="139"/>
      <c r="C888" s="139"/>
      <c r="D888" s="167"/>
      <c r="E888" s="44"/>
      <c r="F888" s="44"/>
      <c r="G888" s="46"/>
      <c r="H888" s="46"/>
    </row>
    <row r="889" spans="1:8" ht="12.75">
      <c r="A889" s="144"/>
      <c r="B889" s="139"/>
      <c r="C889" s="139"/>
      <c r="D889" s="167"/>
      <c r="E889" s="44"/>
      <c r="F889" s="44"/>
      <c r="G889" s="46"/>
      <c r="H889" s="46"/>
    </row>
    <row r="890" spans="1:8" ht="12.75">
      <c r="A890" s="144"/>
      <c r="B890" s="139"/>
      <c r="C890" s="139"/>
      <c r="D890" s="167"/>
      <c r="E890" s="44"/>
      <c r="F890" s="44"/>
      <c r="G890" s="46"/>
      <c r="H890" s="46"/>
    </row>
    <row r="891" spans="1:8" ht="12.75">
      <c r="A891" s="144"/>
      <c r="B891" s="139"/>
      <c r="C891" s="139"/>
      <c r="D891" s="167"/>
      <c r="E891" s="44"/>
      <c r="F891" s="44"/>
      <c r="G891" s="46"/>
      <c r="H891" s="46"/>
    </row>
    <row r="892" spans="1:8" ht="12.75">
      <c r="A892" s="144"/>
      <c r="B892" s="139"/>
      <c r="C892" s="139"/>
      <c r="D892" s="167"/>
      <c r="E892" s="44"/>
      <c r="F892" s="44"/>
      <c r="G892" s="46"/>
      <c r="H892" s="46"/>
    </row>
    <row r="893" spans="1:8" ht="12.75">
      <c r="A893" s="144"/>
      <c r="B893" s="139"/>
      <c r="C893" s="139"/>
      <c r="D893" s="167"/>
      <c r="E893" s="44"/>
      <c r="F893" s="44"/>
      <c r="G893" s="46"/>
      <c r="H893" s="46"/>
    </row>
    <row r="894" spans="1:8" ht="12.75">
      <c r="A894" s="144"/>
      <c r="B894" s="139"/>
      <c r="C894" s="139"/>
      <c r="D894" s="167"/>
      <c r="E894" s="44"/>
      <c r="F894" s="44"/>
      <c r="G894" s="46"/>
      <c r="H894" s="46"/>
    </row>
    <row r="895" spans="1:8" ht="12.75">
      <c r="A895" s="144"/>
      <c r="B895" s="139"/>
      <c r="C895" s="139"/>
      <c r="D895" s="167"/>
      <c r="E895" s="44"/>
      <c r="F895" s="44"/>
      <c r="G895" s="46"/>
      <c r="H895" s="46"/>
    </row>
    <row r="896" spans="1:8" ht="12.75">
      <c r="A896" s="144"/>
      <c r="B896" s="139"/>
      <c r="C896" s="139"/>
      <c r="D896" s="167"/>
      <c r="E896" s="44"/>
      <c r="F896" s="44"/>
      <c r="G896" s="46"/>
      <c r="H896" s="46"/>
    </row>
    <row r="897" spans="1:8" ht="12.75">
      <c r="A897" s="144"/>
      <c r="B897" s="139"/>
      <c r="C897" s="139"/>
      <c r="D897" s="167"/>
      <c r="E897" s="44"/>
      <c r="F897" s="44"/>
      <c r="G897" s="46"/>
      <c r="H897" s="46"/>
    </row>
    <row r="898" spans="1:8" ht="12.75">
      <c r="A898" s="144"/>
      <c r="B898" s="139"/>
      <c r="C898" s="139"/>
      <c r="D898" s="167"/>
      <c r="E898" s="44"/>
      <c r="F898" s="44"/>
      <c r="G898" s="46"/>
      <c r="H898" s="46"/>
    </row>
    <row r="899" spans="1:8" ht="12.75">
      <c r="A899" s="144"/>
      <c r="B899" s="139"/>
      <c r="C899" s="139"/>
      <c r="D899" s="167"/>
      <c r="E899" s="44"/>
      <c r="F899" s="44"/>
      <c r="G899" s="46"/>
      <c r="H899" s="46"/>
    </row>
    <row r="900" spans="1:8" ht="12.75">
      <c r="A900" s="144"/>
      <c r="B900" s="139"/>
      <c r="C900" s="139"/>
      <c r="D900" s="167"/>
      <c r="E900" s="44"/>
      <c r="F900" s="44"/>
      <c r="G900" s="46"/>
      <c r="H900" s="46"/>
    </row>
    <row r="901" spans="1:8" ht="12.75">
      <c r="A901" s="144"/>
      <c r="B901" s="139"/>
      <c r="C901" s="139"/>
      <c r="D901" s="167"/>
      <c r="E901" s="44"/>
      <c r="F901" s="44"/>
      <c r="G901" s="46"/>
      <c r="H901" s="46"/>
    </row>
    <row r="902" spans="1:8" ht="12.75">
      <c r="A902" s="144"/>
      <c r="B902" s="139"/>
      <c r="C902" s="139"/>
      <c r="D902" s="167"/>
      <c r="E902" s="44"/>
      <c r="F902" s="44"/>
      <c r="G902" s="46"/>
      <c r="H902" s="46"/>
    </row>
    <row r="903" spans="1:8" ht="12.75">
      <c r="A903" s="144"/>
      <c r="B903" s="139"/>
      <c r="C903" s="139"/>
      <c r="D903" s="167"/>
      <c r="E903" s="44"/>
      <c r="F903" s="44"/>
      <c r="G903" s="46"/>
      <c r="H903" s="46"/>
    </row>
    <row r="904" spans="1:8" ht="12.75">
      <c r="A904" s="144"/>
      <c r="B904" s="139"/>
      <c r="C904" s="139"/>
      <c r="D904" s="167"/>
      <c r="E904" s="44"/>
      <c r="F904" s="44"/>
      <c r="G904" s="46"/>
      <c r="H904" s="46"/>
    </row>
    <row r="905" spans="1:8" ht="12.75">
      <c r="A905" s="144"/>
      <c r="B905" s="139"/>
      <c r="C905" s="139"/>
      <c r="D905" s="167"/>
      <c r="E905" s="44"/>
      <c r="F905" s="44"/>
      <c r="G905" s="46"/>
      <c r="H905" s="46"/>
    </row>
    <row r="906" spans="1:8" ht="12.75">
      <c r="A906" s="144"/>
      <c r="B906" s="139"/>
      <c r="C906" s="139"/>
      <c r="D906" s="167"/>
      <c r="E906" s="44"/>
      <c r="F906" s="44"/>
      <c r="G906" s="46"/>
      <c r="H906" s="46"/>
    </row>
    <row r="907" spans="1:8" ht="12.75">
      <c r="A907" s="144"/>
      <c r="B907" s="139"/>
      <c r="C907" s="139"/>
      <c r="D907" s="167"/>
      <c r="E907" s="44"/>
      <c r="F907" s="44"/>
      <c r="G907" s="46"/>
      <c r="H907" s="46"/>
    </row>
    <row r="908" spans="1:8" ht="12.75">
      <c r="A908" s="144"/>
      <c r="B908" s="139"/>
      <c r="C908" s="139"/>
      <c r="D908" s="167"/>
      <c r="E908" s="44"/>
      <c r="F908" s="44"/>
      <c r="G908" s="46"/>
      <c r="H908" s="46"/>
    </row>
    <row r="909" spans="1:8" ht="12.75">
      <c r="A909" s="144"/>
      <c r="B909" s="139"/>
      <c r="C909" s="139"/>
      <c r="D909" s="167"/>
      <c r="E909" s="44"/>
      <c r="F909" s="44"/>
      <c r="G909" s="46"/>
      <c r="H909" s="46"/>
    </row>
    <row r="910" spans="1:8" ht="12.75">
      <c r="A910" s="144"/>
      <c r="B910" s="139"/>
      <c r="C910" s="139"/>
      <c r="D910" s="167"/>
      <c r="E910" s="44"/>
      <c r="F910" s="44"/>
      <c r="G910" s="46"/>
      <c r="H910" s="46"/>
    </row>
    <row r="911" spans="1:8" ht="12.75">
      <c r="A911" s="144"/>
      <c r="B911" s="139"/>
      <c r="C911" s="139"/>
      <c r="D911" s="167"/>
      <c r="E911" s="44"/>
      <c r="F911" s="44"/>
      <c r="G911" s="46"/>
      <c r="H911" s="46"/>
    </row>
    <row r="912" spans="1:8" ht="12.75">
      <c r="A912" s="144"/>
      <c r="B912" s="139"/>
      <c r="C912" s="139"/>
      <c r="D912" s="167"/>
      <c r="E912" s="44"/>
      <c r="F912" s="44"/>
      <c r="G912" s="46"/>
      <c r="H912" s="46"/>
    </row>
    <row r="913" spans="1:8" ht="12.75">
      <c r="A913" s="144"/>
      <c r="B913" s="139"/>
      <c r="C913" s="139"/>
      <c r="D913" s="167"/>
      <c r="E913" s="44"/>
      <c r="F913" s="44"/>
      <c r="G913" s="46"/>
      <c r="H913" s="46"/>
    </row>
    <row r="914" spans="1:8" ht="12.75">
      <c r="A914" s="144"/>
      <c r="B914" s="139"/>
      <c r="C914" s="139"/>
      <c r="D914" s="167"/>
      <c r="E914" s="44"/>
      <c r="F914" s="44"/>
      <c r="G914" s="46"/>
      <c r="H914" s="46"/>
    </row>
    <row r="915" spans="1:8" ht="12.75">
      <c r="A915" s="144"/>
      <c r="B915" s="139"/>
      <c r="C915" s="139"/>
      <c r="D915" s="167"/>
      <c r="E915" s="44"/>
      <c r="F915" s="44"/>
      <c r="G915" s="46"/>
      <c r="H915" s="46"/>
    </row>
    <row r="916" spans="1:8" ht="12.75">
      <c r="A916" s="144"/>
      <c r="B916" s="139"/>
      <c r="C916" s="139"/>
      <c r="D916" s="167"/>
      <c r="E916" s="44"/>
      <c r="F916" s="44"/>
      <c r="G916" s="46"/>
      <c r="H916" s="46"/>
    </row>
    <row r="917" spans="1:8" ht="12.75">
      <c r="A917" s="144"/>
      <c r="B917" s="139"/>
      <c r="C917" s="139"/>
      <c r="D917" s="167"/>
      <c r="E917" s="44"/>
      <c r="F917" s="44"/>
      <c r="G917" s="46"/>
      <c r="H917" s="46"/>
    </row>
    <row r="918" spans="1:8" ht="12.75">
      <c r="A918" s="144"/>
      <c r="B918" s="139"/>
      <c r="C918" s="139"/>
      <c r="D918" s="167"/>
      <c r="E918" s="44"/>
      <c r="F918" s="44"/>
      <c r="G918" s="46"/>
      <c r="H918" s="46"/>
    </row>
    <row r="919" spans="1:8" ht="12.75">
      <c r="A919" s="144"/>
      <c r="B919" s="139"/>
      <c r="C919" s="139"/>
      <c r="D919" s="167"/>
      <c r="E919" s="44"/>
      <c r="F919" s="44"/>
      <c r="G919" s="46"/>
      <c r="H919" s="46"/>
    </row>
    <row r="920" spans="1:8" ht="12.75">
      <c r="A920" s="144"/>
      <c r="B920" s="139"/>
      <c r="C920" s="139"/>
      <c r="D920" s="167"/>
      <c r="E920" s="44"/>
      <c r="F920" s="44"/>
      <c r="G920" s="46"/>
      <c r="H920" s="46"/>
    </row>
    <row r="921" spans="1:8" ht="12.75">
      <c r="A921" s="144"/>
      <c r="B921" s="139"/>
      <c r="C921" s="139"/>
      <c r="D921" s="167"/>
      <c r="E921" s="44"/>
      <c r="F921" s="44"/>
      <c r="G921" s="46"/>
      <c r="H921" s="46"/>
    </row>
    <row r="922" spans="1:8" ht="12.75">
      <c r="A922" s="144"/>
      <c r="B922" s="139"/>
      <c r="C922" s="139"/>
      <c r="D922" s="167"/>
      <c r="E922" s="44"/>
      <c r="F922" s="44"/>
      <c r="G922" s="46"/>
      <c r="H922" s="46"/>
    </row>
    <row r="923" spans="1:8" ht="12.75">
      <c r="A923" s="144"/>
      <c r="B923" s="139"/>
      <c r="C923" s="139"/>
      <c r="D923" s="167"/>
      <c r="E923" s="44"/>
      <c r="F923" s="44"/>
      <c r="G923" s="46"/>
      <c r="H923" s="46"/>
    </row>
    <row r="924" spans="1:8" ht="12.75">
      <c r="A924" s="144"/>
      <c r="B924" s="139"/>
      <c r="C924" s="139"/>
      <c r="D924" s="167"/>
      <c r="E924" s="44"/>
      <c r="F924" s="44"/>
      <c r="G924" s="46"/>
      <c r="H924" s="46"/>
    </row>
    <row r="925" spans="1:8" ht="12.75">
      <c r="A925" s="144"/>
      <c r="B925" s="139"/>
      <c r="C925" s="139"/>
      <c r="D925" s="167"/>
      <c r="E925" s="44"/>
      <c r="F925" s="44"/>
      <c r="G925" s="46"/>
      <c r="H925" s="46"/>
    </row>
    <row r="926" spans="1:8" ht="12.75">
      <c r="A926" s="144"/>
      <c r="B926" s="139"/>
      <c r="C926" s="139"/>
      <c r="D926" s="167"/>
      <c r="E926" s="44"/>
      <c r="F926" s="44"/>
      <c r="G926" s="46"/>
      <c r="H926" s="46"/>
    </row>
    <row r="927" spans="1:8" ht="12.75">
      <c r="A927" s="144"/>
      <c r="B927" s="139"/>
      <c r="C927" s="139"/>
      <c r="D927" s="167"/>
      <c r="E927" s="44"/>
      <c r="F927" s="44"/>
      <c r="G927" s="46"/>
      <c r="H927" s="46"/>
    </row>
    <row r="928" spans="1:8" ht="12.75">
      <c r="A928" s="144"/>
      <c r="B928" s="139"/>
      <c r="C928" s="139"/>
      <c r="D928" s="167"/>
      <c r="E928" s="44"/>
      <c r="F928" s="44"/>
      <c r="G928" s="46"/>
      <c r="H928" s="46"/>
    </row>
    <row r="929" spans="1:8" ht="12.75">
      <c r="A929" s="144"/>
      <c r="B929" s="139"/>
      <c r="C929" s="139"/>
      <c r="D929" s="167"/>
      <c r="E929" s="44"/>
      <c r="F929" s="44"/>
      <c r="G929" s="46"/>
      <c r="H929" s="46"/>
    </row>
    <row r="930" spans="1:8" ht="12.75">
      <c r="A930" s="144"/>
      <c r="B930" s="139"/>
      <c r="C930" s="139"/>
      <c r="D930" s="167"/>
      <c r="E930" s="44"/>
      <c r="F930" s="44"/>
      <c r="G930" s="46"/>
      <c r="H930" s="46"/>
    </row>
    <row r="931" spans="1:8" ht="12.75">
      <c r="A931" s="144"/>
      <c r="B931" s="139"/>
      <c r="C931" s="139"/>
      <c r="D931" s="167"/>
      <c r="E931" s="44"/>
      <c r="F931" s="44"/>
      <c r="G931" s="46"/>
      <c r="H931" s="46"/>
    </row>
    <row r="932" spans="1:8" ht="12.75">
      <c r="A932" s="144"/>
      <c r="B932" s="139"/>
      <c r="C932" s="139"/>
      <c r="D932" s="167"/>
      <c r="E932" s="44"/>
      <c r="F932" s="44"/>
      <c r="G932" s="46"/>
      <c r="H932" s="46"/>
    </row>
    <row r="933" spans="1:8" ht="12.75">
      <c r="A933" s="144"/>
      <c r="B933" s="139"/>
      <c r="C933" s="139"/>
      <c r="D933" s="167"/>
      <c r="E933" s="44"/>
      <c r="F933" s="44"/>
      <c r="G933" s="46"/>
      <c r="H933" s="46"/>
    </row>
    <row r="934" spans="1:8" ht="12.75">
      <c r="A934" s="144"/>
      <c r="B934" s="139"/>
      <c r="C934" s="139"/>
      <c r="D934" s="167"/>
      <c r="E934" s="44"/>
      <c r="F934" s="44"/>
      <c r="G934" s="46"/>
      <c r="H934" s="46"/>
    </row>
    <row r="935" spans="1:8" ht="12.75">
      <c r="A935" s="144"/>
      <c r="B935" s="139"/>
      <c r="C935" s="139"/>
      <c r="D935" s="167"/>
      <c r="E935" s="44"/>
      <c r="F935" s="44"/>
      <c r="G935" s="46"/>
      <c r="H935" s="46"/>
    </row>
    <row r="936" spans="1:8" ht="12.75">
      <c r="A936" s="144"/>
      <c r="B936" s="139"/>
      <c r="C936" s="139"/>
      <c r="D936" s="167"/>
      <c r="E936" s="44"/>
      <c r="F936" s="44"/>
      <c r="G936" s="46"/>
      <c r="H936" s="46"/>
    </row>
    <row r="937" spans="1:8" ht="12.75">
      <c r="A937" s="144"/>
      <c r="B937" s="139"/>
      <c r="C937" s="139"/>
      <c r="D937" s="167"/>
      <c r="E937" s="44"/>
      <c r="F937" s="44"/>
      <c r="G937" s="46"/>
      <c r="H937" s="46"/>
    </row>
    <row r="938" spans="1:8" ht="12.75">
      <c r="A938" s="144"/>
      <c r="B938" s="139"/>
      <c r="C938" s="139"/>
      <c r="D938" s="167"/>
      <c r="E938" s="44"/>
      <c r="F938" s="44"/>
      <c r="G938" s="46"/>
      <c r="H938" s="46"/>
    </row>
    <row r="939" spans="1:8" ht="12.75">
      <c r="A939" s="144"/>
      <c r="B939" s="139"/>
      <c r="C939" s="139"/>
      <c r="D939" s="167"/>
      <c r="E939" s="44"/>
      <c r="F939" s="44"/>
      <c r="G939" s="46"/>
      <c r="H939" s="46"/>
    </row>
    <row r="940" spans="1:8" ht="12.75">
      <c r="A940" s="144"/>
      <c r="B940" s="139"/>
      <c r="C940" s="139"/>
      <c r="D940" s="167"/>
      <c r="E940" s="44"/>
      <c r="F940" s="44"/>
      <c r="G940" s="46"/>
      <c r="H940" s="46"/>
    </row>
    <row r="941" spans="1:8" ht="12.75">
      <c r="A941" s="144"/>
      <c r="B941" s="139"/>
      <c r="C941" s="139"/>
      <c r="D941" s="167"/>
      <c r="E941" s="44"/>
      <c r="F941" s="44"/>
      <c r="G941" s="46"/>
      <c r="H941" s="46"/>
    </row>
    <row r="942" spans="1:8" ht="12.75">
      <c r="A942" s="144"/>
      <c r="B942" s="139"/>
      <c r="C942" s="139"/>
      <c r="D942" s="167"/>
      <c r="E942" s="44"/>
      <c r="F942" s="44"/>
      <c r="G942" s="46"/>
      <c r="H942" s="46"/>
    </row>
    <row r="943" spans="1:8" ht="12.75">
      <c r="A943" s="144"/>
      <c r="B943" s="139"/>
      <c r="C943" s="139"/>
      <c r="D943" s="167"/>
      <c r="E943" s="44"/>
      <c r="F943" s="44"/>
      <c r="G943" s="46"/>
      <c r="H943" s="46"/>
    </row>
    <row r="944" spans="1:8" ht="12.75">
      <c r="A944" s="144"/>
      <c r="B944" s="139"/>
      <c r="C944" s="139"/>
      <c r="D944" s="167"/>
      <c r="E944" s="44"/>
      <c r="F944" s="44"/>
      <c r="G944" s="46"/>
      <c r="H944" s="46"/>
    </row>
    <row r="945" spans="1:8" ht="12.75">
      <c r="A945" s="144"/>
      <c r="B945" s="139"/>
      <c r="C945" s="139"/>
      <c r="D945" s="167"/>
      <c r="E945" s="44"/>
      <c r="F945" s="44"/>
      <c r="G945" s="46"/>
      <c r="H945" s="46"/>
    </row>
    <row r="946" spans="1:8" ht="12.75">
      <c r="A946" s="144"/>
      <c r="B946" s="139"/>
      <c r="C946" s="139"/>
      <c r="D946" s="167"/>
      <c r="E946" s="44"/>
      <c r="F946" s="44"/>
      <c r="G946" s="46"/>
      <c r="H946" s="46"/>
    </row>
    <row r="947" spans="1:8" ht="12.75">
      <c r="A947" s="144"/>
      <c r="B947" s="139"/>
      <c r="C947" s="139"/>
      <c r="D947" s="167"/>
      <c r="E947" s="44"/>
      <c r="F947" s="44"/>
      <c r="G947" s="46"/>
      <c r="H947" s="46"/>
    </row>
    <row r="948" spans="1:8" ht="12.75">
      <c r="A948" s="144"/>
      <c r="B948" s="139"/>
      <c r="C948" s="139"/>
      <c r="D948" s="167"/>
      <c r="E948" s="44"/>
      <c r="F948" s="44"/>
      <c r="G948" s="46"/>
      <c r="H948" s="46"/>
    </row>
    <row r="949" spans="1:8" ht="12.75">
      <c r="A949" s="144"/>
      <c r="B949" s="139"/>
      <c r="C949" s="139"/>
      <c r="D949" s="167"/>
      <c r="E949" s="44"/>
      <c r="F949" s="44"/>
      <c r="G949" s="46"/>
      <c r="H949" s="46"/>
    </row>
    <row r="950" spans="1:8" ht="12.75">
      <c r="A950" s="144"/>
      <c r="B950" s="139"/>
      <c r="C950" s="139"/>
      <c r="D950" s="167"/>
      <c r="E950" s="44"/>
      <c r="F950" s="44"/>
      <c r="G950" s="46"/>
      <c r="H950" s="46"/>
    </row>
    <row r="951" spans="1:8" ht="12.75">
      <c r="A951" s="144"/>
      <c r="B951" s="139"/>
      <c r="C951" s="139"/>
      <c r="D951" s="167"/>
      <c r="E951" s="44"/>
      <c r="F951" s="44"/>
      <c r="G951" s="46"/>
      <c r="H951" s="46"/>
    </row>
    <row r="952" spans="1:8" ht="12.75">
      <c r="A952" s="144"/>
      <c r="B952" s="139"/>
      <c r="C952" s="139"/>
      <c r="D952" s="167"/>
      <c r="E952" s="44"/>
      <c r="F952" s="44"/>
      <c r="G952" s="46"/>
      <c r="H952" s="46"/>
    </row>
    <row r="953" spans="1:8" ht="12.75">
      <c r="A953" s="144"/>
      <c r="B953" s="139"/>
      <c r="C953" s="139"/>
      <c r="D953" s="167"/>
      <c r="E953" s="44"/>
      <c r="F953" s="44"/>
      <c r="G953" s="46"/>
      <c r="H953" s="46"/>
    </row>
    <row r="954" spans="1:8" ht="12.75">
      <c r="A954" s="144"/>
      <c r="B954" s="139"/>
      <c r="C954" s="139"/>
      <c r="D954" s="167"/>
      <c r="E954" s="44"/>
      <c r="F954" s="44"/>
      <c r="G954" s="46"/>
      <c r="H954" s="46"/>
    </row>
    <row r="955" spans="1:8" ht="12.75">
      <c r="A955" s="144"/>
      <c r="B955" s="139"/>
      <c r="C955" s="139"/>
      <c r="D955" s="167"/>
      <c r="E955" s="44"/>
      <c r="F955" s="44"/>
      <c r="G955" s="46"/>
      <c r="H955" s="46"/>
    </row>
    <row r="956" spans="1:8" ht="12.75">
      <c r="A956" s="144"/>
      <c r="B956" s="139"/>
      <c r="C956" s="139"/>
      <c r="D956" s="167"/>
      <c r="E956" s="44"/>
      <c r="F956" s="44"/>
      <c r="G956" s="46"/>
      <c r="H956" s="46"/>
    </row>
    <row r="957" spans="1:8" ht="12.75">
      <c r="A957" s="144"/>
      <c r="B957" s="139"/>
      <c r="C957" s="139"/>
      <c r="D957" s="167"/>
      <c r="E957" s="44"/>
      <c r="F957" s="44"/>
      <c r="G957" s="46"/>
      <c r="H957" s="46"/>
    </row>
    <row r="958" spans="1:8" ht="12.75">
      <c r="A958" s="144"/>
      <c r="B958" s="139"/>
      <c r="C958" s="139"/>
      <c r="D958" s="167"/>
      <c r="E958" s="44"/>
      <c r="F958" s="44"/>
      <c r="G958" s="46"/>
      <c r="H958" s="46"/>
    </row>
    <row r="959" spans="1:8" ht="12.75">
      <c r="A959" s="144"/>
      <c r="B959" s="139"/>
      <c r="C959" s="139"/>
      <c r="D959" s="167"/>
      <c r="E959" s="44"/>
      <c r="F959" s="44"/>
      <c r="G959" s="46"/>
      <c r="H959" s="46"/>
    </row>
    <row r="960" spans="1:8" ht="12.75">
      <c r="A960" s="144"/>
      <c r="B960" s="139"/>
      <c r="C960" s="139"/>
      <c r="D960" s="167"/>
      <c r="E960" s="44"/>
      <c r="F960" s="44"/>
      <c r="G960" s="46"/>
      <c r="H960" s="46"/>
    </row>
    <row r="961" spans="1:8" ht="12.75">
      <c r="A961" s="144"/>
      <c r="B961" s="139"/>
      <c r="C961" s="139"/>
      <c r="D961" s="167"/>
      <c r="E961" s="44"/>
      <c r="F961" s="44"/>
      <c r="G961" s="46"/>
      <c r="H961" s="46"/>
    </row>
    <row r="962" spans="1:8" ht="12.75">
      <c r="A962" s="144"/>
      <c r="B962" s="139"/>
      <c r="C962" s="139"/>
      <c r="D962" s="167"/>
      <c r="E962" s="44"/>
      <c r="F962" s="44"/>
      <c r="G962" s="46"/>
      <c r="H962" s="46"/>
    </row>
    <row r="963" spans="1:8" ht="12.75">
      <c r="A963" s="144"/>
      <c r="B963" s="139"/>
      <c r="C963" s="139"/>
      <c r="D963" s="167"/>
      <c r="E963" s="44"/>
      <c r="F963" s="44"/>
      <c r="G963" s="46"/>
      <c r="H963" s="46"/>
    </row>
    <row r="964" spans="1:8" ht="12.75">
      <c r="A964" s="144"/>
      <c r="B964" s="139"/>
      <c r="C964" s="139"/>
      <c r="D964" s="167"/>
      <c r="E964" s="44"/>
      <c r="F964" s="44"/>
      <c r="G964" s="46"/>
      <c r="H964" s="46"/>
    </row>
    <row r="965" spans="1:8" ht="12.75">
      <c r="A965" s="144"/>
      <c r="B965" s="139"/>
      <c r="C965" s="139"/>
      <c r="D965" s="167"/>
      <c r="E965" s="44"/>
      <c r="F965" s="44"/>
      <c r="G965" s="46"/>
      <c r="H965" s="46"/>
    </row>
    <row r="966" spans="1:8" ht="12.75">
      <c r="A966" s="144"/>
      <c r="B966" s="139"/>
      <c r="C966" s="139"/>
      <c r="D966" s="167"/>
      <c r="E966" s="44"/>
      <c r="F966" s="44"/>
      <c r="G966" s="46"/>
      <c r="H966" s="46"/>
    </row>
    <row r="967" spans="1:8" ht="12.75">
      <c r="A967" s="144"/>
      <c r="B967" s="139"/>
      <c r="C967" s="139"/>
      <c r="D967" s="167"/>
      <c r="E967" s="44"/>
      <c r="F967" s="44"/>
      <c r="G967" s="46"/>
      <c r="H967" s="46"/>
    </row>
    <row r="968" spans="1:8" ht="12.75">
      <c r="A968" s="144"/>
      <c r="B968" s="139"/>
      <c r="C968" s="139"/>
      <c r="D968" s="167"/>
      <c r="E968" s="44"/>
      <c r="F968" s="44"/>
      <c r="G968" s="46"/>
      <c r="H968" s="46"/>
    </row>
    <row r="969" spans="1:8" ht="12.75">
      <c r="A969" s="144"/>
      <c r="B969" s="139"/>
      <c r="C969" s="139"/>
      <c r="D969" s="167"/>
      <c r="E969" s="44"/>
      <c r="F969" s="44"/>
      <c r="G969" s="46"/>
      <c r="H969" s="46"/>
    </row>
    <row r="970" spans="1:8" ht="12.75">
      <c r="A970" s="144"/>
      <c r="B970" s="139"/>
      <c r="C970" s="139"/>
      <c r="D970" s="167"/>
      <c r="E970" s="44"/>
      <c r="F970" s="44"/>
      <c r="G970" s="46"/>
      <c r="H970" s="46"/>
    </row>
    <row r="971" spans="1:8" ht="12.75">
      <c r="A971" s="144"/>
      <c r="B971" s="139"/>
      <c r="C971" s="139"/>
      <c r="D971" s="167"/>
      <c r="E971" s="44"/>
      <c r="F971" s="44"/>
      <c r="G971" s="46"/>
      <c r="H971" s="46"/>
    </row>
    <row r="972" spans="1:8" ht="12.75">
      <c r="A972" s="144"/>
      <c r="B972" s="139"/>
      <c r="C972" s="139"/>
      <c r="D972" s="167"/>
      <c r="E972" s="44"/>
      <c r="F972" s="44"/>
      <c r="G972" s="46"/>
      <c r="H972" s="46"/>
    </row>
    <row r="973" spans="1:8" ht="12.75">
      <c r="A973" s="144"/>
      <c r="B973" s="139"/>
      <c r="C973" s="139"/>
      <c r="D973" s="167"/>
      <c r="E973" s="44"/>
      <c r="F973" s="44"/>
      <c r="G973" s="46"/>
      <c r="H973" s="46"/>
    </row>
    <row r="974" spans="1:8" ht="12.75">
      <c r="A974" s="144"/>
      <c r="B974" s="139"/>
      <c r="C974" s="139"/>
      <c r="D974" s="167"/>
      <c r="E974" s="44"/>
      <c r="F974" s="44"/>
      <c r="G974" s="46"/>
      <c r="H974" s="46"/>
    </row>
    <row r="975" spans="1:8" ht="12.75">
      <c r="A975" s="144"/>
      <c r="B975" s="139"/>
      <c r="C975" s="139"/>
      <c r="D975" s="167"/>
      <c r="E975" s="44"/>
      <c r="F975" s="44"/>
      <c r="G975" s="46"/>
      <c r="H975" s="46"/>
    </row>
    <row r="976" spans="1:8" ht="12.75">
      <c r="A976" s="144"/>
      <c r="B976" s="139"/>
      <c r="C976" s="139"/>
      <c r="D976" s="167"/>
      <c r="E976" s="44"/>
      <c r="F976" s="44"/>
      <c r="G976" s="46"/>
      <c r="H976" s="46"/>
    </row>
    <row r="977" spans="1:8" ht="12.75">
      <c r="A977" s="144"/>
      <c r="B977" s="139"/>
      <c r="C977" s="139"/>
      <c r="D977" s="167"/>
      <c r="E977" s="44"/>
      <c r="F977" s="44"/>
      <c r="G977" s="46"/>
      <c r="H977" s="46"/>
    </row>
    <row r="978" spans="1:8" ht="12.75">
      <c r="A978" s="144"/>
      <c r="B978" s="139"/>
      <c r="C978" s="139"/>
      <c r="D978" s="167"/>
      <c r="E978" s="44"/>
      <c r="F978" s="44"/>
      <c r="G978" s="46"/>
      <c r="H978" s="46"/>
    </row>
    <row r="979" spans="1:8" ht="12.75">
      <c r="A979" s="144"/>
      <c r="B979" s="139"/>
      <c r="C979" s="139"/>
      <c r="D979" s="167"/>
      <c r="E979" s="44"/>
      <c r="F979" s="44"/>
      <c r="G979" s="46"/>
      <c r="H979" s="46"/>
    </row>
    <row r="980" spans="1:8" ht="12.75">
      <c r="A980" s="144"/>
      <c r="B980" s="139"/>
      <c r="C980" s="139"/>
      <c r="D980" s="167"/>
      <c r="E980" s="44"/>
      <c r="F980" s="44"/>
      <c r="G980" s="46"/>
      <c r="H980" s="46"/>
    </row>
    <row r="981" spans="1:8" ht="12.75">
      <c r="A981" s="144"/>
      <c r="B981" s="139"/>
      <c r="C981" s="139"/>
      <c r="D981" s="167"/>
      <c r="E981" s="44"/>
      <c r="F981" s="44"/>
      <c r="G981" s="46"/>
      <c r="H981" s="46"/>
    </row>
    <row r="982" spans="1:8" ht="12.75">
      <c r="A982" s="144"/>
      <c r="B982" s="139"/>
      <c r="C982" s="139"/>
      <c r="D982" s="167"/>
      <c r="E982" s="44"/>
      <c r="F982" s="44"/>
      <c r="G982" s="46"/>
      <c r="H982" s="46"/>
    </row>
    <row r="983" spans="1:8" ht="12.75">
      <c r="A983" s="144"/>
      <c r="B983" s="139"/>
      <c r="C983" s="139"/>
      <c r="D983" s="167"/>
      <c r="E983" s="44"/>
      <c r="F983" s="44"/>
      <c r="G983" s="46"/>
      <c r="H983" s="46"/>
    </row>
    <row r="984" spans="1:8" ht="12.75">
      <c r="A984" s="144"/>
      <c r="B984" s="139"/>
      <c r="C984" s="139"/>
      <c r="D984" s="167"/>
      <c r="E984" s="44"/>
      <c r="F984" s="44"/>
      <c r="G984" s="46"/>
      <c r="H984" s="46"/>
    </row>
    <row r="985" spans="1:8" ht="12.75">
      <c r="A985" s="144"/>
      <c r="B985" s="139"/>
      <c r="C985" s="139"/>
      <c r="D985" s="167"/>
      <c r="E985" s="44"/>
      <c r="F985" s="44"/>
      <c r="G985" s="46"/>
      <c r="H985" s="46"/>
    </row>
    <row r="986" spans="1:8" ht="12.75">
      <c r="A986" s="144"/>
      <c r="B986" s="139"/>
      <c r="C986" s="139"/>
      <c r="D986" s="167"/>
      <c r="E986" s="44"/>
      <c r="F986" s="44"/>
      <c r="G986" s="46"/>
      <c r="H986" s="46"/>
    </row>
  </sheetData>
  <conditionalFormatting sqref="E1:F986">
    <cfRule type="cellIs" dxfId="61" priority="1" operator="equal">
      <formula>"ON"</formula>
    </cfRule>
  </conditionalFormatting>
  <conditionalFormatting sqref="E1:F986">
    <cfRule type="cellIs" dxfId="60" priority="2" operator="equal">
      <formula>"OFF"</formula>
    </cfRule>
  </conditionalFormatting>
  <conditionalFormatting sqref="G82 G87:G88">
    <cfRule type="notContainsBlanks" dxfId="59" priority="3">
      <formula>LEN(TRIM(G82))&gt;0</formula>
    </cfRule>
  </conditionalFormatting>
  <conditionalFormatting sqref="G83">
    <cfRule type="notContainsBlanks" dxfId="58" priority="4">
      <formula>LEN(TRIM(G83))&gt;0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Q1010"/>
  <sheetViews>
    <sheetView workbookViewId="0"/>
  </sheetViews>
  <sheetFormatPr defaultColWidth="12.5703125" defaultRowHeight="15.75" customHeight="1"/>
  <cols>
    <col min="1" max="2" width="5.7109375" customWidth="1"/>
    <col min="3" max="3" width="14.42578125" customWidth="1"/>
    <col min="4" max="4" width="15" hidden="1" customWidth="1"/>
    <col min="5" max="5" width="35.5703125" customWidth="1"/>
    <col min="7" max="7" width="30.140625" hidden="1" customWidth="1"/>
    <col min="8" max="8" width="5.42578125" hidden="1" customWidth="1"/>
    <col min="9" max="11" width="12.5703125" hidden="1"/>
    <col min="12" max="12" width="4.85546875" customWidth="1"/>
    <col min="13" max="14" width="4.140625" customWidth="1"/>
    <col min="15" max="15" width="12.5703125" hidden="1"/>
    <col min="16" max="16" width="30.5703125" hidden="1" customWidth="1"/>
    <col min="17" max="17" width="12.5703125" hidden="1"/>
  </cols>
  <sheetData>
    <row r="1" spans="1:17" ht="12.75">
      <c r="A1" s="228"/>
      <c r="B1" s="502" t="s">
        <v>692</v>
      </c>
      <c r="C1" s="503"/>
      <c r="D1" s="503"/>
      <c r="E1" s="503"/>
      <c r="F1" s="503"/>
    </row>
    <row r="2" spans="1:17" ht="38.25" customHeight="1">
      <c r="A2" s="228"/>
      <c r="B2" s="503"/>
      <c r="C2" s="503"/>
      <c r="D2" s="503"/>
      <c r="E2" s="503"/>
      <c r="F2" s="503"/>
    </row>
    <row r="3" spans="1:17" ht="17.25">
      <c r="A3" s="231"/>
      <c r="B3" s="232" t="s">
        <v>581</v>
      </c>
      <c r="C3" s="233" t="s">
        <v>702</v>
      </c>
      <c r="D3" s="234" t="s">
        <v>707</v>
      </c>
      <c r="E3" s="235" t="s">
        <v>709</v>
      </c>
      <c r="F3" s="235" t="s">
        <v>714</v>
      </c>
      <c r="G3" s="236" t="s">
        <v>717</v>
      </c>
      <c r="H3" s="236" t="s">
        <v>718</v>
      </c>
    </row>
    <row r="4" spans="1:17" ht="17.25">
      <c r="A4" s="238"/>
      <c r="B4" s="239"/>
      <c r="C4" s="240"/>
      <c r="D4" s="241"/>
      <c r="E4" s="242"/>
      <c r="F4" s="243"/>
      <c r="G4" s="52"/>
      <c r="H4" s="52"/>
      <c r="O4" s="240">
        <v>8112127144</v>
      </c>
      <c r="P4" s="126" t="s">
        <v>730</v>
      </c>
    </row>
    <row r="5" spans="1:17" ht="17.25">
      <c r="A5" s="238"/>
      <c r="B5" s="239">
        <v>1</v>
      </c>
      <c r="C5" s="240">
        <v>8112113098</v>
      </c>
      <c r="D5" s="241">
        <v>900343575</v>
      </c>
      <c r="E5" s="242" t="s">
        <v>733</v>
      </c>
      <c r="F5" s="243" t="s">
        <v>734</v>
      </c>
      <c r="G5" s="52"/>
      <c r="H5" s="52"/>
      <c r="O5" s="240">
        <v>8112123910</v>
      </c>
      <c r="P5" s="242" t="s">
        <v>736</v>
      </c>
      <c r="Q5" s="244" t="s">
        <v>734</v>
      </c>
    </row>
    <row r="6" spans="1:17" ht="17.25">
      <c r="A6" s="238"/>
      <c r="B6" s="239">
        <v>2</v>
      </c>
      <c r="C6" s="240">
        <v>811211365</v>
      </c>
      <c r="D6" s="241">
        <v>902593712</v>
      </c>
      <c r="E6" s="242" t="s">
        <v>740</v>
      </c>
      <c r="F6" s="243" t="s">
        <v>734</v>
      </c>
      <c r="G6" s="52"/>
      <c r="H6" s="52"/>
      <c r="O6" s="240">
        <v>8112123936</v>
      </c>
      <c r="P6" s="242" t="s">
        <v>741</v>
      </c>
      <c r="Q6" s="244" t="s">
        <v>734</v>
      </c>
    </row>
    <row r="7" spans="1:17" ht="17.25">
      <c r="A7" s="238"/>
      <c r="B7" s="239">
        <v>3</v>
      </c>
      <c r="C7" s="240">
        <v>8112116754</v>
      </c>
      <c r="D7" s="241">
        <v>900106574</v>
      </c>
      <c r="E7" s="242" t="s">
        <v>87</v>
      </c>
      <c r="F7" s="243" t="s">
        <v>734</v>
      </c>
      <c r="G7" s="52"/>
      <c r="H7" s="52"/>
      <c r="O7" s="240">
        <v>8112123937</v>
      </c>
      <c r="P7" s="242" t="s">
        <v>744</v>
      </c>
      <c r="Q7" s="244" t="s">
        <v>734</v>
      </c>
    </row>
    <row r="8" spans="1:17" ht="17.25">
      <c r="A8" s="238"/>
      <c r="B8" s="239">
        <v>4</v>
      </c>
      <c r="C8" s="240">
        <v>8112116757</v>
      </c>
      <c r="D8" s="241">
        <v>900466234</v>
      </c>
      <c r="E8" s="242" t="s">
        <v>745</v>
      </c>
      <c r="F8" s="243" t="s">
        <v>734</v>
      </c>
      <c r="G8" s="52"/>
      <c r="H8" s="52"/>
      <c r="O8" s="240">
        <v>8112124358</v>
      </c>
      <c r="P8" s="242" t="s">
        <v>748</v>
      </c>
      <c r="Q8" s="244" t="s">
        <v>734</v>
      </c>
    </row>
    <row r="9" spans="1:17" ht="17.25">
      <c r="A9" s="238"/>
      <c r="B9" s="239">
        <v>5</v>
      </c>
      <c r="C9" s="240">
        <v>8112116758</v>
      </c>
      <c r="D9" s="241">
        <v>900273403</v>
      </c>
      <c r="E9" s="242" t="s">
        <v>749</v>
      </c>
      <c r="F9" s="243" t="s">
        <v>734</v>
      </c>
      <c r="G9" s="52"/>
      <c r="H9" s="52"/>
      <c r="O9" s="240">
        <v>8112124357</v>
      </c>
      <c r="P9" s="242" t="s">
        <v>750</v>
      </c>
      <c r="Q9" s="244" t="s">
        <v>734</v>
      </c>
    </row>
    <row r="10" spans="1:17" ht="17.25">
      <c r="A10" s="238"/>
      <c r="B10" s="239">
        <v>6</v>
      </c>
      <c r="C10" s="240">
        <v>8112116759</v>
      </c>
      <c r="D10" s="241">
        <v>900271042</v>
      </c>
      <c r="E10" s="242" t="s">
        <v>81</v>
      </c>
      <c r="F10" s="244" t="s">
        <v>734</v>
      </c>
      <c r="G10" s="52"/>
      <c r="H10" s="52"/>
      <c r="O10" s="240">
        <v>8112124358</v>
      </c>
      <c r="P10" s="242" t="s">
        <v>748</v>
      </c>
      <c r="Q10" s="244" t="s">
        <v>734</v>
      </c>
    </row>
    <row r="11" spans="1:17" ht="17.25">
      <c r="A11" s="238"/>
      <c r="B11" s="239">
        <v>7</v>
      </c>
      <c r="C11" s="240">
        <v>8112119801</v>
      </c>
      <c r="D11" s="247">
        <v>900591829</v>
      </c>
      <c r="E11" s="248" t="s">
        <v>412</v>
      </c>
      <c r="F11" s="247" t="s">
        <v>734</v>
      </c>
      <c r="G11" s="52"/>
      <c r="H11" s="52"/>
      <c r="O11" s="240">
        <v>8112128406</v>
      </c>
      <c r="P11" s="242" t="s">
        <v>736</v>
      </c>
      <c r="Q11" s="244" t="s">
        <v>734</v>
      </c>
    </row>
    <row r="12" spans="1:17" ht="17.25">
      <c r="A12" s="238"/>
      <c r="B12" s="239">
        <v>8</v>
      </c>
      <c r="C12" s="240">
        <v>8112119802</v>
      </c>
      <c r="D12" s="241">
        <v>900527494</v>
      </c>
      <c r="E12" s="242" t="s">
        <v>759</v>
      </c>
      <c r="F12" s="244" t="s">
        <v>734</v>
      </c>
      <c r="G12" s="52"/>
      <c r="H12" s="52"/>
      <c r="O12" s="240">
        <v>8112163552</v>
      </c>
      <c r="P12" s="242" t="s">
        <v>736</v>
      </c>
      <c r="Q12" s="244" t="s">
        <v>734</v>
      </c>
    </row>
    <row r="13" spans="1:17" ht="17.25">
      <c r="A13" s="238"/>
      <c r="B13" s="239">
        <v>9</v>
      </c>
      <c r="C13" s="240">
        <v>8112119803</v>
      </c>
      <c r="D13" s="241">
        <v>900344551</v>
      </c>
      <c r="E13" s="242" t="s">
        <v>763</v>
      </c>
      <c r="F13" s="244" t="s">
        <v>734</v>
      </c>
      <c r="G13" s="52"/>
      <c r="H13" s="52"/>
      <c r="O13" s="240">
        <v>8112187500</v>
      </c>
      <c r="P13" s="242" t="s">
        <v>736</v>
      </c>
      <c r="Q13" s="244" t="s">
        <v>734</v>
      </c>
    </row>
    <row r="14" spans="1:17" ht="17.25">
      <c r="A14" s="238"/>
      <c r="B14" s="239">
        <v>10</v>
      </c>
      <c r="C14" s="240">
        <v>8112119804</v>
      </c>
      <c r="D14" s="241">
        <v>900415217</v>
      </c>
      <c r="E14" s="242" t="s">
        <v>126</v>
      </c>
      <c r="F14" s="244" t="s">
        <v>734</v>
      </c>
      <c r="G14" s="52"/>
      <c r="H14" s="52"/>
      <c r="O14" s="240">
        <v>8112206704</v>
      </c>
      <c r="P14" s="242" t="s">
        <v>736</v>
      </c>
      <c r="Q14" s="244" t="s">
        <v>734</v>
      </c>
    </row>
    <row r="15" spans="1:17" ht="17.25">
      <c r="A15" s="238"/>
      <c r="B15" s="239">
        <v>11</v>
      </c>
      <c r="C15" s="240">
        <v>8112119805</v>
      </c>
      <c r="D15" s="241">
        <v>900621721</v>
      </c>
      <c r="E15" s="242" t="s">
        <v>770</v>
      </c>
      <c r="F15" s="244" t="s">
        <v>734</v>
      </c>
      <c r="G15" s="52"/>
      <c r="H15" s="52"/>
      <c r="O15" s="240">
        <v>81122300611</v>
      </c>
      <c r="P15" s="242" t="s">
        <v>771</v>
      </c>
      <c r="Q15" s="244" t="s">
        <v>734</v>
      </c>
    </row>
    <row r="16" spans="1:17" ht="17.25">
      <c r="A16" s="238"/>
      <c r="B16" s="239">
        <v>12</v>
      </c>
      <c r="C16" s="240">
        <v>8112119888</v>
      </c>
      <c r="D16" s="241">
        <v>900381480</v>
      </c>
      <c r="E16" s="242" t="s">
        <v>772</v>
      </c>
      <c r="F16" s="244" t="s">
        <v>734</v>
      </c>
      <c r="G16" s="52"/>
      <c r="H16" s="52"/>
      <c r="O16" s="240">
        <v>81122300612</v>
      </c>
      <c r="P16" s="242" t="s">
        <v>776</v>
      </c>
      <c r="Q16" s="244" t="s">
        <v>734</v>
      </c>
    </row>
    <row r="17" spans="1:17" ht="17.25">
      <c r="A17" s="238"/>
      <c r="B17" s="239">
        <v>13</v>
      </c>
      <c r="C17" s="240">
        <v>8112123910</v>
      </c>
      <c r="D17" s="241">
        <v>900529295</v>
      </c>
      <c r="E17" s="242" t="s">
        <v>736</v>
      </c>
      <c r="F17" s="244" t="s">
        <v>734</v>
      </c>
      <c r="G17" s="52"/>
      <c r="H17" s="52"/>
      <c r="O17" s="240">
        <v>81122300613</v>
      </c>
      <c r="P17" s="242" t="s">
        <v>779</v>
      </c>
      <c r="Q17" s="244" t="s">
        <v>734</v>
      </c>
    </row>
    <row r="18" spans="1:17" ht="17.25">
      <c r="A18" s="238"/>
      <c r="B18" s="239">
        <v>14</v>
      </c>
      <c r="C18" s="240">
        <v>8112123915</v>
      </c>
      <c r="D18" s="241">
        <v>900866653</v>
      </c>
      <c r="E18" s="242" t="s">
        <v>780</v>
      </c>
      <c r="F18" s="244" t="s">
        <v>734</v>
      </c>
      <c r="G18" s="52"/>
      <c r="H18" s="52"/>
      <c r="O18" s="240">
        <v>81122300614</v>
      </c>
      <c r="P18" s="126" t="s">
        <v>783</v>
      </c>
      <c r="Q18" s="244" t="s">
        <v>734</v>
      </c>
    </row>
    <row r="19" spans="1:17" ht="17.25">
      <c r="A19" s="238"/>
      <c r="B19" s="239">
        <v>15</v>
      </c>
      <c r="C19" s="240">
        <v>8112123916</v>
      </c>
      <c r="D19" s="241">
        <v>900533539</v>
      </c>
      <c r="E19" s="242" t="s">
        <v>785</v>
      </c>
      <c r="F19" s="244" t="s">
        <v>734</v>
      </c>
      <c r="G19" s="52"/>
      <c r="H19" s="52"/>
      <c r="O19" s="240">
        <v>81122300615</v>
      </c>
      <c r="P19" s="242" t="s">
        <v>736</v>
      </c>
      <c r="Q19" s="244" t="s">
        <v>734</v>
      </c>
    </row>
    <row r="20" spans="1:17" ht="17.25">
      <c r="A20" s="238"/>
      <c r="B20" s="239">
        <v>16</v>
      </c>
      <c r="C20" s="240">
        <v>8112123918</v>
      </c>
      <c r="D20" s="241">
        <v>900714950</v>
      </c>
      <c r="E20" s="242" t="s">
        <v>789</v>
      </c>
      <c r="F20" s="244" t="s">
        <v>734</v>
      </c>
      <c r="G20" s="52"/>
      <c r="H20" s="52"/>
      <c r="O20" s="240">
        <v>81122300616</v>
      </c>
      <c r="P20" s="242" t="s">
        <v>792</v>
      </c>
      <c r="Q20" s="244" t="s">
        <v>734</v>
      </c>
    </row>
    <row r="21" spans="1:17" ht="17.25">
      <c r="A21" s="238"/>
      <c r="B21" s="239">
        <v>17</v>
      </c>
      <c r="C21" s="240">
        <v>8112123919</v>
      </c>
      <c r="D21" s="241">
        <v>900542949</v>
      </c>
      <c r="E21" s="242" t="s">
        <v>582</v>
      </c>
      <c r="F21" s="244" t="s">
        <v>734</v>
      </c>
      <c r="G21" s="52"/>
      <c r="H21" s="52"/>
      <c r="O21" s="240">
        <v>81122300618</v>
      </c>
      <c r="P21" s="242" t="s">
        <v>795</v>
      </c>
      <c r="Q21" s="244" t="s">
        <v>734</v>
      </c>
    </row>
    <row r="22" spans="1:17" ht="17.25">
      <c r="A22" s="238"/>
      <c r="B22" s="239">
        <v>18</v>
      </c>
      <c r="C22" s="240">
        <v>8112123921</v>
      </c>
      <c r="D22" s="241">
        <v>900739986</v>
      </c>
      <c r="E22" s="242" t="s">
        <v>797</v>
      </c>
      <c r="F22" s="244" t="s">
        <v>734</v>
      </c>
      <c r="G22" s="52"/>
      <c r="H22" s="52"/>
      <c r="O22" s="240">
        <v>8114805927</v>
      </c>
      <c r="P22" s="242" t="s">
        <v>736</v>
      </c>
      <c r="Q22" s="244" t="s">
        <v>734</v>
      </c>
    </row>
    <row r="23" spans="1:17" ht="17.25">
      <c r="A23" s="238"/>
      <c r="B23" s="239">
        <v>19</v>
      </c>
      <c r="C23" s="240">
        <v>8112123923</v>
      </c>
      <c r="D23" s="241">
        <v>900630094</v>
      </c>
      <c r="E23" s="242" t="s">
        <v>798</v>
      </c>
      <c r="F23" s="244" t="s">
        <v>734</v>
      </c>
      <c r="G23" s="52"/>
      <c r="H23" s="52"/>
      <c r="O23" s="240">
        <v>8114806715</v>
      </c>
      <c r="P23" s="252" t="s">
        <v>802</v>
      </c>
      <c r="Q23" s="244" t="s">
        <v>734</v>
      </c>
    </row>
    <row r="24" spans="1:17" ht="17.25">
      <c r="A24" s="238"/>
      <c r="B24" s="239">
        <v>20</v>
      </c>
      <c r="C24" s="240">
        <v>8112123927</v>
      </c>
      <c r="D24" s="241">
        <v>900862581</v>
      </c>
      <c r="E24" s="242" t="s">
        <v>803</v>
      </c>
      <c r="F24" s="244" t="s">
        <v>734</v>
      </c>
      <c r="G24" s="52"/>
      <c r="H24" s="52"/>
      <c r="O24" s="240">
        <v>8116138302</v>
      </c>
      <c r="P24" s="242" t="s">
        <v>736</v>
      </c>
      <c r="Q24" s="244" t="s">
        <v>734</v>
      </c>
    </row>
    <row r="25" spans="1:17" ht="17.25">
      <c r="A25" s="238"/>
      <c r="B25" s="239">
        <v>21</v>
      </c>
      <c r="C25" s="240">
        <v>8112123929</v>
      </c>
      <c r="D25" s="241">
        <v>900468912</v>
      </c>
      <c r="E25" s="242" t="s">
        <v>805</v>
      </c>
      <c r="F25" s="244" t="s">
        <v>734</v>
      </c>
      <c r="G25" s="52"/>
      <c r="H25" s="52"/>
      <c r="O25" s="240">
        <v>8116138304</v>
      </c>
      <c r="P25" s="242" t="s">
        <v>736</v>
      </c>
      <c r="Q25" s="244" t="s">
        <v>734</v>
      </c>
    </row>
    <row r="26" spans="1:17" ht="17.25">
      <c r="A26" s="238"/>
      <c r="B26" s="239">
        <v>22</v>
      </c>
      <c r="C26" s="240">
        <v>8112123930</v>
      </c>
      <c r="D26" s="241">
        <v>900581716</v>
      </c>
      <c r="E26" s="242" t="s">
        <v>325</v>
      </c>
      <c r="F26" s="244" t="s">
        <v>734</v>
      </c>
      <c r="G26" s="52"/>
      <c r="H26" s="52"/>
      <c r="O26" s="240">
        <v>8116177703</v>
      </c>
      <c r="P26" s="242" t="s">
        <v>736</v>
      </c>
      <c r="Q26" s="244" t="s">
        <v>734</v>
      </c>
    </row>
    <row r="27" spans="1:17" ht="17.25">
      <c r="A27" s="238"/>
      <c r="B27" s="239">
        <v>23</v>
      </c>
      <c r="C27" s="240">
        <v>8112123931</v>
      </c>
      <c r="D27" s="241">
        <v>900538529</v>
      </c>
      <c r="E27" s="242" t="s">
        <v>449</v>
      </c>
      <c r="F27" s="244" t="s">
        <v>734</v>
      </c>
      <c r="G27" s="52"/>
      <c r="H27" s="52"/>
      <c r="O27" s="126">
        <v>81120011919</v>
      </c>
      <c r="P27" s="126" t="s">
        <v>736</v>
      </c>
      <c r="Q27" s="244" t="s">
        <v>734</v>
      </c>
    </row>
    <row r="28" spans="1:17" ht="17.25">
      <c r="A28" s="238"/>
      <c r="B28" s="239">
        <v>24</v>
      </c>
      <c r="C28" s="240">
        <v>8112123932</v>
      </c>
      <c r="D28" s="241">
        <v>900757785</v>
      </c>
      <c r="E28" s="242" t="s">
        <v>382</v>
      </c>
      <c r="F28" s="244" t="s">
        <v>734</v>
      </c>
      <c r="G28" s="52"/>
      <c r="H28" s="52"/>
      <c r="O28" s="126">
        <v>81120211745</v>
      </c>
      <c r="P28" s="126" t="s">
        <v>736</v>
      </c>
      <c r="Q28" s="244" t="s">
        <v>734</v>
      </c>
    </row>
    <row r="29" spans="1:17" ht="17.25">
      <c r="A29" s="238"/>
      <c r="B29" s="239">
        <v>25</v>
      </c>
      <c r="C29" s="240">
        <v>8112123933</v>
      </c>
      <c r="D29" s="241">
        <v>900602212</v>
      </c>
      <c r="E29" s="252" t="s">
        <v>817</v>
      </c>
      <c r="F29" s="244" t="s">
        <v>734</v>
      </c>
      <c r="G29" s="52"/>
      <c r="H29" s="52"/>
      <c r="O29" s="240">
        <v>8112079592</v>
      </c>
      <c r="P29" s="126" t="s">
        <v>736</v>
      </c>
      <c r="Q29" s="244" t="s">
        <v>734</v>
      </c>
    </row>
    <row r="30" spans="1:17" ht="17.25">
      <c r="A30" s="238"/>
      <c r="B30" s="239">
        <v>26</v>
      </c>
      <c r="C30" s="240">
        <v>8112123934</v>
      </c>
      <c r="D30" s="241">
        <v>900816664</v>
      </c>
      <c r="E30" s="242" t="s">
        <v>820</v>
      </c>
      <c r="F30" s="244" t="s">
        <v>734</v>
      </c>
      <c r="G30" s="52"/>
      <c r="H30" s="52"/>
      <c r="O30" s="255">
        <v>8112111068</v>
      </c>
      <c r="P30" s="252" t="s">
        <v>824</v>
      </c>
      <c r="Q30" s="244" t="s">
        <v>734</v>
      </c>
    </row>
    <row r="31" spans="1:17" ht="17.25">
      <c r="A31" s="238"/>
      <c r="B31" s="239">
        <v>27</v>
      </c>
      <c r="C31" s="240">
        <v>8112123935</v>
      </c>
      <c r="D31" s="241">
        <v>901054963</v>
      </c>
      <c r="E31" s="242" t="s">
        <v>826</v>
      </c>
      <c r="F31" s="244" t="s">
        <v>734</v>
      </c>
      <c r="G31" s="52"/>
      <c r="H31" s="52"/>
      <c r="O31" s="240">
        <v>8112111134</v>
      </c>
      <c r="P31" s="242" t="s">
        <v>828</v>
      </c>
      <c r="Q31" s="244" t="s">
        <v>734</v>
      </c>
    </row>
    <row r="32" spans="1:17" ht="17.25">
      <c r="A32" s="238"/>
      <c r="B32" s="239">
        <v>28</v>
      </c>
      <c r="C32" s="240">
        <v>8112123936</v>
      </c>
      <c r="D32" s="241">
        <v>900754442</v>
      </c>
      <c r="E32" s="242" t="s">
        <v>741</v>
      </c>
      <c r="F32" s="244" t="s">
        <v>734</v>
      </c>
      <c r="G32" s="52"/>
      <c r="H32" s="52"/>
      <c r="O32" s="240">
        <v>8112111152</v>
      </c>
      <c r="P32" s="242" t="s">
        <v>830</v>
      </c>
      <c r="Q32" s="244" t="s">
        <v>734</v>
      </c>
    </row>
    <row r="33" spans="1:17" ht="17.25">
      <c r="A33" s="238"/>
      <c r="B33" s="239">
        <v>29</v>
      </c>
      <c r="C33" s="240">
        <v>8112123937</v>
      </c>
      <c r="D33" s="241">
        <v>901461077</v>
      </c>
      <c r="E33" s="242" t="s">
        <v>744</v>
      </c>
      <c r="F33" s="244" t="s">
        <v>734</v>
      </c>
      <c r="G33" s="52"/>
      <c r="H33" s="52"/>
      <c r="L33" s="126" t="s">
        <v>833</v>
      </c>
      <c r="O33" s="240">
        <v>81120030870</v>
      </c>
      <c r="P33" s="256" t="s">
        <v>836</v>
      </c>
      <c r="Q33" s="244" t="s">
        <v>734</v>
      </c>
    </row>
    <row r="34" spans="1:17" ht="17.25">
      <c r="A34" s="238"/>
      <c r="B34" s="239">
        <v>30</v>
      </c>
      <c r="C34" s="240">
        <v>8112123939</v>
      </c>
      <c r="D34" s="241">
        <v>900595610</v>
      </c>
      <c r="E34" s="252" t="s">
        <v>817</v>
      </c>
      <c r="F34" s="244" t="s">
        <v>734</v>
      </c>
      <c r="G34" s="52"/>
      <c r="H34" s="52"/>
      <c r="O34" s="257">
        <v>81120237649</v>
      </c>
      <c r="P34" s="248" t="s">
        <v>208</v>
      </c>
      <c r="Q34" s="259" t="s">
        <v>734</v>
      </c>
    </row>
    <row r="35" spans="1:17" ht="17.25">
      <c r="A35" s="238"/>
      <c r="B35" s="239">
        <v>31</v>
      </c>
      <c r="C35" s="240">
        <v>8112123942</v>
      </c>
      <c r="D35" s="241">
        <v>901322743</v>
      </c>
      <c r="E35" s="252" t="s">
        <v>817</v>
      </c>
      <c r="F35" s="244" t="s">
        <v>734</v>
      </c>
      <c r="G35" s="52"/>
      <c r="H35" s="52"/>
      <c r="O35" s="257">
        <v>81120040570</v>
      </c>
      <c r="P35" s="248" t="s">
        <v>843</v>
      </c>
    </row>
    <row r="36" spans="1:17" ht="17.25">
      <c r="A36" s="238"/>
      <c r="B36" s="239">
        <v>32</v>
      </c>
      <c r="C36" s="255">
        <v>8112124353</v>
      </c>
      <c r="D36" s="261">
        <v>250346757</v>
      </c>
      <c r="E36" s="252" t="s">
        <v>386</v>
      </c>
      <c r="F36" s="243" t="s">
        <v>734</v>
      </c>
      <c r="G36" s="52"/>
      <c r="H36" s="52"/>
    </row>
    <row r="37" spans="1:17" ht="17.25">
      <c r="A37" s="238"/>
      <c r="B37" s="239">
        <v>33</v>
      </c>
      <c r="C37" s="255">
        <v>8112124354</v>
      </c>
      <c r="D37" s="261">
        <v>250346799</v>
      </c>
      <c r="E37" s="252" t="s">
        <v>386</v>
      </c>
      <c r="F37" s="243" t="s">
        <v>734</v>
      </c>
      <c r="G37" s="52"/>
      <c r="H37" s="52"/>
    </row>
    <row r="38" spans="1:17" ht="17.25">
      <c r="A38" s="238"/>
      <c r="B38" s="239">
        <v>34</v>
      </c>
      <c r="C38" s="240">
        <v>8112124356</v>
      </c>
      <c r="D38" s="241">
        <v>250346710</v>
      </c>
      <c r="E38" s="242" t="s">
        <v>845</v>
      </c>
      <c r="F38" s="244" t="s">
        <v>734</v>
      </c>
      <c r="G38" s="52"/>
      <c r="H38" s="52"/>
    </row>
    <row r="39" spans="1:17" ht="17.25">
      <c r="A39" s="238"/>
      <c r="B39" s="239">
        <v>35</v>
      </c>
      <c r="C39" s="240">
        <v>8112124357</v>
      </c>
      <c r="D39" s="241">
        <v>250346829</v>
      </c>
      <c r="E39" s="242" t="s">
        <v>536</v>
      </c>
      <c r="F39" s="244" t="s">
        <v>734</v>
      </c>
      <c r="G39" s="52"/>
      <c r="H39" s="52"/>
    </row>
    <row r="40" spans="1:17" ht="17.25">
      <c r="A40" s="238"/>
      <c r="B40" s="239">
        <v>36</v>
      </c>
      <c r="C40" s="240">
        <v>8112124358</v>
      </c>
      <c r="D40" s="241">
        <v>250346858</v>
      </c>
      <c r="E40" s="242" t="s">
        <v>748</v>
      </c>
      <c r="F40" s="244" t="s">
        <v>734</v>
      </c>
      <c r="G40" s="52"/>
      <c r="H40" s="52"/>
    </row>
    <row r="41" spans="1:17" ht="17.25">
      <c r="A41" s="238"/>
      <c r="B41" s="239">
        <v>37</v>
      </c>
      <c r="C41" s="240">
        <v>8112124359</v>
      </c>
      <c r="D41" s="241">
        <v>250346862</v>
      </c>
      <c r="E41" s="242" t="s">
        <v>850</v>
      </c>
      <c r="F41" s="244" t="s">
        <v>734</v>
      </c>
      <c r="G41" s="52"/>
      <c r="H41" s="52"/>
    </row>
    <row r="42" spans="1:17" ht="17.25">
      <c r="A42" s="238"/>
      <c r="B42" s="239">
        <v>38</v>
      </c>
      <c r="C42" s="240">
        <v>8112127140</v>
      </c>
      <c r="D42" s="241">
        <v>250483726</v>
      </c>
      <c r="E42" s="242" t="s">
        <v>853</v>
      </c>
      <c r="F42" s="244" t="s">
        <v>734</v>
      </c>
      <c r="G42" s="52"/>
      <c r="H42" s="52"/>
    </row>
    <row r="43" spans="1:17" ht="17.25">
      <c r="A43" s="238"/>
      <c r="B43" s="239">
        <v>39</v>
      </c>
      <c r="C43" s="240">
        <v>8112127141</v>
      </c>
      <c r="D43" s="241">
        <v>250484548</v>
      </c>
      <c r="E43" s="242" t="s">
        <v>856</v>
      </c>
      <c r="F43" s="244" t="s">
        <v>734</v>
      </c>
      <c r="G43" s="52"/>
      <c r="H43" s="52"/>
    </row>
    <row r="44" spans="1:17" ht="17.25">
      <c r="A44" s="238"/>
      <c r="B44" s="239">
        <v>40</v>
      </c>
      <c r="C44" s="240">
        <v>8112127143</v>
      </c>
      <c r="D44" s="241">
        <v>250484589</v>
      </c>
      <c r="E44" s="242" t="s">
        <v>859</v>
      </c>
      <c r="F44" s="244" t="s">
        <v>734</v>
      </c>
      <c r="G44" s="52"/>
      <c r="H44" s="52"/>
    </row>
    <row r="45" spans="1:17" ht="17.25">
      <c r="A45" s="238"/>
      <c r="B45" s="239">
        <v>41</v>
      </c>
      <c r="C45" s="240">
        <v>8112127144</v>
      </c>
      <c r="D45" s="241">
        <v>250484569</v>
      </c>
      <c r="E45" s="242" t="s">
        <v>730</v>
      </c>
      <c r="F45" s="244" t="s">
        <v>734</v>
      </c>
      <c r="G45" s="52"/>
      <c r="H45" s="52"/>
    </row>
    <row r="46" spans="1:17" ht="17.25">
      <c r="A46" s="238"/>
      <c r="B46" s="239">
        <v>42</v>
      </c>
      <c r="C46" s="240">
        <v>8112127145</v>
      </c>
      <c r="D46" s="241">
        <v>250484572</v>
      </c>
      <c r="E46" s="242" t="s">
        <v>861</v>
      </c>
      <c r="F46" s="244" t="s">
        <v>734</v>
      </c>
      <c r="G46" s="52"/>
      <c r="H46" s="52"/>
    </row>
    <row r="47" spans="1:17" ht="17.25">
      <c r="A47" s="238"/>
      <c r="B47" s="239">
        <v>43</v>
      </c>
      <c r="C47" s="240">
        <v>8112127146</v>
      </c>
      <c r="D47" s="241">
        <v>250483926</v>
      </c>
      <c r="E47" s="242" t="s">
        <v>492</v>
      </c>
      <c r="F47" s="244" t="s">
        <v>734</v>
      </c>
      <c r="G47" s="52"/>
      <c r="H47" s="52"/>
    </row>
    <row r="48" spans="1:17" ht="17.25">
      <c r="A48" s="238"/>
      <c r="B48" s="239">
        <v>44</v>
      </c>
      <c r="C48" s="240">
        <v>8112127147</v>
      </c>
      <c r="D48" s="241">
        <v>250484615</v>
      </c>
      <c r="E48" s="242" t="s">
        <v>864</v>
      </c>
      <c r="F48" s="244" t="s">
        <v>734</v>
      </c>
      <c r="G48" s="52"/>
      <c r="H48" s="52"/>
    </row>
    <row r="49" spans="1:9" ht="17.25">
      <c r="A49" s="238"/>
      <c r="B49" s="239">
        <v>45</v>
      </c>
      <c r="C49" s="240">
        <v>8112127150</v>
      </c>
      <c r="D49" s="241">
        <v>250484728</v>
      </c>
      <c r="E49" s="242" t="s">
        <v>325</v>
      </c>
      <c r="F49" s="244" t="s">
        <v>734</v>
      </c>
      <c r="G49" s="52"/>
      <c r="H49" s="52"/>
    </row>
    <row r="50" spans="1:9" ht="17.25">
      <c r="A50" s="238"/>
      <c r="B50" s="239">
        <v>46</v>
      </c>
      <c r="C50" s="240">
        <v>8112128401</v>
      </c>
      <c r="D50" s="241">
        <v>901125550</v>
      </c>
      <c r="E50" s="242" t="s">
        <v>868</v>
      </c>
      <c r="F50" s="244" t="s">
        <v>734</v>
      </c>
      <c r="G50" s="52"/>
      <c r="H50" s="52"/>
    </row>
    <row r="51" spans="1:9" ht="17.25">
      <c r="A51" s="238"/>
      <c r="B51" s="239">
        <v>47</v>
      </c>
      <c r="C51" s="240">
        <v>8112128403</v>
      </c>
      <c r="D51" s="241">
        <v>901110920</v>
      </c>
      <c r="E51" s="242" t="s">
        <v>236</v>
      </c>
      <c r="F51" s="244" t="s">
        <v>734</v>
      </c>
      <c r="G51" s="52"/>
      <c r="H51" s="52"/>
    </row>
    <row r="52" spans="1:9" ht="17.25">
      <c r="A52" s="238"/>
      <c r="B52" s="239">
        <v>48</v>
      </c>
      <c r="C52" s="240">
        <v>8112128405</v>
      </c>
      <c r="D52" s="241">
        <v>900840173</v>
      </c>
      <c r="E52" s="242" t="s">
        <v>437</v>
      </c>
      <c r="F52" s="244" t="s">
        <v>734</v>
      </c>
      <c r="G52" s="52"/>
      <c r="H52" s="52"/>
    </row>
    <row r="53" spans="1:9" ht="17.25">
      <c r="A53" s="238"/>
      <c r="B53" s="239">
        <v>49</v>
      </c>
      <c r="C53" s="240">
        <v>8112128406</v>
      </c>
      <c r="D53" s="241">
        <v>900840611</v>
      </c>
      <c r="E53" s="242" t="s">
        <v>736</v>
      </c>
      <c r="F53" s="244" t="s">
        <v>734</v>
      </c>
      <c r="G53" s="52"/>
      <c r="H53" s="52"/>
    </row>
    <row r="54" spans="1:9" ht="17.25">
      <c r="A54" s="238"/>
      <c r="B54" s="239">
        <v>50</v>
      </c>
      <c r="C54" s="240">
        <v>8112128407</v>
      </c>
      <c r="D54" s="241">
        <v>900662088</v>
      </c>
      <c r="E54" s="242" t="s">
        <v>159</v>
      </c>
      <c r="F54" s="244" t="s">
        <v>734</v>
      </c>
      <c r="G54" s="52"/>
      <c r="H54" s="52"/>
    </row>
    <row r="55" spans="1:9" ht="17.25">
      <c r="A55" s="238"/>
      <c r="B55" s="239">
        <v>51</v>
      </c>
      <c r="C55" s="240">
        <v>8112128409</v>
      </c>
      <c r="D55" s="241">
        <v>901043874</v>
      </c>
      <c r="E55" s="252" t="s">
        <v>817</v>
      </c>
      <c r="F55" s="244" t="s">
        <v>734</v>
      </c>
      <c r="G55" s="52"/>
      <c r="H55" s="52"/>
    </row>
    <row r="56" spans="1:9" ht="17.25">
      <c r="A56" s="238"/>
      <c r="B56" s="239">
        <v>52</v>
      </c>
      <c r="C56" s="240">
        <v>8112129909</v>
      </c>
      <c r="D56" s="241">
        <v>901198753</v>
      </c>
      <c r="E56" s="242" t="s">
        <v>882</v>
      </c>
      <c r="F56" s="244" t="s">
        <v>734</v>
      </c>
      <c r="G56" s="52"/>
      <c r="H56" s="52"/>
    </row>
    <row r="57" spans="1:9" ht="17.25">
      <c r="A57" s="238"/>
      <c r="B57" s="239">
        <v>53</v>
      </c>
      <c r="C57" s="240">
        <v>8112129910</v>
      </c>
      <c r="D57" s="241">
        <v>901224572</v>
      </c>
      <c r="E57" s="242" t="s">
        <v>92</v>
      </c>
      <c r="F57" s="244" t="s">
        <v>734</v>
      </c>
      <c r="G57" s="53"/>
      <c r="H57" s="52"/>
      <c r="I57" s="53" t="s">
        <v>889</v>
      </c>
    </row>
    <row r="58" spans="1:9" ht="17.25">
      <c r="A58" s="238"/>
      <c r="B58" s="239">
        <v>54</v>
      </c>
      <c r="C58" s="240">
        <v>8112129911</v>
      </c>
      <c r="D58" s="241">
        <v>901037485</v>
      </c>
      <c r="E58" s="242" t="s">
        <v>892</v>
      </c>
      <c r="F58" s="244" t="s">
        <v>734</v>
      </c>
      <c r="G58" s="52"/>
      <c r="H58" s="52"/>
    </row>
    <row r="59" spans="1:9" ht="17.25">
      <c r="A59" s="238"/>
      <c r="B59" s="239">
        <v>55</v>
      </c>
      <c r="C59" s="240">
        <v>8112129913</v>
      </c>
      <c r="D59" s="241">
        <v>901150879</v>
      </c>
      <c r="E59" s="242" t="s">
        <v>228</v>
      </c>
      <c r="F59" s="244" t="s">
        <v>734</v>
      </c>
      <c r="G59" s="52"/>
      <c r="H59" s="52"/>
    </row>
    <row r="60" spans="1:9" ht="17.25">
      <c r="A60" s="238"/>
      <c r="B60" s="239">
        <v>56</v>
      </c>
      <c r="C60" s="240">
        <v>8112129916</v>
      </c>
      <c r="D60" s="241">
        <v>901172426</v>
      </c>
      <c r="E60" s="242" t="s">
        <v>897</v>
      </c>
      <c r="F60" s="244" t="s">
        <v>734</v>
      </c>
      <c r="G60" s="52"/>
      <c r="H60" s="52"/>
    </row>
    <row r="61" spans="1:9" ht="17.25">
      <c r="A61" s="238"/>
      <c r="B61" s="239">
        <v>57</v>
      </c>
      <c r="C61" s="240">
        <v>8112129918</v>
      </c>
      <c r="D61" s="241">
        <v>901089853</v>
      </c>
      <c r="E61" s="252" t="s">
        <v>817</v>
      </c>
      <c r="F61" s="244" t="s">
        <v>734</v>
      </c>
      <c r="G61" s="52"/>
      <c r="H61" s="52"/>
    </row>
    <row r="62" spans="1:9" ht="17.25">
      <c r="A62" s="238"/>
      <c r="B62" s="239">
        <v>58</v>
      </c>
      <c r="C62" s="240">
        <v>8112163552</v>
      </c>
      <c r="D62" s="241">
        <v>252777921</v>
      </c>
      <c r="E62" s="242" t="s">
        <v>736</v>
      </c>
      <c r="F62" s="244" t="s">
        <v>734</v>
      </c>
      <c r="G62" s="52"/>
      <c r="H62" s="52"/>
    </row>
    <row r="63" spans="1:9" ht="17.25">
      <c r="A63" s="238"/>
      <c r="B63" s="239">
        <v>59</v>
      </c>
      <c r="C63" s="240">
        <v>8112187500</v>
      </c>
      <c r="D63" s="241">
        <v>254932538</v>
      </c>
      <c r="E63" s="242" t="s">
        <v>736</v>
      </c>
      <c r="F63" s="244" t="s">
        <v>734</v>
      </c>
      <c r="G63" s="52"/>
      <c r="H63" s="52"/>
    </row>
    <row r="64" spans="1:9" ht="17.25">
      <c r="A64" s="238"/>
      <c r="B64" s="239">
        <v>60</v>
      </c>
      <c r="C64" s="240">
        <v>8112206701</v>
      </c>
      <c r="D64" s="241">
        <v>683383206</v>
      </c>
      <c r="E64" s="242" t="s">
        <v>906</v>
      </c>
      <c r="F64" s="244" t="s">
        <v>734</v>
      </c>
      <c r="G64" s="52"/>
      <c r="H64" s="52"/>
    </row>
    <row r="65" spans="1:12" ht="17.25">
      <c r="A65" s="238"/>
      <c r="B65" s="239">
        <v>61</v>
      </c>
      <c r="C65" s="240">
        <v>8112206702</v>
      </c>
      <c r="D65" s="241">
        <v>683383208</v>
      </c>
      <c r="E65" s="242" t="s">
        <v>272</v>
      </c>
      <c r="F65" s="244" t="s">
        <v>734</v>
      </c>
      <c r="G65" s="52"/>
      <c r="H65" s="52"/>
    </row>
    <row r="66" spans="1:12" ht="17.25">
      <c r="A66" s="238"/>
      <c r="B66" s="239">
        <v>62</v>
      </c>
      <c r="C66" s="240">
        <v>8112206703</v>
      </c>
      <c r="D66" s="241">
        <v>683383209</v>
      </c>
      <c r="E66" s="242" t="s">
        <v>911</v>
      </c>
      <c r="F66" s="244" t="s">
        <v>734</v>
      </c>
      <c r="G66" s="52"/>
      <c r="H66" s="52"/>
    </row>
    <row r="67" spans="1:12" ht="17.25">
      <c r="A67" s="238"/>
      <c r="B67" s="239">
        <v>63</v>
      </c>
      <c r="C67" s="240">
        <v>8112206704</v>
      </c>
      <c r="D67" s="241">
        <v>683383210</v>
      </c>
      <c r="E67" s="242" t="s">
        <v>736</v>
      </c>
      <c r="F67" s="244" t="s">
        <v>734</v>
      </c>
      <c r="G67" s="52"/>
      <c r="H67" s="52"/>
    </row>
    <row r="68" spans="1:12" ht="17.25">
      <c r="A68" s="238"/>
      <c r="B68" s="239">
        <v>64</v>
      </c>
      <c r="C68" s="240">
        <v>81122300611</v>
      </c>
      <c r="D68" s="241">
        <v>683691097</v>
      </c>
      <c r="E68" s="242" t="s">
        <v>917</v>
      </c>
      <c r="F68" s="244" t="s">
        <v>734</v>
      </c>
      <c r="G68" s="52"/>
      <c r="H68" s="52"/>
    </row>
    <row r="69" spans="1:12" ht="17.25">
      <c r="A69" s="238"/>
      <c r="B69" s="239">
        <v>65</v>
      </c>
      <c r="C69" s="240">
        <v>81122300612</v>
      </c>
      <c r="D69" s="241">
        <v>683692038</v>
      </c>
      <c r="E69" s="242" t="s">
        <v>776</v>
      </c>
      <c r="F69" s="244" t="s">
        <v>734</v>
      </c>
      <c r="G69" s="52"/>
      <c r="H69" s="52"/>
    </row>
    <row r="70" spans="1:12" ht="17.25">
      <c r="A70" s="238"/>
      <c r="B70" s="239">
        <v>66</v>
      </c>
      <c r="C70" s="240">
        <v>81122300613</v>
      </c>
      <c r="D70" s="241">
        <v>683688672</v>
      </c>
      <c r="E70" s="242" t="s">
        <v>779</v>
      </c>
      <c r="F70" s="244" t="s">
        <v>734</v>
      </c>
      <c r="G70" s="52"/>
      <c r="H70" s="52"/>
    </row>
    <row r="71" spans="1:12" ht="17.25">
      <c r="A71" s="238"/>
      <c r="B71" s="239">
        <v>67</v>
      </c>
      <c r="C71" s="240">
        <v>81122300614</v>
      </c>
      <c r="D71" s="241">
        <v>683678418</v>
      </c>
      <c r="E71" s="53" t="s">
        <v>783</v>
      </c>
      <c r="F71" s="244" t="s">
        <v>734</v>
      </c>
      <c r="G71" s="52"/>
      <c r="H71" s="52"/>
    </row>
    <row r="72" spans="1:12" ht="17.25">
      <c r="A72" s="238"/>
      <c r="B72" s="239">
        <v>68</v>
      </c>
      <c r="C72" s="240">
        <v>81122300615</v>
      </c>
      <c r="D72" s="241">
        <v>683692142</v>
      </c>
      <c r="E72" s="242" t="s">
        <v>736</v>
      </c>
      <c r="F72" s="244" t="s">
        <v>734</v>
      </c>
      <c r="G72" s="52"/>
      <c r="H72" s="52"/>
    </row>
    <row r="73" spans="1:12" ht="17.25">
      <c r="A73" s="238"/>
      <c r="B73" s="239">
        <v>69</v>
      </c>
      <c r="C73" s="240">
        <v>81122300616</v>
      </c>
      <c r="D73" s="241">
        <v>683692655</v>
      </c>
      <c r="E73" s="242" t="s">
        <v>792</v>
      </c>
      <c r="F73" s="244" t="s">
        <v>734</v>
      </c>
      <c r="G73" s="52"/>
      <c r="H73" s="52"/>
    </row>
    <row r="74" spans="1:12" ht="17.25">
      <c r="A74" s="238"/>
      <c r="B74" s="239">
        <v>70</v>
      </c>
      <c r="C74" s="240">
        <v>81122300617</v>
      </c>
      <c r="D74" s="241">
        <v>683692539</v>
      </c>
      <c r="E74" s="242" t="s">
        <v>924</v>
      </c>
      <c r="F74" s="244" t="s">
        <v>734</v>
      </c>
      <c r="G74" s="52"/>
      <c r="H74" s="52"/>
    </row>
    <row r="75" spans="1:12" ht="17.25">
      <c r="A75" s="238"/>
      <c r="B75" s="239">
        <v>71</v>
      </c>
      <c r="C75" s="240">
        <v>81122300618</v>
      </c>
      <c r="D75" s="241">
        <v>683682693</v>
      </c>
      <c r="E75" s="242" t="s">
        <v>795</v>
      </c>
      <c r="F75" s="244" t="s">
        <v>734</v>
      </c>
      <c r="G75" s="52"/>
      <c r="H75" s="52"/>
    </row>
    <row r="76" spans="1:12" ht="17.25">
      <c r="A76" s="238"/>
      <c r="B76" s="239">
        <v>72</v>
      </c>
      <c r="C76" s="240">
        <v>8112279611</v>
      </c>
      <c r="D76" s="241">
        <v>251782213</v>
      </c>
      <c r="E76" s="242" t="s">
        <v>356</v>
      </c>
      <c r="F76" s="244" t="s">
        <v>734</v>
      </c>
      <c r="G76" s="52"/>
      <c r="H76" s="52"/>
      <c r="L76" s="238"/>
    </row>
    <row r="77" spans="1:12" ht="17.25">
      <c r="A77" s="238"/>
      <c r="B77" s="239">
        <v>73</v>
      </c>
      <c r="C77" s="240">
        <v>8112279612</v>
      </c>
      <c r="D77" s="241">
        <v>251782382</v>
      </c>
      <c r="E77" s="242" t="s">
        <v>930</v>
      </c>
      <c r="F77" s="244" t="s">
        <v>734</v>
      </c>
      <c r="G77" s="52"/>
      <c r="H77" s="52"/>
      <c r="L77" s="238"/>
    </row>
    <row r="78" spans="1:12" ht="17.25">
      <c r="A78" s="238"/>
      <c r="B78" s="239">
        <v>74</v>
      </c>
      <c r="C78" s="240">
        <v>8112279615</v>
      </c>
      <c r="D78" s="241">
        <v>251775827</v>
      </c>
      <c r="E78" s="242" t="s">
        <v>931</v>
      </c>
      <c r="F78" s="244" t="s">
        <v>734</v>
      </c>
      <c r="G78" s="52"/>
      <c r="H78" s="52"/>
      <c r="L78" s="238"/>
    </row>
    <row r="79" spans="1:12" ht="17.25">
      <c r="A79" s="238"/>
      <c r="B79" s="239">
        <v>75</v>
      </c>
      <c r="C79" s="240">
        <v>8112279620</v>
      </c>
      <c r="D79" s="241">
        <v>251782313</v>
      </c>
      <c r="E79" s="242" t="s">
        <v>934</v>
      </c>
      <c r="F79" s="244" t="s">
        <v>734</v>
      </c>
      <c r="G79" s="52"/>
      <c r="H79" s="52"/>
      <c r="L79" s="238"/>
    </row>
    <row r="80" spans="1:12" ht="17.25">
      <c r="A80" s="238"/>
      <c r="B80" s="239">
        <v>76</v>
      </c>
      <c r="C80" s="240">
        <v>8112310238</v>
      </c>
      <c r="D80" s="241">
        <v>252619573</v>
      </c>
      <c r="E80" s="242" t="s">
        <v>935</v>
      </c>
      <c r="F80" s="244" t="s">
        <v>734</v>
      </c>
      <c r="G80" s="52"/>
      <c r="H80" s="52"/>
    </row>
    <row r="81" spans="1:8" ht="17.25">
      <c r="A81" s="238"/>
      <c r="B81" s="239">
        <v>77</v>
      </c>
      <c r="C81" s="240">
        <v>8114805924</v>
      </c>
      <c r="D81" s="241">
        <v>900984040</v>
      </c>
      <c r="E81" s="242" t="s">
        <v>937</v>
      </c>
      <c r="F81" s="244" t="s">
        <v>734</v>
      </c>
      <c r="G81" s="52"/>
      <c r="H81" s="52"/>
    </row>
    <row r="82" spans="1:8" ht="17.25">
      <c r="A82" s="238"/>
      <c r="B82" s="239">
        <v>78</v>
      </c>
      <c r="C82" s="240">
        <v>8114805925</v>
      </c>
      <c r="D82" s="241">
        <v>900787164</v>
      </c>
      <c r="E82" s="242" t="s">
        <v>436</v>
      </c>
      <c r="F82" s="244" t="s">
        <v>734</v>
      </c>
      <c r="G82" s="52"/>
      <c r="H82" s="52"/>
    </row>
    <row r="83" spans="1:8" ht="17.25">
      <c r="A83" s="238"/>
      <c r="B83" s="239">
        <v>79</v>
      </c>
      <c r="C83" s="240">
        <v>8114805927</v>
      </c>
      <c r="D83" s="241">
        <v>900988890</v>
      </c>
      <c r="E83" s="242" t="s">
        <v>736</v>
      </c>
      <c r="F83" s="244" t="s">
        <v>734</v>
      </c>
      <c r="G83" s="52"/>
      <c r="H83" s="52"/>
    </row>
    <row r="84" spans="1:8" ht="17.25">
      <c r="A84" s="238"/>
      <c r="B84" s="239">
        <v>80</v>
      </c>
      <c r="C84" s="240">
        <v>8114806705</v>
      </c>
      <c r="D84" s="241">
        <v>900818098</v>
      </c>
      <c r="E84" s="242" t="s">
        <v>145</v>
      </c>
      <c r="F84" s="244" t="s">
        <v>734</v>
      </c>
      <c r="G84" s="52"/>
      <c r="H84" s="52"/>
    </row>
    <row r="85" spans="1:8" ht="17.25">
      <c r="A85" s="238"/>
      <c r="B85" s="239">
        <v>81</v>
      </c>
      <c r="C85" s="240">
        <v>8114806707</v>
      </c>
      <c r="D85" s="241">
        <v>900979570</v>
      </c>
      <c r="E85" s="242" t="s">
        <v>188</v>
      </c>
      <c r="F85" s="244" t="s">
        <v>734</v>
      </c>
      <c r="G85" s="52"/>
      <c r="H85" s="52"/>
    </row>
    <row r="86" spans="1:8" ht="17.25">
      <c r="A86" s="238"/>
      <c r="B86" s="239">
        <v>82</v>
      </c>
      <c r="C86" s="240">
        <v>8114806708</v>
      </c>
      <c r="D86" s="241">
        <v>900739652</v>
      </c>
      <c r="E86" s="242" t="s">
        <v>942</v>
      </c>
      <c r="F86" s="244" t="s">
        <v>734</v>
      </c>
      <c r="G86" s="52"/>
      <c r="H86" s="52"/>
    </row>
    <row r="87" spans="1:8" ht="17.25">
      <c r="A87" s="238"/>
      <c r="B87" s="239">
        <v>83</v>
      </c>
      <c r="C87" s="240">
        <v>8114806715</v>
      </c>
      <c r="D87" s="241">
        <v>900865038</v>
      </c>
      <c r="E87" s="252" t="s">
        <v>817</v>
      </c>
      <c r="F87" s="244" t="s">
        <v>734</v>
      </c>
      <c r="G87" s="52"/>
      <c r="H87" s="52"/>
    </row>
    <row r="88" spans="1:8" ht="17.25">
      <c r="A88" s="238"/>
      <c r="B88" s="239">
        <v>84</v>
      </c>
      <c r="C88" s="240">
        <v>8114806717</v>
      </c>
      <c r="D88" s="241">
        <v>900962630</v>
      </c>
      <c r="E88" s="242" t="s">
        <v>269</v>
      </c>
      <c r="F88" s="244" t="s">
        <v>734</v>
      </c>
      <c r="G88" s="52"/>
      <c r="H88" s="52"/>
    </row>
    <row r="89" spans="1:8" ht="17.25">
      <c r="A89" s="238"/>
      <c r="B89" s="239">
        <v>85</v>
      </c>
      <c r="C89" s="240">
        <v>8116135282</v>
      </c>
      <c r="D89" s="241">
        <v>253056208</v>
      </c>
      <c r="E89" s="242" t="s">
        <v>946</v>
      </c>
      <c r="F89" s="244" t="s">
        <v>734</v>
      </c>
      <c r="G89" s="52"/>
      <c r="H89" s="52"/>
    </row>
    <row r="90" spans="1:8" ht="17.25">
      <c r="A90" s="238"/>
      <c r="B90" s="239">
        <v>86</v>
      </c>
      <c r="C90" s="240">
        <v>8116138222</v>
      </c>
      <c r="D90" s="241">
        <v>250868892</v>
      </c>
      <c r="E90" s="242" t="s">
        <v>348</v>
      </c>
      <c r="F90" s="244" t="s">
        <v>734</v>
      </c>
      <c r="G90" s="52"/>
      <c r="H90" s="52"/>
    </row>
    <row r="91" spans="1:8" ht="17.25">
      <c r="A91" s="238"/>
      <c r="B91" s="239">
        <v>87</v>
      </c>
      <c r="C91" s="240">
        <v>8116138301</v>
      </c>
      <c r="D91" s="241">
        <v>250860070</v>
      </c>
      <c r="E91" s="242" t="s">
        <v>951</v>
      </c>
      <c r="F91" s="244" t="s">
        <v>734</v>
      </c>
      <c r="G91" s="52"/>
      <c r="H91" s="52"/>
    </row>
    <row r="92" spans="1:8" ht="17.25">
      <c r="A92" s="238"/>
      <c r="B92" s="239">
        <v>88</v>
      </c>
      <c r="C92" s="240">
        <v>8116138302</v>
      </c>
      <c r="D92" s="241">
        <v>250857580</v>
      </c>
      <c r="E92" s="242" t="s">
        <v>736</v>
      </c>
      <c r="F92" s="244" t="s">
        <v>734</v>
      </c>
      <c r="G92" s="52"/>
      <c r="H92" s="52"/>
    </row>
    <row r="93" spans="1:8" ht="17.25">
      <c r="A93" s="238"/>
      <c r="B93" s="239">
        <v>89</v>
      </c>
      <c r="C93" s="240">
        <v>8116138304</v>
      </c>
      <c r="D93" s="241">
        <v>250857582</v>
      </c>
      <c r="E93" s="242" t="s">
        <v>736</v>
      </c>
      <c r="F93" s="244" t="s">
        <v>734</v>
      </c>
      <c r="G93" s="52"/>
      <c r="H93" s="52"/>
    </row>
    <row r="94" spans="1:8" ht="17.25">
      <c r="A94" s="238"/>
      <c r="B94" s="239">
        <v>90</v>
      </c>
      <c r="C94" s="240">
        <v>8116138306</v>
      </c>
      <c r="D94" s="241">
        <v>250860077</v>
      </c>
      <c r="E94" s="242" t="s">
        <v>955</v>
      </c>
      <c r="F94" s="244" t="s">
        <v>734</v>
      </c>
      <c r="G94" s="52"/>
      <c r="H94" s="52"/>
    </row>
    <row r="95" spans="1:8" ht="17.25">
      <c r="A95" s="238"/>
      <c r="B95" s="239">
        <v>91</v>
      </c>
      <c r="C95" s="240">
        <v>8116138313</v>
      </c>
      <c r="D95" s="241">
        <v>250860084</v>
      </c>
      <c r="E95" s="242" t="s">
        <v>958</v>
      </c>
      <c r="F95" s="244" t="s">
        <v>734</v>
      </c>
      <c r="G95" s="52"/>
      <c r="H95" s="52"/>
    </row>
    <row r="96" spans="1:8" ht="17.25">
      <c r="A96" s="238"/>
      <c r="B96" s="239">
        <v>92</v>
      </c>
      <c r="C96" s="240">
        <v>8116138315</v>
      </c>
      <c r="D96" s="241">
        <v>250853053</v>
      </c>
      <c r="E96" s="242" t="s">
        <v>960</v>
      </c>
      <c r="F96" s="244" t="s">
        <v>734</v>
      </c>
      <c r="G96" s="52"/>
      <c r="H96" s="52"/>
    </row>
    <row r="97" spans="1:8" ht="17.25">
      <c r="A97" s="238"/>
      <c r="B97" s="239">
        <v>93</v>
      </c>
      <c r="C97" s="240">
        <v>8116138333</v>
      </c>
      <c r="D97" s="241">
        <v>250860114</v>
      </c>
      <c r="E97" s="242" t="s">
        <v>962</v>
      </c>
      <c r="F97" s="244" t="s">
        <v>734</v>
      </c>
      <c r="G97" s="52"/>
      <c r="H97" s="52"/>
    </row>
    <row r="98" spans="1:8" ht="17.25">
      <c r="A98" s="238"/>
      <c r="B98" s="239">
        <v>94</v>
      </c>
      <c r="C98" s="240">
        <v>8116177701</v>
      </c>
      <c r="D98" s="241">
        <v>251493543</v>
      </c>
      <c r="E98" s="242" t="s">
        <v>965</v>
      </c>
      <c r="F98" s="244" t="s">
        <v>734</v>
      </c>
      <c r="G98" s="52"/>
      <c r="H98" s="52"/>
    </row>
    <row r="99" spans="1:8" ht="17.25">
      <c r="A99" s="238"/>
      <c r="B99" s="239">
        <v>95</v>
      </c>
      <c r="C99" s="240">
        <v>8116177702</v>
      </c>
      <c r="D99" s="241">
        <v>251493699</v>
      </c>
      <c r="E99" s="242" t="s">
        <v>966</v>
      </c>
      <c r="F99" s="244" t="s">
        <v>734</v>
      </c>
      <c r="G99" s="52"/>
      <c r="H99" s="52"/>
    </row>
    <row r="100" spans="1:8" ht="17.25">
      <c r="A100" s="238"/>
      <c r="B100" s="239">
        <v>96</v>
      </c>
      <c r="C100" s="240">
        <v>8116177703</v>
      </c>
      <c r="D100" s="241">
        <v>251488237</v>
      </c>
      <c r="E100" s="242" t="s">
        <v>736</v>
      </c>
      <c r="F100" s="244" t="s">
        <v>734</v>
      </c>
      <c r="G100" s="52"/>
      <c r="H100" s="52"/>
    </row>
    <row r="101" spans="1:8" ht="17.25">
      <c r="A101" s="238"/>
      <c r="B101" s="239">
        <v>97</v>
      </c>
      <c r="C101" s="240">
        <v>8116177704</v>
      </c>
      <c r="D101" s="241">
        <v>251488239</v>
      </c>
      <c r="E101" s="242" t="s">
        <v>969</v>
      </c>
      <c r="F101" s="244" t="s">
        <v>734</v>
      </c>
      <c r="G101" s="52"/>
      <c r="H101" s="52"/>
    </row>
    <row r="102" spans="1:8" ht="17.25">
      <c r="A102" s="238"/>
      <c r="B102" s="239">
        <v>98</v>
      </c>
      <c r="C102" s="240">
        <v>8116177706</v>
      </c>
      <c r="D102" s="241">
        <v>251493554</v>
      </c>
      <c r="E102" s="242" t="s">
        <v>970</v>
      </c>
      <c r="F102" s="244" t="s">
        <v>734</v>
      </c>
      <c r="G102" s="52"/>
      <c r="H102" s="52"/>
    </row>
    <row r="103" spans="1:8" ht="17.25">
      <c r="A103" s="238"/>
      <c r="B103" s="239">
        <v>99</v>
      </c>
      <c r="C103" s="240">
        <v>8122283174</v>
      </c>
      <c r="D103" s="241">
        <v>901864667</v>
      </c>
      <c r="E103" s="242" t="s">
        <v>973</v>
      </c>
      <c r="F103" s="244" t="s">
        <v>734</v>
      </c>
      <c r="G103" s="52"/>
      <c r="H103" s="52"/>
    </row>
    <row r="104" spans="1:8" ht="17.25">
      <c r="A104" s="238"/>
      <c r="B104" s="239">
        <v>100</v>
      </c>
      <c r="C104" s="240">
        <v>81120011913</v>
      </c>
      <c r="D104" s="241">
        <v>683729732</v>
      </c>
      <c r="E104" s="242" t="s">
        <v>427</v>
      </c>
      <c r="F104" s="244" t="s">
        <v>734</v>
      </c>
      <c r="G104" s="52"/>
      <c r="H104" s="52"/>
    </row>
    <row r="105" spans="1:8" ht="17.25">
      <c r="A105" s="238"/>
      <c r="B105" s="239">
        <v>101</v>
      </c>
      <c r="C105" s="240">
        <v>81120011914</v>
      </c>
      <c r="D105" s="241">
        <v>683726512</v>
      </c>
      <c r="E105" s="242" t="s">
        <v>978</v>
      </c>
      <c r="F105" s="244" t="s">
        <v>734</v>
      </c>
      <c r="G105" s="52"/>
      <c r="H105" s="52"/>
    </row>
    <row r="106" spans="1:8" ht="17.25">
      <c r="A106" s="238"/>
      <c r="B106" s="239">
        <v>102</v>
      </c>
      <c r="C106" s="240">
        <v>81120011915</v>
      </c>
      <c r="D106" s="241">
        <v>683730333</v>
      </c>
      <c r="E106" s="242" t="s">
        <v>861</v>
      </c>
      <c r="F106" s="244" t="s">
        <v>734</v>
      </c>
      <c r="G106" s="52"/>
      <c r="H106" s="52"/>
    </row>
    <row r="107" spans="1:8" ht="17.25">
      <c r="A107" s="238"/>
      <c r="B107" s="239">
        <v>103</v>
      </c>
      <c r="C107" s="240">
        <v>81120011916</v>
      </c>
      <c r="D107" s="241">
        <v>683730123</v>
      </c>
      <c r="E107" s="242" t="s">
        <v>288</v>
      </c>
      <c r="F107" s="244" t="s">
        <v>734</v>
      </c>
      <c r="G107" s="52"/>
      <c r="H107" s="52"/>
    </row>
    <row r="108" spans="1:8" ht="17.25">
      <c r="A108" s="238"/>
      <c r="B108" s="239">
        <v>104</v>
      </c>
      <c r="C108" s="240">
        <v>81120011917</v>
      </c>
      <c r="D108" s="241">
        <v>683730344</v>
      </c>
      <c r="E108" s="242" t="s">
        <v>983</v>
      </c>
      <c r="F108" s="244" t="s">
        <v>734</v>
      </c>
      <c r="G108" s="52"/>
      <c r="H108" s="52"/>
    </row>
    <row r="109" spans="1:8" ht="17.25">
      <c r="A109" s="238"/>
      <c r="B109" s="239">
        <v>105</v>
      </c>
      <c r="C109" s="240">
        <v>81120011918</v>
      </c>
      <c r="D109" s="241">
        <v>683725636</v>
      </c>
      <c r="E109" s="242" t="s">
        <v>67</v>
      </c>
      <c r="F109" s="244" t="s">
        <v>734</v>
      </c>
      <c r="G109" s="52"/>
      <c r="H109" s="52"/>
    </row>
    <row r="110" spans="1:8" ht="17.25">
      <c r="A110" s="238"/>
      <c r="B110" s="239">
        <v>106</v>
      </c>
      <c r="C110" s="240">
        <v>81120011919</v>
      </c>
      <c r="D110" s="241">
        <v>683725637</v>
      </c>
      <c r="E110" s="242" t="s">
        <v>736</v>
      </c>
      <c r="F110" s="244" t="s">
        <v>734</v>
      </c>
      <c r="G110" s="52"/>
      <c r="H110" s="52"/>
    </row>
    <row r="111" spans="1:8" ht="17.25">
      <c r="A111" s="238"/>
      <c r="B111" s="239">
        <v>107</v>
      </c>
      <c r="C111" s="240">
        <v>81120211745</v>
      </c>
      <c r="D111" s="241">
        <v>683896898</v>
      </c>
      <c r="E111" s="242" t="s">
        <v>736</v>
      </c>
      <c r="F111" s="244" t="s">
        <v>734</v>
      </c>
      <c r="G111" s="52"/>
      <c r="H111" s="52"/>
    </row>
    <row r="112" spans="1:8" ht="17.25">
      <c r="A112" s="238"/>
      <c r="B112" s="239">
        <v>108</v>
      </c>
      <c r="C112" s="240">
        <v>81120211959</v>
      </c>
      <c r="D112" s="241">
        <v>683919826</v>
      </c>
      <c r="E112" s="242" t="s">
        <v>987</v>
      </c>
      <c r="F112" s="244" t="s">
        <v>734</v>
      </c>
      <c r="G112" s="52"/>
      <c r="H112" s="52"/>
    </row>
    <row r="113" spans="1:12" ht="17.25">
      <c r="A113" s="238"/>
      <c r="B113" s="239">
        <v>109</v>
      </c>
      <c r="C113" s="240">
        <v>8112079591</v>
      </c>
      <c r="D113" s="241">
        <v>251729236</v>
      </c>
      <c r="E113" s="248" t="s">
        <v>411</v>
      </c>
      <c r="F113" s="247" t="s">
        <v>734</v>
      </c>
      <c r="G113" s="52"/>
      <c r="H113" s="52"/>
    </row>
    <row r="114" spans="1:12" ht="17.25">
      <c r="A114" s="238"/>
      <c r="B114" s="239">
        <v>110</v>
      </c>
      <c r="C114" s="240">
        <v>8112079592</v>
      </c>
      <c r="D114" s="241">
        <v>251729259</v>
      </c>
      <c r="E114" s="242" t="s">
        <v>736</v>
      </c>
      <c r="F114" s="247" t="s">
        <v>734</v>
      </c>
      <c r="G114" s="52"/>
      <c r="H114" s="52"/>
    </row>
    <row r="115" spans="1:12" ht="17.25">
      <c r="A115" s="238"/>
      <c r="B115" s="239">
        <v>111</v>
      </c>
      <c r="C115" s="240">
        <v>8112079595</v>
      </c>
      <c r="D115" s="241">
        <v>251729316</v>
      </c>
      <c r="E115" s="242" t="s">
        <v>994</v>
      </c>
      <c r="F115" s="244" t="s">
        <v>734</v>
      </c>
      <c r="G115" s="52"/>
      <c r="H115" s="52"/>
    </row>
    <row r="116" spans="1:12" ht="17.25">
      <c r="A116" s="238"/>
      <c r="B116" s="239">
        <v>112</v>
      </c>
      <c r="C116" s="240">
        <v>8112079597</v>
      </c>
      <c r="D116" s="241">
        <v>257073359</v>
      </c>
      <c r="E116" s="242" t="s">
        <v>997</v>
      </c>
      <c r="F116" s="244" t="s">
        <v>734</v>
      </c>
      <c r="G116" s="52"/>
      <c r="H116" s="52"/>
    </row>
    <row r="117" spans="1:12" ht="17.25">
      <c r="A117" s="238"/>
      <c r="B117" s="239">
        <v>113</v>
      </c>
      <c r="C117" s="240">
        <v>8112110398</v>
      </c>
      <c r="D117" s="241">
        <v>902880292</v>
      </c>
      <c r="E117" s="242" t="s">
        <v>999</v>
      </c>
      <c r="F117" s="244" t="s">
        <v>734</v>
      </c>
      <c r="G117" s="52"/>
      <c r="H117" s="52"/>
    </row>
    <row r="118" spans="1:12" ht="17.25">
      <c r="A118" s="281"/>
      <c r="B118" s="239">
        <v>114</v>
      </c>
      <c r="C118" s="255">
        <v>8112111068</v>
      </c>
      <c r="D118" s="261">
        <v>900085883</v>
      </c>
      <c r="E118" s="252" t="s">
        <v>824</v>
      </c>
      <c r="F118" s="243" t="s">
        <v>734</v>
      </c>
      <c r="G118" s="52"/>
      <c r="H118" s="52"/>
    </row>
    <row r="119" spans="1:12" ht="17.25">
      <c r="A119" s="238"/>
      <c r="B119" s="239">
        <v>115</v>
      </c>
      <c r="C119" s="240">
        <v>8112111070</v>
      </c>
      <c r="D119" s="241">
        <v>902820178</v>
      </c>
      <c r="E119" s="242" t="s">
        <v>1006</v>
      </c>
      <c r="F119" s="244" t="s">
        <v>734</v>
      </c>
      <c r="G119" s="52"/>
      <c r="H119" s="52"/>
    </row>
    <row r="120" spans="1:12" ht="17.25">
      <c r="A120" s="238"/>
      <c r="B120" s="239">
        <v>116</v>
      </c>
      <c r="C120" s="240">
        <v>8112111080</v>
      </c>
      <c r="D120" s="241">
        <v>902565549</v>
      </c>
      <c r="E120" s="242" t="s">
        <v>239</v>
      </c>
      <c r="F120" s="244" t="s">
        <v>734</v>
      </c>
      <c r="G120" s="52"/>
      <c r="H120" s="52"/>
    </row>
    <row r="121" spans="1:12" ht="17.25">
      <c r="A121" s="238"/>
      <c r="B121" s="239">
        <v>117</v>
      </c>
      <c r="C121" s="240">
        <v>8112111088</v>
      </c>
      <c r="D121" s="241">
        <v>902551153</v>
      </c>
      <c r="E121" s="242" t="s">
        <v>1009</v>
      </c>
      <c r="F121" s="244" t="s">
        <v>734</v>
      </c>
      <c r="G121" s="52"/>
      <c r="H121" s="52"/>
    </row>
    <row r="122" spans="1:12" ht="17.25">
      <c r="A122" s="238"/>
      <c r="B122" s="239">
        <v>118</v>
      </c>
      <c r="C122" s="240">
        <v>8112111090</v>
      </c>
      <c r="D122" s="241">
        <v>902254565</v>
      </c>
      <c r="E122" s="242" t="s">
        <v>239</v>
      </c>
      <c r="F122" s="244" t="s">
        <v>734</v>
      </c>
      <c r="G122" s="52"/>
      <c r="H122" s="52"/>
    </row>
    <row r="123" spans="1:12" ht="17.25">
      <c r="A123" s="238"/>
      <c r="B123" s="239">
        <v>119</v>
      </c>
      <c r="C123" s="240">
        <v>8112111134</v>
      </c>
      <c r="D123" s="241">
        <v>900323149</v>
      </c>
      <c r="E123" s="242" t="s">
        <v>828</v>
      </c>
      <c r="F123" s="244" t="s">
        <v>734</v>
      </c>
      <c r="G123" s="52"/>
      <c r="H123" s="52"/>
    </row>
    <row r="124" spans="1:12" ht="17.25">
      <c r="A124" s="238"/>
      <c r="B124" s="239">
        <v>120</v>
      </c>
      <c r="C124" s="240">
        <v>8112111135</v>
      </c>
      <c r="D124" s="241">
        <v>683162252</v>
      </c>
      <c r="E124" s="242" t="s">
        <v>1016</v>
      </c>
      <c r="F124" s="244" t="s">
        <v>734</v>
      </c>
      <c r="G124" s="52"/>
      <c r="H124" s="52"/>
      <c r="L124" s="126" t="s">
        <v>833</v>
      </c>
    </row>
    <row r="125" spans="1:12" ht="17.25">
      <c r="A125" s="238"/>
      <c r="B125" s="239">
        <v>121</v>
      </c>
      <c r="C125" s="240">
        <v>8112111136</v>
      </c>
      <c r="D125" s="241">
        <v>900252814</v>
      </c>
      <c r="E125" s="242" t="s">
        <v>1019</v>
      </c>
      <c r="F125" s="244" t="s">
        <v>734</v>
      </c>
      <c r="G125" s="52"/>
      <c r="H125" s="52"/>
    </row>
    <row r="126" spans="1:12" ht="17.25">
      <c r="A126" s="238"/>
      <c r="B126" s="239">
        <v>122</v>
      </c>
      <c r="C126" s="240">
        <v>8112111152</v>
      </c>
      <c r="D126" s="241">
        <v>900591827</v>
      </c>
      <c r="E126" s="242" t="s">
        <v>830</v>
      </c>
      <c r="F126" s="244" t="s">
        <v>734</v>
      </c>
      <c r="G126" s="52"/>
      <c r="H126" s="52"/>
    </row>
    <row r="127" spans="1:12" ht="17.25">
      <c r="A127" s="238"/>
      <c r="B127" s="239">
        <v>123</v>
      </c>
      <c r="C127" s="240">
        <v>8112111153</v>
      </c>
      <c r="D127" s="241">
        <v>683161773</v>
      </c>
      <c r="E127" s="242" t="s">
        <v>1025</v>
      </c>
      <c r="F127" s="244" t="s">
        <v>734</v>
      </c>
      <c r="G127" s="52"/>
      <c r="H127" s="52"/>
    </row>
    <row r="128" spans="1:12" ht="17.25">
      <c r="A128" s="238"/>
      <c r="B128" s="239">
        <v>124</v>
      </c>
      <c r="C128" s="240">
        <v>8112113080</v>
      </c>
      <c r="D128" s="241">
        <v>900165796</v>
      </c>
      <c r="E128" s="242" t="s">
        <v>1029</v>
      </c>
      <c r="F128" s="244" t="s">
        <v>734</v>
      </c>
      <c r="G128" s="52"/>
      <c r="H128" s="52"/>
    </row>
    <row r="129" spans="1:10" ht="17.25">
      <c r="A129" s="238"/>
      <c r="B129" s="239">
        <v>125</v>
      </c>
      <c r="C129" s="240">
        <v>8112113081</v>
      </c>
      <c r="D129" s="241">
        <v>900063004</v>
      </c>
      <c r="E129" s="242" t="s">
        <v>1031</v>
      </c>
      <c r="F129" s="244" t="s">
        <v>734</v>
      </c>
      <c r="G129" s="52"/>
      <c r="H129" s="52"/>
    </row>
    <row r="130" spans="1:10" ht="17.25">
      <c r="A130" s="238"/>
      <c r="B130" s="239">
        <v>126</v>
      </c>
      <c r="C130" s="240">
        <v>8112113083</v>
      </c>
      <c r="D130" s="241">
        <v>900042035</v>
      </c>
      <c r="E130" s="242" t="s">
        <v>1034</v>
      </c>
      <c r="F130" s="244" t="s">
        <v>734</v>
      </c>
      <c r="G130" s="52"/>
      <c r="H130" s="52"/>
    </row>
    <row r="131" spans="1:10" ht="17.25">
      <c r="A131" s="238"/>
      <c r="B131" s="239">
        <v>127</v>
      </c>
      <c r="C131" s="240">
        <v>8112113084</v>
      </c>
      <c r="D131" s="241">
        <v>900059610</v>
      </c>
      <c r="E131" s="242" t="s">
        <v>272</v>
      </c>
      <c r="F131" s="244" t="s">
        <v>734</v>
      </c>
      <c r="G131" s="52"/>
      <c r="H131" s="52"/>
    </row>
    <row r="132" spans="1:10" ht="17.25">
      <c r="A132" s="238"/>
      <c r="B132" s="239">
        <v>128</v>
      </c>
      <c r="C132" s="240">
        <v>8112113085</v>
      </c>
      <c r="D132" s="241">
        <v>900051405</v>
      </c>
      <c r="E132" s="242" t="s">
        <v>35</v>
      </c>
      <c r="F132" s="244" t="s">
        <v>734</v>
      </c>
      <c r="G132" s="52"/>
      <c r="H132" s="52"/>
    </row>
    <row r="133" spans="1:10" ht="17.25">
      <c r="A133" s="238"/>
      <c r="B133" s="239">
        <v>129</v>
      </c>
      <c r="C133" s="240">
        <v>8112113086</v>
      </c>
      <c r="D133" s="241">
        <v>900024464</v>
      </c>
      <c r="E133" s="242" t="s">
        <v>1042</v>
      </c>
      <c r="F133" s="244" t="s">
        <v>734</v>
      </c>
      <c r="G133" s="52"/>
      <c r="H133" s="52"/>
    </row>
    <row r="134" spans="1:10" ht="17.25">
      <c r="A134" s="238"/>
      <c r="B134" s="239">
        <v>130</v>
      </c>
      <c r="C134" s="240">
        <v>8112113087</v>
      </c>
      <c r="D134" s="241">
        <v>900006217</v>
      </c>
      <c r="E134" s="242" t="s">
        <v>1045</v>
      </c>
      <c r="F134" s="244" t="s">
        <v>734</v>
      </c>
      <c r="G134" s="52"/>
      <c r="H134" s="52"/>
    </row>
    <row r="135" spans="1:10" ht="17.25">
      <c r="A135" s="238"/>
      <c r="B135" s="239">
        <v>131</v>
      </c>
      <c r="C135" s="240">
        <v>8112113089</v>
      </c>
      <c r="D135" s="241">
        <v>900006299</v>
      </c>
      <c r="E135" s="242" t="s">
        <v>1048</v>
      </c>
      <c r="F135" s="244" t="s">
        <v>734</v>
      </c>
      <c r="G135" s="52"/>
      <c r="H135" s="52"/>
    </row>
    <row r="136" spans="1:10" ht="17.25">
      <c r="A136" s="238"/>
      <c r="B136" s="239">
        <v>132</v>
      </c>
      <c r="C136" s="240">
        <v>8112113090</v>
      </c>
      <c r="D136" s="241">
        <v>900132771</v>
      </c>
      <c r="E136" s="242" t="s">
        <v>1029</v>
      </c>
      <c r="F136" s="244" t="s">
        <v>734</v>
      </c>
      <c r="G136" s="52"/>
      <c r="H136" s="52"/>
    </row>
    <row r="137" spans="1:10" ht="17.25">
      <c r="A137" s="238"/>
      <c r="B137" s="239">
        <v>133</v>
      </c>
      <c r="C137" s="240">
        <v>8112113091</v>
      </c>
      <c r="D137" s="241">
        <v>900216425</v>
      </c>
      <c r="E137" s="242" t="s">
        <v>740</v>
      </c>
      <c r="F137" s="244" t="s">
        <v>734</v>
      </c>
      <c r="G137" s="52"/>
      <c r="H137" s="52"/>
    </row>
    <row r="138" spans="1:10" ht="17.25">
      <c r="A138" s="238"/>
      <c r="B138" s="239">
        <v>134</v>
      </c>
      <c r="C138" s="240">
        <v>8112113092</v>
      </c>
      <c r="D138" s="241">
        <v>900140570</v>
      </c>
      <c r="E138" s="242" t="s">
        <v>385</v>
      </c>
      <c r="F138" s="244" t="s">
        <v>734</v>
      </c>
      <c r="G138" s="52"/>
      <c r="H138" s="52"/>
    </row>
    <row r="139" spans="1:10" ht="17.25">
      <c r="A139" s="238"/>
      <c r="B139" s="239">
        <v>135</v>
      </c>
      <c r="C139" s="240">
        <v>8112113093</v>
      </c>
      <c r="D139" s="241">
        <v>900224091</v>
      </c>
      <c r="E139" s="242" t="s">
        <v>1055</v>
      </c>
      <c r="F139" s="244" t="s">
        <v>734</v>
      </c>
      <c r="G139" s="52"/>
      <c r="H139" s="52"/>
    </row>
    <row r="140" spans="1:10" ht="17.25">
      <c r="A140" s="238"/>
      <c r="B140" s="239">
        <v>136</v>
      </c>
      <c r="C140" s="240">
        <v>8112113094</v>
      </c>
      <c r="D140" s="241">
        <v>900274453</v>
      </c>
      <c r="E140" s="242" t="s">
        <v>1059</v>
      </c>
      <c r="F140" s="244" t="s">
        <v>734</v>
      </c>
      <c r="G140" s="52"/>
      <c r="H140" s="52"/>
    </row>
    <row r="141" spans="1:10" ht="17.25">
      <c r="A141" s="238"/>
      <c r="B141" s="239">
        <v>137</v>
      </c>
      <c r="C141" s="240">
        <v>8112113095</v>
      </c>
      <c r="D141" s="241">
        <v>900037303</v>
      </c>
      <c r="E141" s="242" t="s">
        <v>1062</v>
      </c>
      <c r="F141" s="244" t="s">
        <v>734</v>
      </c>
      <c r="G141" s="52"/>
      <c r="H141" s="52"/>
    </row>
    <row r="142" spans="1:10" ht="17.25">
      <c r="A142" s="238"/>
      <c r="B142" s="239">
        <v>138</v>
      </c>
      <c r="C142" s="240">
        <v>8112113097</v>
      </c>
      <c r="D142" s="241">
        <v>900290217</v>
      </c>
      <c r="E142" s="242" t="s">
        <v>1065</v>
      </c>
      <c r="F142" s="244" t="s">
        <v>734</v>
      </c>
      <c r="G142" s="52"/>
      <c r="H142" s="52"/>
    </row>
    <row r="143" spans="1:10" ht="17.25">
      <c r="B143" s="239">
        <v>139</v>
      </c>
      <c r="C143" s="257">
        <v>8112310239</v>
      </c>
      <c r="D143" s="248" t="s">
        <v>46</v>
      </c>
      <c r="E143" s="248" t="s">
        <v>1068</v>
      </c>
      <c r="F143" s="282" t="s">
        <v>734</v>
      </c>
    </row>
    <row r="144" spans="1:10" ht="17.25">
      <c r="A144" s="283"/>
      <c r="B144" s="239">
        <v>140</v>
      </c>
      <c r="C144" s="240">
        <v>81120030863</v>
      </c>
      <c r="D144" s="241" t="s">
        <v>46</v>
      </c>
      <c r="E144" s="242" t="s">
        <v>1075</v>
      </c>
      <c r="F144" s="243" t="s">
        <v>734</v>
      </c>
      <c r="J144" s="284">
        <v>8114805927</v>
      </c>
    </row>
    <row r="145" spans="1:6" ht="17.25">
      <c r="A145" s="283"/>
      <c r="B145" s="239">
        <v>141</v>
      </c>
      <c r="C145" s="240">
        <v>81120030864</v>
      </c>
      <c r="D145" s="241" t="s">
        <v>46</v>
      </c>
      <c r="E145" s="242" t="s">
        <v>1080</v>
      </c>
      <c r="F145" s="243" t="s">
        <v>734</v>
      </c>
    </row>
    <row r="146" spans="1:6" ht="17.25">
      <c r="A146" s="283"/>
      <c r="B146" s="239">
        <v>142</v>
      </c>
      <c r="C146" s="240">
        <v>81120030865</v>
      </c>
      <c r="D146" s="241" t="s">
        <v>46</v>
      </c>
      <c r="E146" s="242" t="s">
        <v>1083</v>
      </c>
      <c r="F146" s="243" t="s">
        <v>734</v>
      </c>
    </row>
    <row r="147" spans="1:6" ht="17.25">
      <c r="A147" s="283"/>
      <c r="B147" s="239">
        <v>143</v>
      </c>
      <c r="C147" s="240">
        <v>81120030866</v>
      </c>
      <c r="D147" s="241" t="s">
        <v>46</v>
      </c>
      <c r="E147" s="242" t="s">
        <v>1086</v>
      </c>
      <c r="F147" s="243" t="s">
        <v>734</v>
      </c>
    </row>
    <row r="148" spans="1:6" ht="17.25">
      <c r="A148" s="283"/>
      <c r="B148" s="239">
        <v>144</v>
      </c>
      <c r="C148" s="240">
        <v>81120030867</v>
      </c>
      <c r="D148" s="241" t="s">
        <v>46</v>
      </c>
      <c r="E148" s="242" t="s">
        <v>1089</v>
      </c>
      <c r="F148" s="243" t="s">
        <v>734</v>
      </c>
    </row>
    <row r="149" spans="1:6" ht="17.25">
      <c r="A149" s="283"/>
      <c r="B149" s="239">
        <v>145</v>
      </c>
      <c r="C149" s="240">
        <v>81120030868</v>
      </c>
      <c r="D149" s="241" t="s">
        <v>46</v>
      </c>
      <c r="E149" s="242" t="s">
        <v>1091</v>
      </c>
      <c r="F149" s="243" t="s">
        <v>734</v>
      </c>
    </row>
    <row r="150" spans="1:6" ht="17.25">
      <c r="A150" s="283"/>
      <c r="B150" s="239">
        <v>146</v>
      </c>
      <c r="C150" s="240">
        <v>81120030869</v>
      </c>
      <c r="D150" s="241" t="s">
        <v>46</v>
      </c>
      <c r="E150" s="248" t="s">
        <v>1093</v>
      </c>
      <c r="F150" s="243" t="s">
        <v>734</v>
      </c>
    </row>
    <row r="151" spans="1:6" ht="17.25">
      <c r="A151" s="283"/>
      <c r="B151" s="239">
        <v>147</v>
      </c>
      <c r="C151" s="240">
        <v>81120030870</v>
      </c>
      <c r="D151" s="241" t="s">
        <v>46</v>
      </c>
      <c r="E151" s="256" t="s">
        <v>1096</v>
      </c>
      <c r="F151" s="243" t="s">
        <v>734</v>
      </c>
    </row>
    <row r="152" spans="1:6" ht="17.25">
      <c r="A152" s="283"/>
      <c r="B152" s="239">
        <v>148</v>
      </c>
      <c r="C152" s="240">
        <v>81120030871</v>
      </c>
      <c r="D152" s="241" t="s">
        <v>46</v>
      </c>
      <c r="E152" s="242" t="s">
        <v>1099</v>
      </c>
      <c r="F152" s="243" t="s">
        <v>734</v>
      </c>
    </row>
    <row r="153" spans="1:6" ht="17.25">
      <c r="A153" s="283"/>
      <c r="B153" s="239">
        <v>149</v>
      </c>
      <c r="C153" s="240">
        <v>81120030872</v>
      </c>
      <c r="D153" s="241" t="s">
        <v>46</v>
      </c>
      <c r="E153" s="242" t="s">
        <v>1100</v>
      </c>
      <c r="F153" s="243" t="s">
        <v>734</v>
      </c>
    </row>
    <row r="154" spans="1:6" ht="17.25">
      <c r="A154" s="283"/>
      <c r="B154" s="239">
        <v>150</v>
      </c>
      <c r="C154" s="257">
        <v>81120224612</v>
      </c>
      <c r="D154" s="247" t="s">
        <v>46</v>
      </c>
      <c r="E154" s="242" t="s">
        <v>1101</v>
      </c>
      <c r="F154" s="243" t="s">
        <v>734</v>
      </c>
    </row>
    <row r="155" spans="1:6" ht="17.25">
      <c r="A155" s="283"/>
      <c r="B155" s="239">
        <v>151</v>
      </c>
      <c r="C155" s="257">
        <v>81120224613</v>
      </c>
      <c r="D155" s="241" t="s">
        <v>46</v>
      </c>
      <c r="E155" s="242" t="s">
        <v>1104</v>
      </c>
      <c r="F155" s="243" t="s">
        <v>734</v>
      </c>
    </row>
    <row r="156" spans="1:6" ht="17.25">
      <c r="A156" s="283"/>
      <c r="B156" s="239">
        <v>152</v>
      </c>
      <c r="C156" s="257">
        <v>81120224614</v>
      </c>
      <c r="D156" s="241" t="s">
        <v>46</v>
      </c>
      <c r="E156" s="242" t="s">
        <v>355</v>
      </c>
      <c r="F156" s="243" t="s">
        <v>734</v>
      </c>
    </row>
    <row r="157" spans="1:6" ht="17.25">
      <c r="A157" s="285"/>
      <c r="B157" s="239">
        <v>153</v>
      </c>
      <c r="C157" s="257">
        <v>81120224921</v>
      </c>
      <c r="D157" s="241" t="s">
        <v>46</v>
      </c>
      <c r="E157" s="248" t="s">
        <v>1109</v>
      </c>
      <c r="F157" s="16" t="s">
        <v>734</v>
      </c>
    </row>
    <row r="158" spans="1:6" ht="17.25">
      <c r="A158" s="285"/>
      <c r="B158" s="239">
        <v>154</v>
      </c>
      <c r="C158" s="286">
        <v>81120031421</v>
      </c>
      <c r="D158" s="247" t="s">
        <v>46</v>
      </c>
      <c r="E158" s="248" t="s">
        <v>1114</v>
      </c>
      <c r="F158" s="282" t="s">
        <v>734</v>
      </c>
    </row>
    <row r="159" spans="1:6" ht="17.25">
      <c r="A159" s="285"/>
      <c r="B159" s="239">
        <v>155</v>
      </c>
      <c r="C159" s="257">
        <v>81120031468</v>
      </c>
      <c r="D159" s="247" t="s">
        <v>46</v>
      </c>
      <c r="E159" s="248" t="s">
        <v>1114</v>
      </c>
      <c r="F159" s="282" t="s">
        <v>734</v>
      </c>
    </row>
    <row r="160" spans="1:6" ht="17.25">
      <c r="A160" s="285"/>
      <c r="B160" s="239">
        <v>156</v>
      </c>
      <c r="C160" s="257">
        <v>81120031469</v>
      </c>
      <c r="D160" s="247" t="s">
        <v>46</v>
      </c>
      <c r="E160" s="248" t="s">
        <v>1114</v>
      </c>
      <c r="F160" s="282" t="s">
        <v>734</v>
      </c>
    </row>
    <row r="161" spans="1:6" ht="17.25">
      <c r="A161" s="283"/>
      <c r="B161" s="239">
        <v>157</v>
      </c>
      <c r="C161" s="257">
        <v>81120032026</v>
      </c>
      <c r="D161" s="241" t="s">
        <v>46</v>
      </c>
      <c r="E161" s="248" t="s">
        <v>29</v>
      </c>
      <c r="F161" s="282" t="s">
        <v>734</v>
      </c>
    </row>
    <row r="162" spans="1:6" ht="17.25">
      <c r="A162" s="283"/>
      <c r="B162" s="239">
        <v>158</v>
      </c>
      <c r="C162" s="288">
        <v>81120218081</v>
      </c>
      <c r="D162" s="241" t="s">
        <v>46</v>
      </c>
      <c r="E162" s="248" t="s">
        <v>51</v>
      </c>
      <c r="F162" s="282" t="s">
        <v>734</v>
      </c>
    </row>
    <row r="163" spans="1:6" ht="17.25">
      <c r="A163" s="285"/>
      <c r="B163" s="239">
        <v>159</v>
      </c>
      <c r="C163" s="289">
        <v>81120218358</v>
      </c>
      <c r="D163" s="241" t="s">
        <v>46</v>
      </c>
      <c r="E163" s="248" t="s">
        <v>935</v>
      </c>
      <c r="F163" s="282" t="s">
        <v>734</v>
      </c>
    </row>
    <row r="164" spans="1:6" ht="17.25">
      <c r="A164" s="285"/>
      <c r="B164" s="239">
        <v>160</v>
      </c>
      <c r="C164" s="289">
        <v>81120218359</v>
      </c>
      <c r="D164" s="247" t="s">
        <v>46</v>
      </c>
      <c r="E164" s="248" t="s">
        <v>1121</v>
      </c>
      <c r="F164" s="282" t="s">
        <v>734</v>
      </c>
    </row>
    <row r="165" spans="1:6" ht="17.25">
      <c r="B165" s="239">
        <v>161</v>
      </c>
      <c r="C165" s="257">
        <v>81120032127</v>
      </c>
      <c r="D165" s="241" t="s">
        <v>46</v>
      </c>
      <c r="E165" s="248" t="s">
        <v>1123</v>
      </c>
      <c r="F165" s="282" t="s">
        <v>734</v>
      </c>
    </row>
    <row r="166" spans="1:6" ht="17.25">
      <c r="B166" s="239">
        <v>162</v>
      </c>
      <c r="C166" s="292">
        <v>81120032126</v>
      </c>
      <c r="D166" s="241" t="s">
        <v>46</v>
      </c>
      <c r="E166" s="248" t="s">
        <v>1127</v>
      </c>
      <c r="F166" s="282" t="s">
        <v>734</v>
      </c>
    </row>
    <row r="167" spans="1:6" ht="17.25">
      <c r="B167" s="239">
        <v>163</v>
      </c>
      <c r="C167" s="292">
        <v>81120032125</v>
      </c>
      <c r="D167" s="241" t="s">
        <v>46</v>
      </c>
      <c r="E167" s="248" t="s">
        <v>1129</v>
      </c>
      <c r="F167" s="293" t="s">
        <v>734</v>
      </c>
    </row>
    <row r="168" spans="1:6" ht="17.25">
      <c r="B168" s="239">
        <v>164</v>
      </c>
      <c r="C168" s="257">
        <v>81120237649</v>
      </c>
      <c r="D168" s="247" t="s">
        <v>46</v>
      </c>
      <c r="E168" s="248" t="s">
        <v>1132</v>
      </c>
      <c r="F168" s="259" t="s">
        <v>734</v>
      </c>
    </row>
    <row r="169" spans="1:6" ht="17.25">
      <c r="B169" s="239">
        <v>165</v>
      </c>
      <c r="C169" s="257">
        <v>81120237664</v>
      </c>
      <c r="D169" s="247" t="s">
        <v>46</v>
      </c>
      <c r="E169" s="248" t="s">
        <v>1133</v>
      </c>
      <c r="F169" s="259" t="s">
        <v>734</v>
      </c>
    </row>
    <row r="170" spans="1:6" ht="17.25">
      <c r="B170" s="239">
        <v>166</v>
      </c>
      <c r="C170" s="295">
        <v>81120040519</v>
      </c>
      <c r="D170" s="247" t="s">
        <v>46</v>
      </c>
      <c r="E170" s="296" t="s">
        <v>1134</v>
      </c>
      <c r="F170" s="282" t="s">
        <v>734</v>
      </c>
    </row>
    <row r="171" spans="1:6" ht="17.25">
      <c r="B171" s="239">
        <v>167</v>
      </c>
      <c r="C171" s="295">
        <v>81120040518</v>
      </c>
      <c r="D171" s="241" t="s">
        <v>46</v>
      </c>
      <c r="E171" s="248" t="s">
        <v>1135</v>
      </c>
      <c r="F171" s="282" t="s">
        <v>734</v>
      </c>
    </row>
    <row r="172" spans="1:6" ht="17.25">
      <c r="B172" s="239">
        <v>168</v>
      </c>
      <c r="C172" s="257">
        <v>81120040569</v>
      </c>
      <c r="D172" s="241" t="s">
        <v>46</v>
      </c>
      <c r="E172" s="248" t="s">
        <v>1136</v>
      </c>
      <c r="F172" s="282" t="s">
        <v>734</v>
      </c>
    </row>
    <row r="173" spans="1:6" ht="17.25">
      <c r="B173" s="239">
        <v>169</v>
      </c>
      <c r="C173" s="257">
        <v>81120040570</v>
      </c>
      <c r="D173" s="241" t="s">
        <v>46</v>
      </c>
      <c r="E173" s="248" t="s">
        <v>843</v>
      </c>
      <c r="F173" s="282" t="s">
        <v>734</v>
      </c>
    </row>
    <row r="174" spans="1:6" ht="17.25">
      <c r="B174" s="239">
        <v>170</v>
      </c>
      <c r="C174" s="257">
        <v>81120041631</v>
      </c>
      <c r="D174" s="247" t="s">
        <v>46</v>
      </c>
      <c r="E174" s="248" t="s">
        <v>1137</v>
      </c>
      <c r="F174" s="282" t="s">
        <v>734</v>
      </c>
    </row>
    <row r="175" spans="1:6" ht="17.25">
      <c r="B175" s="239">
        <v>171</v>
      </c>
      <c r="C175" s="292">
        <v>81120056311</v>
      </c>
      <c r="D175" s="241" t="s">
        <v>46</v>
      </c>
      <c r="E175" s="248" t="s">
        <v>1138</v>
      </c>
      <c r="F175" s="282" t="s">
        <v>734</v>
      </c>
    </row>
    <row r="176" spans="1:6" ht="17.25">
      <c r="B176" s="239">
        <v>172</v>
      </c>
      <c r="C176" s="292">
        <v>81120056312</v>
      </c>
      <c r="D176" s="241" t="s">
        <v>46</v>
      </c>
      <c r="E176" s="248" t="s">
        <v>1139</v>
      </c>
      <c r="F176" s="282" t="s">
        <v>734</v>
      </c>
    </row>
    <row r="177" spans="1:6" ht="17.25">
      <c r="B177" s="239">
        <v>173</v>
      </c>
      <c r="C177" s="257">
        <v>81120056578</v>
      </c>
      <c r="D177" s="248" t="s">
        <v>46</v>
      </c>
      <c r="E177" s="248" t="s">
        <v>1141</v>
      </c>
      <c r="F177" s="282" t="s">
        <v>734</v>
      </c>
    </row>
    <row r="178" spans="1:6" ht="17.25">
      <c r="B178" s="239">
        <v>174</v>
      </c>
      <c r="C178" s="299">
        <v>81120060629</v>
      </c>
      <c r="D178" s="300" t="s">
        <v>46</v>
      </c>
      <c r="E178" s="248" t="s">
        <v>1142</v>
      </c>
      <c r="F178" s="282" t="s">
        <v>734</v>
      </c>
    </row>
    <row r="179" spans="1:6" ht="17.25">
      <c r="B179" s="239">
        <v>175</v>
      </c>
      <c r="C179" s="302">
        <v>81120060757</v>
      </c>
      <c r="D179" s="248" t="s">
        <v>46</v>
      </c>
      <c r="E179" s="248" t="s">
        <v>1144</v>
      </c>
      <c r="F179" s="282" t="s">
        <v>734</v>
      </c>
    </row>
    <row r="180" spans="1:6" ht="17.25">
      <c r="B180" s="239">
        <v>176</v>
      </c>
      <c r="C180" s="303">
        <v>628112163553</v>
      </c>
      <c r="D180" s="248" t="s">
        <v>46</v>
      </c>
      <c r="E180" s="248" t="s">
        <v>740</v>
      </c>
      <c r="F180" s="282" t="s">
        <v>734</v>
      </c>
    </row>
    <row r="181" spans="1:6" ht="17.25">
      <c r="A181" s="150"/>
      <c r="B181" s="239">
        <v>177</v>
      </c>
      <c r="C181" s="303">
        <v>628112163554</v>
      </c>
      <c r="D181" s="248" t="s">
        <v>46</v>
      </c>
      <c r="E181" s="248" t="s">
        <v>740</v>
      </c>
      <c r="F181" s="282" t="s">
        <v>734</v>
      </c>
    </row>
    <row r="182" spans="1:6" ht="17.25">
      <c r="A182" s="150"/>
      <c r="B182" s="239">
        <v>178</v>
      </c>
      <c r="C182" s="303">
        <v>628112163555</v>
      </c>
      <c r="D182" s="248" t="s">
        <v>46</v>
      </c>
      <c r="E182" s="248" t="s">
        <v>740</v>
      </c>
      <c r="F182" s="282" t="s">
        <v>734</v>
      </c>
    </row>
    <row r="183" spans="1:6" ht="17.25">
      <c r="A183" s="150"/>
      <c r="B183" s="239">
        <v>179</v>
      </c>
      <c r="C183" s="303">
        <v>628112163556</v>
      </c>
      <c r="D183" s="248"/>
      <c r="E183" s="248" t="s">
        <v>740</v>
      </c>
      <c r="F183" s="282" t="s">
        <v>734</v>
      </c>
    </row>
    <row r="184" spans="1:6" ht="17.25">
      <c r="A184" s="150"/>
      <c r="B184" s="239">
        <v>179</v>
      </c>
      <c r="C184" s="303">
        <v>628112163557</v>
      </c>
      <c r="D184" s="248" t="s">
        <v>46</v>
      </c>
      <c r="E184" s="248" t="s">
        <v>740</v>
      </c>
      <c r="F184" s="282" t="s">
        <v>734</v>
      </c>
    </row>
    <row r="185" spans="1:6" ht="17.25">
      <c r="A185" s="150"/>
      <c r="B185" s="239">
        <v>180</v>
      </c>
      <c r="C185" s="303">
        <v>628112163558</v>
      </c>
      <c r="D185" s="248" t="s">
        <v>46</v>
      </c>
      <c r="E185" s="252" t="s">
        <v>817</v>
      </c>
      <c r="F185" s="282" t="s">
        <v>734</v>
      </c>
    </row>
    <row r="186" spans="1:6" ht="17.25">
      <c r="A186" s="150"/>
      <c r="B186" s="239">
        <v>181</v>
      </c>
      <c r="C186" s="303">
        <v>628112163559</v>
      </c>
      <c r="D186" s="248" t="s">
        <v>46</v>
      </c>
      <c r="E186" s="248" t="s">
        <v>1146</v>
      </c>
      <c r="F186" s="282" t="s">
        <v>734</v>
      </c>
    </row>
    <row r="187" spans="1:6" ht="17.25">
      <c r="A187" s="150"/>
      <c r="B187" s="239">
        <v>182</v>
      </c>
      <c r="C187" s="303">
        <v>628112163560</v>
      </c>
      <c r="D187" s="248" t="s">
        <v>46</v>
      </c>
      <c r="E187" s="248" t="s">
        <v>1147</v>
      </c>
      <c r="F187" s="282" t="s">
        <v>734</v>
      </c>
    </row>
    <row r="188" spans="1:6" ht="17.25">
      <c r="A188" s="150"/>
      <c r="B188" s="239">
        <v>183</v>
      </c>
      <c r="C188" s="303">
        <v>628112163561</v>
      </c>
      <c r="D188" s="248" t="s">
        <v>46</v>
      </c>
      <c r="E188" s="248" t="s">
        <v>1148</v>
      </c>
      <c r="F188" s="282" t="s">
        <v>734</v>
      </c>
    </row>
    <row r="189" spans="1:6" ht="17.25">
      <c r="A189" s="150"/>
      <c r="B189" s="239">
        <v>184</v>
      </c>
      <c r="C189" s="303">
        <v>628112113631</v>
      </c>
      <c r="D189" s="248" t="s">
        <v>46</v>
      </c>
      <c r="E189" s="248" t="s">
        <v>1149</v>
      </c>
      <c r="F189" s="282" t="s">
        <v>734</v>
      </c>
    </row>
    <row r="190" spans="1:6" ht="17.25">
      <c r="A190" s="150"/>
      <c r="B190" s="239">
        <v>185</v>
      </c>
      <c r="C190" s="303">
        <v>62811542899</v>
      </c>
      <c r="D190" s="248" t="s">
        <v>46</v>
      </c>
      <c r="E190" s="248" t="s">
        <v>550</v>
      </c>
      <c r="F190" s="282" t="s">
        <v>734</v>
      </c>
    </row>
    <row r="191" spans="1:6" ht="17.25">
      <c r="B191" s="239">
        <v>186</v>
      </c>
      <c r="C191" s="304">
        <v>6281120060968</v>
      </c>
      <c r="D191" s="52"/>
      <c r="E191" s="53" t="s">
        <v>1150</v>
      </c>
      <c r="F191" s="282" t="s">
        <v>734</v>
      </c>
    </row>
    <row r="192" spans="1:6" ht="17.25">
      <c r="B192" s="239">
        <v>187</v>
      </c>
      <c r="C192" s="304">
        <v>6281120060969</v>
      </c>
      <c r="D192" s="52"/>
      <c r="E192" s="53" t="s">
        <v>1151</v>
      </c>
      <c r="F192" s="282" t="s">
        <v>734</v>
      </c>
    </row>
    <row r="193" spans="2:6" ht="17.25">
      <c r="B193" s="239">
        <v>188</v>
      </c>
      <c r="C193" s="304">
        <v>6281120060970</v>
      </c>
      <c r="D193" s="52"/>
      <c r="E193" s="53" t="s">
        <v>1152</v>
      </c>
      <c r="F193" s="282" t="s">
        <v>734</v>
      </c>
    </row>
    <row r="194" spans="2:6" ht="17.25">
      <c r="B194" s="239">
        <v>189</v>
      </c>
      <c r="C194" s="304">
        <v>6281120061069</v>
      </c>
      <c r="D194" s="52"/>
      <c r="E194" s="53" t="s">
        <v>1153</v>
      </c>
      <c r="F194" s="147" t="s">
        <v>734</v>
      </c>
    </row>
    <row r="195" spans="2:6" ht="17.25">
      <c r="B195" s="239">
        <v>190</v>
      </c>
      <c r="C195" s="304">
        <v>6281120061068</v>
      </c>
      <c r="D195" s="52"/>
      <c r="E195" s="53" t="s">
        <v>1154</v>
      </c>
      <c r="F195" s="147" t="s">
        <v>734</v>
      </c>
    </row>
    <row r="196" spans="2:6" ht="12.75">
      <c r="B196" s="147">
        <v>191</v>
      </c>
      <c r="C196" s="304">
        <v>6281120058823</v>
      </c>
      <c r="D196" s="52"/>
      <c r="E196" s="53" t="s">
        <v>1155</v>
      </c>
      <c r="F196" s="147" t="s">
        <v>734</v>
      </c>
    </row>
    <row r="197" spans="2:6" ht="17.25">
      <c r="B197" s="239">
        <v>192</v>
      </c>
      <c r="C197" s="304">
        <v>6281120059064</v>
      </c>
      <c r="D197" s="52"/>
      <c r="E197" s="53" t="s">
        <v>1156</v>
      </c>
      <c r="F197" s="147" t="s">
        <v>734</v>
      </c>
    </row>
    <row r="198" spans="2:6" ht="17.25">
      <c r="B198" s="239">
        <v>193</v>
      </c>
      <c r="C198" s="304">
        <v>6281129959364</v>
      </c>
      <c r="D198" s="52"/>
      <c r="E198" s="53" t="s">
        <v>1157</v>
      </c>
      <c r="F198" s="147" t="s">
        <v>734</v>
      </c>
    </row>
    <row r="199" spans="2:6" ht="12.75">
      <c r="B199" s="147">
        <v>194</v>
      </c>
      <c r="C199" s="304">
        <v>6281120059789</v>
      </c>
      <c r="D199" s="52"/>
      <c r="E199" s="53" t="s">
        <v>1158</v>
      </c>
      <c r="F199" s="147" t="s">
        <v>734</v>
      </c>
    </row>
    <row r="200" spans="2:6" ht="12.75">
      <c r="B200" s="147">
        <v>195</v>
      </c>
      <c r="C200" s="304">
        <v>6281120055651</v>
      </c>
      <c r="D200" s="52"/>
      <c r="E200" s="53" t="s">
        <v>1159</v>
      </c>
      <c r="F200" s="147" t="s">
        <v>734</v>
      </c>
    </row>
    <row r="201" spans="2:6" ht="12.75">
      <c r="C201" s="305"/>
      <c r="F201" s="149"/>
    </row>
    <row r="202" spans="2:6" ht="12.75">
      <c r="C202" s="305"/>
      <c r="F202" s="149"/>
    </row>
    <row r="203" spans="2:6" ht="12.75">
      <c r="C203" s="305"/>
      <c r="F203" s="149"/>
    </row>
    <row r="204" spans="2:6" ht="12.75">
      <c r="C204" s="305"/>
      <c r="F204" s="149"/>
    </row>
    <row r="205" spans="2:6" ht="12.75">
      <c r="C205" s="305"/>
      <c r="F205" s="149"/>
    </row>
    <row r="206" spans="2:6" ht="12.75">
      <c r="C206" s="305"/>
      <c r="F206" s="149"/>
    </row>
    <row r="207" spans="2:6" ht="12.75">
      <c r="C207" s="305"/>
      <c r="F207" s="149"/>
    </row>
    <row r="208" spans="2:6" ht="12.75">
      <c r="C208" s="305"/>
      <c r="F208" s="149"/>
    </row>
    <row r="209" spans="3:6" ht="12.75">
      <c r="C209" s="305"/>
      <c r="F209" s="149"/>
    </row>
    <row r="210" spans="3:6" ht="12.75">
      <c r="C210" s="305"/>
      <c r="F210" s="149"/>
    </row>
    <row r="211" spans="3:6" ht="12.75">
      <c r="C211" s="305"/>
      <c r="F211" s="149"/>
    </row>
    <row r="212" spans="3:6" ht="12.75">
      <c r="C212" s="305"/>
      <c r="F212" s="149"/>
    </row>
    <row r="213" spans="3:6" ht="12.75">
      <c r="C213" s="305"/>
      <c r="F213" s="149"/>
    </row>
    <row r="214" spans="3:6" ht="12.75">
      <c r="C214" s="305"/>
      <c r="F214" s="149"/>
    </row>
    <row r="215" spans="3:6" ht="12.75">
      <c r="C215" s="305"/>
      <c r="F215" s="149"/>
    </row>
    <row r="216" spans="3:6" ht="12.75">
      <c r="C216" s="305"/>
      <c r="F216" s="149"/>
    </row>
    <row r="217" spans="3:6" ht="12.75">
      <c r="C217" s="305"/>
      <c r="F217" s="149"/>
    </row>
    <row r="218" spans="3:6" ht="12.75">
      <c r="C218" s="305"/>
      <c r="F218" s="149"/>
    </row>
    <row r="219" spans="3:6" ht="12.75">
      <c r="C219" s="305"/>
      <c r="F219" s="149"/>
    </row>
    <row r="220" spans="3:6" ht="12.75">
      <c r="C220" s="305"/>
      <c r="F220" s="149"/>
    </row>
    <row r="221" spans="3:6" ht="12.75">
      <c r="C221" s="305"/>
      <c r="F221" s="149"/>
    </row>
    <row r="222" spans="3:6" ht="12.75">
      <c r="C222" s="305"/>
      <c r="F222" s="149"/>
    </row>
    <row r="223" spans="3:6" ht="12.75">
      <c r="C223" s="305"/>
      <c r="F223" s="149"/>
    </row>
    <row r="224" spans="3:6" ht="12.75">
      <c r="C224" s="305"/>
      <c r="F224" s="149"/>
    </row>
    <row r="225" spans="3:6" ht="12.75">
      <c r="C225" s="305"/>
      <c r="F225" s="149"/>
    </row>
    <row r="226" spans="3:6" ht="12.75">
      <c r="C226" s="305"/>
      <c r="F226" s="149"/>
    </row>
    <row r="227" spans="3:6" ht="12.75">
      <c r="C227" s="305"/>
      <c r="F227" s="149"/>
    </row>
    <row r="228" spans="3:6" ht="12.75">
      <c r="C228" s="305"/>
      <c r="F228" s="149"/>
    </row>
    <row r="229" spans="3:6" ht="12.75">
      <c r="C229" s="305"/>
      <c r="F229" s="149"/>
    </row>
    <row r="230" spans="3:6" ht="12.75">
      <c r="C230" s="305"/>
      <c r="F230" s="149"/>
    </row>
    <row r="231" spans="3:6" ht="12.75">
      <c r="C231" s="305"/>
      <c r="F231" s="149"/>
    </row>
    <row r="232" spans="3:6" ht="12.75">
      <c r="C232" s="305"/>
      <c r="F232" s="149"/>
    </row>
    <row r="233" spans="3:6" ht="12.75">
      <c r="C233" s="305"/>
      <c r="F233" s="149"/>
    </row>
    <row r="234" spans="3:6" ht="12.75">
      <c r="C234" s="305"/>
      <c r="F234" s="149"/>
    </row>
    <row r="235" spans="3:6" ht="12.75">
      <c r="C235" s="305"/>
      <c r="F235" s="149"/>
    </row>
    <row r="236" spans="3:6" ht="12.75">
      <c r="C236" s="305"/>
      <c r="F236" s="149"/>
    </row>
    <row r="237" spans="3:6" ht="12.75">
      <c r="C237" s="305"/>
      <c r="F237" s="149"/>
    </row>
    <row r="238" spans="3:6" ht="12.75">
      <c r="C238" s="305"/>
      <c r="F238" s="149"/>
    </row>
    <row r="239" spans="3:6" ht="12.75">
      <c r="C239" s="305"/>
      <c r="F239" s="149"/>
    </row>
    <row r="240" spans="3:6" ht="12.75">
      <c r="C240" s="305"/>
      <c r="F240" s="149"/>
    </row>
    <row r="241" spans="3:6" ht="12.75">
      <c r="C241" s="305"/>
      <c r="F241" s="149"/>
    </row>
    <row r="242" spans="3:6" ht="12.75">
      <c r="C242" s="305"/>
      <c r="F242" s="149"/>
    </row>
    <row r="243" spans="3:6" ht="12.75">
      <c r="C243" s="305"/>
      <c r="F243" s="149"/>
    </row>
    <row r="244" spans="3:6" ht="12.75">
      <c r="C244" s="305"/>
      <c r="F244" s="149"/>
    </row>
    <row r="245" spans="3:6" ht="12.75">
      <c r="C245" s="305"/>
      <c r="F245" s="149"/>
    </row>
    <row r="246" spans="3:6" ht="12.75">
      <c r="C246" s="305"/>
      <c r="F246" s="149"/>
    </row>
    <row r="247" spans="3:6" ht="12.75">
      <c r="C247" s="305"/>
      <c r="F247" s="149"/>
    </row>
    <row r="248" spans="3:6" ht="12.75">
      <c r="C248" s="305"/>
      <c r="F248" s="149"/>
    </row>
    <row r="249" spans="3:6" ht="12.75">
      <c r="C249" s="305"/>
      <c r="F249" s="149"/>
    </row>
    <row r="250" spans="3:6" ht="12.75">
      <c r="C250" s="305"/>
      <c r="F250" s="149"/>
    </row>
    <row r="251" spans="3:6" ht="12.75">
      <c r="C251" s="305"/>
      <c r="F251" s="149"/>
    </row>
    <row r="252" spans="3:6" ht="12.75">
      <c r="C252" s="305"/>
      <c r="F252" s="149"/>
    </row>
    <row r="253" spans="3:6" ht="12.75">
      <c r="C253" s="305"/>
      <c r="F253" s="149"/>
    </row>
    <row r="254" spans="3:6" ht="12.75">
      <c r="C254" s="305"/>
      <c r="F254" s="149"/>
    </row>
    <row r="255" spans="3:6" ht="12.75">
      <c r="C255" s="305"/>
      <c r="F255" s="149"/>
    </row>
    <row r="256" spans="3:6" ht="12.75">
      <c r="C256" s="305"/>
      <c r="F256" s="149"/>
    </row>
    <row r="257" spans="3:6" ht="12.75">
      <c r="C257" s="305"/>
      <c r="F257" s="149"/>
    </row>
    <row r="258" spans="3:6" ht="12.75">
      <c r="C258" s="305"/>
      <c r="F258" s="149"/>
    </row>
    <row r="259" spans="3:6" ht="12.75">
      <c r="C259" s="305"/>
      <c r="F259" s="149"/>
    </row>
    <row r="260" spans="3:6" ht="12.75">
      <c r="C260" s="305"/>
      <c r="F260" s="149"/>
    </row>
    <row r="261" spans="3:6" ht="12.75">
      <c r="C261" s="305"/>
      <c r="F261" s="149"/>
    </row>
    <row r="262" spans="3:6" ht="12.75">
      <c r="C262" s="305"/>
      <c r="F262" s="149"/>
    </row>
    <row r="263" spans="3:6" ht="12.75">
      <c r="C263" s="305"/>
      <c r="F263" s="149"/>
    </row>
    <row r="264" spans="3:6" ht="12.75">
      <c r="C264" s="305"/>
      <c r="F264" s="149"/>
    </row>
    <row r="265" spans="3:6" ht="12.75">
      <c r="C265" s="305"/>
      <c r="F265" s="149"/>
    </row>
    <row r="266" spans="3:6" ht="12.75">
      <c r="C266" s="305"/>
      <c r="F266" s="149"/>
    </row>
    <row r="267" spans="3:6" ht="12.75">
      <c r="C267" s="305"/>
      <c r="F267" s="149"/>
    </row>
    <row r="268" spans="3:6" ht="12.75">
      <c r="C268" s="305"/>
      <c r="F268" s="149"/>
    </row>
    <row r="269" spans="3:6" ht="12.75">
      <c r="C269" s="305"/>
      <c r="F269" s="149"/>
    </row>
    <row r="270" spans="3:6" ht="12.75">
      <c r="C270" s="305"/>
      <c r="F270" s="149"/>
    </row>
    <row r="271" spans="3:6" ht="12.75">
      <c r="C271" s="305"/>
      <c r="F271" s="149"/>
    </row>
    <row r="272" spans="3:6" ht="12.75">
      <c r="C272" s="305"/>
      <c r="F272" s="149"/>
    </row>
    <row r="273" spans="3:6" ht="12.75">
      <c r="C273" s="305"/>
      <c r="F273" s="149"/>
    </row>
    <row r="274" spans="3:6" ht="12.75">
      <c r="C274" s="305"/>
      <c r="F274" s="149"/>
    </row>
    <row r="275" spans="3:6" ht="12.75">
      <c r="C275" s="305"/>
      <c r="F275" s="149"/>
    </row>
    <row r="276" spans="3:6" ht="12.75">
      <c r="C276" s="305"/>
      <c r="F276" s="149"/>
    </row>
    <row r="277" spans="3:6" ht="12.75">
      <c r="C277" s="305"/>
      <c r="F277" s="149"/>
    </row>
    <row r="278" spans="3:6" ht="12.75">
      <c r="C278" s="305"/>
      <c r="F278" s="149"/>
    </row>
    <row r="279" spans="3:6" ht="12.75">
      <c r="C279" s="305"/>
      <c r="F279" s="149"/>
    </row>
    <row r="280" spans="3:6" ht="12.75">
      <c r="C280" s="305"/>
      <c r="F280" s="149"/>
    </row>
    <row r="281" spans="3:6" ht="12.75">
      <c r="C281" s="305"/>
      <c r="F281" s="149"/>
    </row>
    <row r="282" spans="3:6" ht="12.75">
      <c r="C282" s="305"/>
      <c r="F282" s="149"/>
    </row>
    <row r="283" spans="3:6" ht="12.75">
      <c r="C283" s="305"/>
      <c r="F283" s="149"/>
    </row>
    <row r="284" spans="3:6" ht="12.75">
      <c r="C284" s="305"/>
      <c r="F284" s="149"/>
    </row>
    <row r="285" spans="3:6" ht="12.75">
      <c r="C285" s="305"/>
      <c r="F285" s="149"/>
    </row>
    <row r="286" spans="3:6" ht="12.75">
      <c r="C286" s="305"/>
      <c r="F286" s="149"/>
    </row>
    <row r="287" spans="3:6" ht="12.75">
      <c r="C287" s="305"/>
      <c r="F287" s="149"/>
    </row>
    <row r="288" spans="3:6" ht="12.75">
      <c r="C288" s="305"/>
      <c r="F288" s="149"/>
    </row>
    <row r="289" spans="3:6" ht="12.75">
      <c r="C289" s="305"/>
      <c r="F289" s="149"/>
    </row>
    <row r="290" spans="3:6" ht="12.75">
      <c r="C290" s="305"/>
      <c r="F290" s="149"/>
    </row>
    <row r="291" spans="3:6" ht="12.75">
      <c r="C291" s="305"/>
      <c r="F291" s="149"/>
    </row>
    <row r="292" spans="3:6" ht="12.75">
      <c r="C292" s="305"/>
      <c r="F292" s="149"/>
    </row>
    <row r="293" spans="3:6" ht="12.75">
      <c r="C293" s="305"/>
      <c r="F293" s="149"/>
    </row>
    <row r="294" spans="3:6" ht="12.75">
      <c r="C294" s="305"/>
      <c r="F294" s="149"/>
    </row>
    <row r="295" spans="3:6" ht="12.75">
      <c r="C295" s="305"/>
      <c r="F295" s="149"/>
    </row>
    <row r="296" spans="3:6" ht="12.75">
      <c r="C296" s="305"/>
      <c r="F296" s="149"/>
    </row>
    <row r="297" spans="3:6" ht="12.75">
      <c r="C297" s="305"/>
      <c r="F297" s="149"/>
    </row>
    <row r="298" spans="3:6" ht="12.75">
      <c r="C298" s="305"/>
      <c r="F298" s="149"/>
    </row>
    <row r="299" spans="3:6" ht="12.75">
      <c r="C299" s="305"/>
      <c r="F299" s="149"/>
    </row>
    <row r="300" spans="3:6" ht="12.75">
      <c r="C300" s="305"/>
      <c r="F300" s="149"/>
    </row>
    <row r="301" spans="3:6" ht="12.75">
      <c r="C301" s="305"/>
      <c r="F301" s="149"/>
    </row>
    <row r="302" spans="3:6" ht="12.75">
      <c r="C302" s="305"/>
      <c r="F302" s="149"/>
    </row>
    <row r="303" spans="3:6" ht="12.75">
      <c r="C303" s="305"/>
      <c r="F303" s="149"/>
    </row>
    <row r="304" spans="3:6" ht="12.75">
      <c r="C304" s="305"/>
      <c r="F304" s="149"/>
    </row>
    <row r="305" spans="3:6" ht="12.75">
      <c r="C305" s="305"/>
      <c r="F305" s="149"/>
    </row>
    <row r="306" spans="3:6" ht="12.75">
      <c r="C306" s="305"/>
      <c r="F306" s="149"/>
    </row>
    <row r="307" spans="3:6" ht="12.75">
      <c r="C307" s="305"/>
      <c r="F307" s="149"/>
    </row>
    <row r="308" spans="3:6" ht="12.75">
      <c r="C308" s="305"/>
      <c r="F308" s="149"/>
    </row>
    <row r="309" spans="3:6" ht="12.75">
      <c r="C309" s="305"/>
      <c r="F309" s="149"/>
    </row>
    <row r="310" spans="3:6" ht="12.75">
      <c r="C310" s="305"/>
      <c r="F310" s="149"/>
    </row>
    <row r="311" spans="3:6" ht="12.75">
      <c r="C311" s="305"/>
      <c r="F311" s="149"/>
    </row>
    <row r="312" spans="3:6" ht="12.75">
      <c r="C312" s="305"/>
      <c r="F312" s="149"/>
    </row>
    <row r="313" spans="3:6" ht="12.75">
      <c r="C313" s="305"/>
      <c r="F313" s="149"/>
    </row>
    <row r="314" spans="3:6" ht="12.75">
      <c r="C314" s="305"/>
      <c r="F314" s="149"/>
    </row>
    <row r="315" spans="3:6" ht="12.75">
      <c r="C315" s="305"/>
      <c r="F315" s="149"/>
    </row>
    <row r="316" spans="3:6" ht="12.75">
      <c r="C316" s="305"/>
      <c r="F316" s="149"/>
    </row>
    <row r="317" spans="3:6" ht="12.75">
      <c r="C317" s="305"/>
      <c r="F317" s="149"/>
    </row>
    <row r="318" spans="3:6" ht="12.75">
      <c r="C318" s="305"/>
      <c r="F318" s="149"/>
    </row>
    <row r="319" spans="3:6" ht="12.75">
      <c r="C319" s="305"/>
      <c r="F319" s="149"/>
    </row>
    <row r="320" spans="3:6" ht="12.75">
      <c r="C320" s="305"/>
      <c r="F320" s="149"/>
    </row>
    <row r="321" spans="3:6" ht="12.75">
      <c r="C321" s="305"/>
      <c r="F321" s="149"/>
    </row>
    <row r="322" spans="3:6" ht="12.75">
      <c r="C322" s="305"/>
      <c r="F322" s="149"/>
    </row>
    <row r="323" spans="3:6" ht="12.75">
      <c r="C323" s="305"/>
      <c r="F323" s="149"/>
    </row>
    <row r="324" spans="3:6" ht="12.75">
      <c r="C324" s="305"/>
      <c r="F324" s="149"/>
    </row>
    <row r="325" spans="3:6" ht="12.75">
      <c r="C325" s="305"/>
      <c r="F325" s="149"/>
    </row>
    <row r="326" spans="3:6" ht="12.75">
      <c r="C326" s="305"/>
      <c r="F326" s="149"/>
    </row>
    <row r="327" spans="3:6" ht="12.75">
      <c r="C327" s="305"/>
      <c r="F327" s="149"/>
    </row>
    <row r="328" spans="3:6" ht="12.75">
      <c r="C328" s="305"/>
      <c r="F328" s="149"/>
    </row>
    <row r="329" spans="3:6" ht="12.75">
      <c r="C329" s="305"/>
      <c r="F329" s="149"/>
    </row>
    <row r="330" spans="3:6" ht="12.75">
      <c r="C330" s="305"/>
      <c r="F330" s="149"/>
    </row>
    <row r="331" spans="3:6" ht="12.75">
      <c r="C331" s="305"/>
      <c r="F331" s="149"/>
    </row>
    <row r="332" spans="3:6" ht="12.75">
      <c r="C332" s="305"/>
      <c r="F332" s="149"/>
    </row>
    <row r="333" spans="3:6" ht="12.75">
      <c r="C333" s="305"/>
      <c r="F333" s="149"/>
    </row>
    <row r="334" spans="3:6" ht="12.75">
      <c r="C334" s="305"/>
      <c r="F334" s="149"/>
    </row>
    <row r="335" spans="3:6" ht="12.75">
      <c r="C335" s="305"/>
      <c r="F335" s="149"/>
    </row>
    <row r="336" spans="3:6" ht="12.75">
      <c r="C336" s="305"/>
      <c r="F336" s="149"/>
    </row>
    <row r="337" spans="3:6" ht="12.75">
      <c r="C337" s="305"/>
      <c r="F337" s="149"/>
    </row>
    <row r="338" spans="3:6" ht="12.75">
      <c r="C338" s="305"/>
      <c r="F338" s="149"/>
    </row>
    <row r="339" spans="3:6" ht="12.75">
      <c r="C339" s="305"/>
      <c r="F339" s="149"/>
    </row>
    <row r="340" spans="3:6" ht="12.75">
      <c r="C340" s="305"/>
      <c r="F340" s="149"/>
    </row>
    <row r="341" spans="3:6" ht="12.75">
      <c r="C341" s="305"/>
      <c r="F341" s="149"/>
    </row>
    <row r="342" spans="3:6" ht="12.75">
      <c r="C342" s="305"/>
      <c r="F342" s="149"/>
    </row>
    <row r="343" spans="3:6" ht="12.75">
      <c r="C343" s="305"/>
      <c r="F343" s="149"/>
    </row>
    <row r="344" spans="3:6" ht="12.75">
      <c r="C344" s="305"/>
      <c r="F344" s="149"/>
    </row>
    <row r="345" spans="3:6" ht="12.75">
      <c r="C345" s="305"/>
      <c r="F345" s="149"/>
    </row>
    <row r="346" spans="3:6" ht="12.75">
      <c r="C346" s="305"/>
      <c r="F346" s="149"/>
    </row>
    <row r="347" spans="3:6" ht="12.75">
      <c r="C347" s="305"/>
      <c r="F347" s="149"/>
    </row>
    <row r="348" spans="3:6" ht="12.75">
      <c r="C348" s="305"/>
      <c r="F348" s="149"/>
    </row>
    <row r="349" spans="3:6" ht="12.75">
      <c r="C349" s="305"/>
      <c r="F349" s="149"/>
    </row>
    <row r="350" spans="3:6" ht="12.75">
      <c r="C350" s="305"/>
      <c r="F350" s="149"/>
    </row>
    <row r="351" spans="3:6" ht="12.75">
      <c r="C351" s="305"/>
      <c r="F351" s="149"/>
    </row>
    <row r="352" spans="3:6" ht="12.75">
      <c r="C352" s="305"/>
      <c r="F352" s="149"/>
    </row>
    <row r="353" spans="3:6" ht="12.75">
      <c r="C353" s="305"/>
      <c r="F353" s="149"/>
    </row>
    <row r="354" spans="3:6" ht="12.75">
      <c r="C354" s="305"/>
      <c r="F354" s="149"/>
    </row>
    <row r="355" spans="3:6" ht="12.75">
      <c r="C355" s="305"/>
      <c r="F355" s="149"/>
    </row>
    <row r="356" spans="3:6" ht="12.75">
      <c r="C356" s="305"/>
      <c r="F356" s="149"/>
    </row>
    <row r="357" spans="3:6" ht="12.75">
      <c r="C357" s="305"/>
      <c r="F357" s="149"/>
    </row>
    <row r="358" spans="3:6" ht="12.75">
      <c r="C358" s="305"/>
      <c r="F358" s="149"/>
    </row>
    <row r="359" spans="3:6" ht="12.75">
      <c r="C359" s="305"/>
      <c r="F359" s="149"/>
    </row>
    <row r="360" spans="3:6" ht="12.75">
      <c r="C360" s="305"/>
      <c r="F360" s="149"/>
    </row>
    <row r="361" spans="3:6" ht="12.75">
      <c r="C361" s="305"/>
      <c r="F361" s="149"/>
    </row>
    <row r="362" spans="3:6" ht="12.75">
      <c r="C362" s="305"/>
      <c r="F362" s="149"/>
    </row>
    <row r="363" spans="3:6" ht="12.75">
      <c r="C363" s="305"/>
      <c r="F363" s="149"/>
    </row>
    <row r="364" spans="3:6" ht="12.75">
      <c r="C364" s="305"/>
      <c r="F364" s="149"/>
    </row>
    <row r="365" spans="3:6" ht="12.75">
      <c r="C365" s="305"/>
      <c r="F365" s="149"/>
    </row>
    <row r="366" spans="3:6" ht="12.75">
      <c r="C366" s="305"/>
      <c r="F366" s="149"/>
    </row>
    <row r="367" spans="3:6" ht="12.75">
      <c r="C367" s="305"/>
      <c r="F367" s="149"/>
    </row>
    <row r="368" spans="3:6" ht="12.75">
      <c r="C368" s="305"/>
      <c r="F368" s="149"/>
    </row>
    <row r="369" spans="3:6" ht="12.75">
      <c r="C369" s="305"/>
      <c r="F369" s="149"/>
    </row>
    <row r="370" spans="3:6" ht="12.75">
      <c r="C370" s="305"/>
      <c r="F370" s="149"/>
    </row>
    <row r="371" spans="3:6" ht="12.75">
      <c r="C371" s="305"/>
      <c r="F371" s="149"/>
    </row>
    <row r="372" spans="3:6" ht="12.75">
      <c r="C372" s="305"/>
      <c r="F372" s="149"/>
    </row>
    <row r="373" spans="3:6" ht="12.75">
      <c r="C373" s="305"/>
      <c r="F373" s="149"/>
    </row>
    <row r="374" spans="3:6" ht="12.75">
      <c r="C374" s="305"/>
      <c r="F374" s="149"/>
    </row>
    <row r="375" spans="3:6" ht="12.75">
      <c r="C375" s="305"/>
      <c r="F375" s="149"/>
    </row>
    <row r="376" spans="3:6" ht="12.75">
      <c r="C376" s="305"/>
      <c r="F376" s="149"/>
    </row>
    <row r="377" spans="3:6" ht="12.75">
      <c r="C377" s="305"/>
      <c r="F377" s="149"/>
    </row>
    <row r="378" spans="3:6" ht="12.75">
      <c r="C378" s="305"/>
      <c r="F378" s="149"/>
    </row>
    <row r="379" spans="3:6" ht="12.75">
      <c r="C379" s="305"/>
      <c r="F379" s="149"/>
    </row>
    <row r="380" spans="3:6" ht="12.75">
      <c r="C380" s="305"/>
      <c r="F380" s="149"/>
    </row>
    <row r="381" spans="3:6" ht="12.75">
      <c r="C381" s="305"/>
      <c r="F381" s="149"/>
    </row>
    <row r="382" spans="3:6" ht="12.75">
      <c r="C382" s="305"/>
      <c r="F382" s="149"/>
    </row>
    <row r="383" spans="3:6" ht="12.75">
      <c r="C383" s="305"/>
      <c r="F383" s="149"/>
    </row>
    <row r="384" spans="3:6" ht="12.75">
      <c r="C384" s="305"/>
      <c r="F384" s="149"/>
    </row>
    <row r="385" spans="3:6" ht="12.75">
      <c r="C385" s="305"/>
      <c r="F385" s="149"/>
    </row>
    <row r="386" spans="3:6" ht="12.75">
      <c r="C386" s="305"/>
      <c r="F386" s="149"/>
    </row>
    <row r="387" spans="3:6" ht="12.75">
      <c r="C387" s="305"/>
      <c r="F387" s="149"/>
    </row>
    <row r="388" spans="3:6" ht="12.75">
      <c r="C388" s="305"/>
      <c r="F388" s="149"/>
    </row>
    <row r="389" spans="3:6" ht="12.75">
      <c r="C389" s="305"/>
      <c r="F389" s="149"/>
    </row>
    <row r="390" spans="3:6" ht="12.75">
      <c r="C390" s="305"/>
      <c r="F390" s="149"/>
    </row>
    <row r="391" spans="3:6" ht="12.75">
      <c r="C391" s="305"/>
      <c r="F391" s="149"/>
    </row>
    <row r="392" spans="3:6" ht="12.75">
      <c r="C392" s="305"/>
      <c r="F392" s="149"/>
    </row>
    <row r="393" spans="3:6" ht="12.75">
      <c r="C393" s="305"/>
      <c r="F393" s="149"/>
    </row>
    <row r="394" spans="3:6" ht="12.75">
      <c r="C394" s="305"/>
      <c r="F394" s="149"/>
    </row>
    <row r="395" spans="3:6" ht="12.75">
      <c r="C395" s="305"/>
      <c r="F395" s="149"/>
    </row>
    <row r="396" spans="3:6" ht="12.75">
      <c r="C396" s="305"/>
      <c r="F396" s="149"/>
    </row>
    <row r="397" spans="3:6" ht="12.75">
      <c r="C397" s="305"/>
      <c r="F397" s="149"/>
    </row>
    <row r="398" spans="3:6" ht="12.75">
      <c r="C398" s="305"/>
      <c r="F398" s="149"/>
    </row>
    <row r="399" spans="3:6" ht="12.75">
      <c r="C399" s="305"/>
      <c r="F399" s="149"/>
    </row>
    <row r="400" spans="3:6" ht="12.75">
      <c r="C400" s="305"/>
      <c r="F400" s="149"/>
    </row>
    <row r="401" spans="3:6" ht="12.75">
      <c r="C401" s="305"/>
      <c r="F401" s="149"/>
    </row>
    <row r="402" spans="3:6" ht="12.75">
      <c r="C402" s="305"/>
      <c r="F402" s="149"/>
    </row>
    <row r="403" spans="3:6" ht="12.75">
      <c r="C403" s="305"/>
      <c r="F403" s="149"/>
    </row>
    <row r="404" spans="3:6" ht="12.75">
      <c r="C404" s="305"/>
      <c r="F404" s="149"/>
    </row>
    <row r="405" spans="3:6" ht="12.75">
      <c r="C405" s="305"/>
      <c r="F405" s="149"/>
    </row>
    <row r="406" spans="3:6" ht="12.75">
      <c r="C406" s="305"/>
      <c r="F406" s="149"/>
    </row>
    <row r="407" spans="3:6" ht="12.75">
      <c r="C407" s="305"/>
      <c r="F407" s="149"/>
    </row>
    <row r="408" spans="3:6" ht="12.75">
      <c r="C408" s="305"/>
      <c r="F408" s="149"/>
    </row>
    <row r="409" spans="3:6" ht="12.75">
      <c r="C409" s="305"/>
      <c r="F409" s="149"/>
    </row>
    <row r="410" spans="3:6" ht="12.75">
      <c r="C410" s="305"/>
      <c r="F410" s="149"/>
    </row>
    <row r="411" spans="3:6" ht="12.75">
      <c r="C411" s="305"/>
      <c r="F411" s="149"/>
    </row>
    <row r="412" spans="3:6" ht="12.75">
      <c r="C412" s="305"/>
      <c r="F412" s="149"/>
    </row>
    <row r="413" spans="3:6" ht="12.75">
      <c r="C413" s="305"/>
      <c r="F413" s="149"/>
    </row>
    <row r="414" spans="3:6" ht="12.75">
      <c r="C414" s="305"/>
      <c r="F414" s="149"/>
    </row>
    <row r="415" spans="3:6" ht="12.75">
      <c r="C415" s="305"/>
      <c r="F415" s="149"/>
    </row>
    <row r="416" spans="3:6" ht="12.75">
      <c r="C416" s="305"/>
      <c r="F416" s="149"/>
    </row>
    <row r="417" spans="3:6" ht="12.75">
      <c r="C417" s="305"/>
      <c r="F417" s="149"/>
    </row>
    <row r="418" spans="3:6" ht="12.75">
      <c r="C418" s="305"/>
      <c r="F418" s="149"/>
    </row>
    <row r="419" spans="3:6" ht="12.75">
      <c r="C419" s="305"/>
      <c r="F419" s="149"/>
    </row>
    <row r="420" spans="3:6" ht="12.75">
      <c r="C420" s="305"/>
      <c r="F420" s="149"/>
    </row>
    <row r="421" spans="3:6" ht="12.75">
      <c r="C421" s="305"/>
      <c r="F421" s="149"/>
    </row>
    <row r="422" spans="3:6" ht="12.75">
      <c r="C422" s="305"/>
      <c r="F422" s="149"/>
    </row>
    <row r="423" spans="3:6" ht="12.75">
      <c r="C423" s="305"/>
      <c r="F423" s="149"/>
    </row>
    <row r="424" spans="3:6" ht="12.75">
      <c r="C424" s="305"/>
      <c r="F424" s="149"/>
    </row>
    <row r="425" spans="3:6" ht="12.75">
      <c r="C425" s="305"/>
      <c r="F425" s="149"/>
    </row>
    <row r="426" spans="3:6" ht="12.75">
      <c r="C426" s="305"/>
      <c r="F426" s="149"/>
    </row>
    <row r="427" spans="3:6" ht="12.75">
      <c r="C427" s="305"/>
      <c r="F427" s="149"/>
    </row>
    <row r="428" spans="3:6" ht="12.75">
      <c r="C428" s="305"/>
      <c r="F428" s="149"/>
    </row>
    <row r="429" spans="3:6" ht="12.75">
      <c r="C429" s="305"/>
      <c r="F429" s="149"/>
    </row>
    <row r="430" spans="3:6" ht="12.75">
      <c r="C430" s="305"/>
      <c r="F430" s="149"/>
    </row>
    <row r="431" spans="3:6" ht="12.75">
      <c r="C431" s="305"/>
      <c r="F431" s="149"/>
    </row>
    <row r="432" spans="3:6" ht="12.75">
      <c r="C432" s="305"/>
      <c r="F432" s="149"/>
    </row>
    <row r="433" spans="3:6" ht="12.75">
      <c r="C433" s="305"/>
      <c r="F433" s="149"/>
    </row>
    <row r="434" spans="3:6" ht="12.75">
      <c r="C434" s="305"/>
      <c r="F434" s="149"/>
    </row>
    <row r="435" spans="3:6" ht="12.75">
      <c r="C435" s="305"/>
      <c r="F435" s="149"/>
    </row>
    <row r="436" spans="3:6" ht="12.75">
      <c r="C436" s="305"/>
      <c r="F436" s="149"/>
    </row>
    <row r="437" spans="3:6" ht="12.75">
      <c r="C437" s="305"/>
      <c r="F437" s="149"/>
    </row>
    <row r="438" spans="3:6" ht="12.75">
      <c r="C438" s="305"/>
      <c r="F438" s="149"/>
    </row>
    <row r="439" spans="3:6" ht="12.75">
      <c r="C439" s="305"/>
      <c r="F439" s="149"/>
    </row>
    <row r="440" spans="3:6" ht="12.75">
      <c r="C440" s="305"/>
      <c r="F440" s="149"/>
    </row>
    <row r="441" spans="3:6" ht="12.75">
      <c r="C441" s="305"/>
      <c r="F441" s="149"/>
    </row>
    <row r="442" spans="3:6" ht="12.75">
      <c r="C442" s="305"/>
      <c r="F442" s="149"/>
    </row>
    <row r="443" spans="3:6" ht="12.75">
      <c r="C443" s="305"/>
      <c r="F443" s="149"/>
    </row>
    <row r="444" spans="3:6" ht="12.75">
      <c r="C444" s="305"/>
      <c r="F444" s="149"/>
    </row>
    <row r="445" spans="3:6" ht="12.75">
      <c r="C445" s="305"/>
      <c r="F445" s="149"/>
    </row>
    <row r="446" spans="3:6" ht="12.75">
      <c r="C446" s="305"/>
      <c r="F446" s="149"/>
    </row>
    <row r="447" spans="3:6" ht="12.75">
      <c r="C447" s="305"/>
      <c r="F447" s="149"/>
    </row>
    <row r="448" spans="3:6" ht="12.75">
      <c r="C448" s="305"/>
      <c r="F448" s="149"/>
    </row>
    <row r="449" spans="3:6" ht="12.75">
      <c r="C449" s="305"/>
      <c r="F449" s="149"/>
    </row>
    <row r="450" spans="3:6" ht="12.75">
      <c r="C450" s="305"/>
      <c r="F450" s="149"/>
    </row>
    <row r="451" spans="3:6" ht="12.75">
      <c r="C451" s="305"/>
      <c r="F451" s="149"/>
    </row>
    <row r="452" spans="3:6" ht="12.75">
      <c r="C452" s="305"/>
      <c r="F452" s="149"/>
    </row>
    <row r="453" spans="3:6" ht="12.75">
      <c r="C453" s="305"/>
      <c r="F453" s="149"/>
    </row>
    <row r="454" spans="3:6" ht="12.75">
      <c r="C454" s="305"/>
      <c r="F454" s="149"/>
    </row>
    <row r="455" spans="3:6" ht="12.75">
      <c r="C455" s="305"/>
      <c r="F455" s="149"/>
    </row>
    <row r="456" spans="3:6" ht="12.75">
      <c r="C456" s="305"/>
      <c r="F456" s="149"/>
    </row>
    <row r="457" spans="3:6" ht="12.75">
      <c r="C457" s="305"/>
      <c r="F457" s="149"/>
    </row>
    <row r="458" spans="3:6" ht="12.75">
      <c r="C458" s="305"/>
      <c r="F458" s="149"/>
    </row>
    <row r="459" spans="3:6" ht="12.75">
      <c r="C459" s="305"/>
      <c r="F459" s="149"/>
    </row>
    <row r="460" spans="3:6" ht="12.75">
      <c r="C460" s="305"/>
      <c r="F460" s="149"/>
    </row>
    <row r="461" spans="3:6" ht="12.75">
      <c r="C461" s="305"/>
      <c r="F461" s="149"/>
    </row>
    <row r="462" spans="3:6" ht="12.75">
      <c r="C462" s="305"/>
      <c r="F462" s="149"/>
    </row>
    <row r="463" spans="3:6" ht="12.75">
      <c r="C463" s="305"/>
      <c r="F463" s="149"/>
    </row>
    <row r="464" spans="3:6" ht="12.75">
      <c r="C464" s="305"/>
      <c r="F464" s="149"/>
    </row>
    <row r="465" spans="3:6" ht="12.75">
      <c r="C465" s="305"/>
      <c r="F465" s="149"/>
    </row>
    <row r="466" spans="3:6" ht="12.75">
      <c r="C466" s="305"/>
      <c r="F466" s="149"/>
    </row>
    <row r="467" spans="3:6" ht="12.75">
      <c r="C467" s="305"/>
      <c r="F467" s="149"/>
    </row>
    <row r="468" spans="3:6" ht="12.75">
      <c r="C468" s="305"/>
      <c r="F468" s="149"/>
    </row>
    <row r="469" spans="3:6" ht="12.75">
      <c r="C469" s="305"/>
      <c r="F469" s="149"/>
    </row>
    <row r="470" spans="3:6" ht="12.75">
      <c r="C470" s="305"/>
      <c r="F470" s="149"/>
    </row>
    <row r="471" spans="3:6" ht="12.75">
      <c r="C471" s="305"/>
      <c r="F471" s="149"/>
    </row>
    <row r="472" spans="3:6" ht="12.75">
      <c r="C472" s="305"/>
      <c r="F472" s="149"/>
    </row>
    <row r="473" spans="3:6" ht="12.75">
      <c r="C473" s="305"/>
      <c r="F473" s="149"/>
    </row>
    <row r="474" spans="3:6" ht="12.75">
      <c r="C474" s="305"/>
      <c r="F474" s="149"/>
    </row>
    <row r="475" spans="3:6" ht="12.75">
      <c r="C475" s="305"/>
      <c r="F475" s="149"/>
    </row>
    <row r="476" spans="3:6" ht="12.75">
      <c r="C476" s="305"/>
      <c r="F476" s="149"/>
    </row>
    <row r="477" spans="3:6" ht="12.75">
      <c r="C477" s="305"/>
      <c r="F477" s="149"/>
    </row>
    <row r="478" spans="3:6" ht="12.75">
      <c r="C478" s="305"/>
      <c r="F478" s="149"/>
    </row>
    <row r="479" spans="3:6" ht="12.75">
      <c r="C479" s="305"/>
      <c r="F479" s="149"/>
    </row>
    <row r="480" spans="3:6" ht="12.75">
      <c r="C480" s="305"/>
      <c r="F480" s="149"/>
    </row>
    <row r="481" spans="3:6" ht="12.75">
      <c r="C481" s="305"/>
      <c r="F481" s="149"/>
    </row>
    <row r="482" spans="3:6" ht="12.75">
      <c r="C482" s="305"/>
      <c r="F482" s="149"/>
    </row>
    <row r="483" spans="3:6" ht="12.75">
      <c r="C483" s="305"/>
      <c r="F483" s="149"/>
    </row>
    <row r="484" spans="3:6" ht="12.75">
      <c r="C484" s="305"/>
      <c r="F484" s="149"/>
    </row>
    <row r="485" spans="3:6" ht="12.75">
      <c r="C485" s="305"/>
      <c r="F485" s="149"/>
    </row>
    <row r="486" spans="3:6" ht="12.75">
      <c r="C486" s="305"/>
      <c r="F486" s="149"/>
    </row>
    <row r="487" spans="3:6" ht="12.75">
      <c r="C487" s="305"/>
      <c r="F487" s="149"/>
    </row>
    <row r="488" spans="3:6" ht="12.75">
      <c r="C488" s="305"/>
      <c r="F488" s="149"/>
    </row>
    <row r="489" spans="3:6" ht="12.75">
      <c r="C489" s="305"/>
      <c r="F489" s="149"/>
    </row>
    <row r="490" spans="3:6" ht="12.75">
      <c r="C490" s="305"/>
      <c r="F490" s="149"/>
    </row>
    <row r="491" spans="3:6" ht="12.75">
      <c r="C491" s="305"/>
      <c r="F491" s="149"/>
    </row>
    <row r="492" spans="3:6" ht="12.75">
      <c r="C492" s="305"/>
      <c r="F492" s="149"/>
    </row>
    <row r="493" spans="3:6" ht="12.75">
      <c r="C493" s="305"/>
      <c r="F493" s="149"/>
    </row>
    <row r="494" spans="3:6" ht="12.75">
      <c r="C494" s="305"/>
      <c r="F494" s="149"/>
    </row>
    <row r="495" spans="3:6" ht="12.75">
      <c r="C495" s="305"/>
      <c r="F495" s="149"/>
    </row>
    <row r="496" spans="3:6" ht="12.75">
      <c r="C496" s="305"/>
      <c r="F496" s="149"/>
    </row>
    <row r="497" spans="3:6" ht="12.75">
      <c r="C497" s="305"/>
      <c r="F497" s="149"/>
    </row>
    <row r="498" spans="3:6" ht="12.75">
      <c r="C498" s="305"/>
      <c r="F498" s="149"/>
    </row>
    <row r="499" spans="3:6" ht="12.75">
      <c r="C499" s="305"/>
      <c r="F499" s="149"/>
    </row>
    <row r="500" spans="3:6" ht="12.75">
      <c r="C500" s="305"/>
      <c r="F500" s="149"/>
    </row>
    <row r="501" spans="3:6" ht="12.75">
      <c r="C501" s="305"/>
      <c r="F501" s="149"/>
    </row>
    <row r="502" spans="3:6" ht="12.75">
      <c r="C502" s="305"/>
      <c r="F502" s="149"/>
    </row>
    <row r="503" spans="3:6" ht="12.75">
      <c r="C503" s="305"/>
      <c r="F503" s="149"/>
    </row>
    <row r="504" spans="3:6" ht="12.75">
      <c r="C504" s="305"/>
      <c r="F504" s="149"/>
    </row>
    <row r="505" spans="3:6" ht="12.75">
      <c r="C505" s="305"/>
      <c r="F505" s="149"/>
    </row>
    <row r="506" spans="3:6" ht="12.75">
      <c r="C506" s="305"/>
      <c r="F506" s="149"/>
    </row>
    <row r="507" spans="3:6" ht="12.75">
      <c r="C507" s="305"/>
      <c r="F507" s="149"/>
    </row>
    <row r="508" spans="3:6" ht="12.75">
      <c r="C508" s="305"/>
      <c r="F508" s="149"/>
    </row>
    <row r="509" spans="3:6" ht="12.75">
      <c r="C509" s="305"/>
      <c r="F509" s="149"/>
    </row>
    <row r="510" spans="3:6" ht="12.75">
      <c r="C510" s="305"/>
      <c r="F510" s="149"/>
    </row>
    <row r="511" spans="3:6" ht="12.75">
      <c r="C511" s="305"/>
      <c r="F511" s="149"/>
    </row>
    <row r="512" spans="3:6" ht="12.75">
      <c r="C512" s="305"/>
      <c r="F512" s="149"/>
    </row>
    <row r="513" spans="3:6" ht="12.75">
      <c r="C513" s="305"/>
      <c r="F513" s="149"/>
    </row>
    <row r="514" spans="3:6" ht="12.75">
      <c r="C514" s="305"/>
      <c r="F514" s="149"/>
    </row>
    <row r="515" spans="3:6" ht="12.75">
      <c r="C515" s="305"/>
      <c r="F515" s="149"/>
    </row>
    <row r="516" spans="3:6" ht="12.75">
      <c r="C516" s="305"/>
      <c r="F516" s="149"/>
    </row>
    <row r="517" spans="3:6" ht="12.75">
      <c r="C517" s="305"/>
      <c r="F517" s="149"/>
    </row>
    <row r="518" spans="3:6" ht="12.75">
      <c r="C518" s="305"/>
      <c r="F518" s="149"/>
    </row>
    <row r="519" spans="3:6" ht="12.75">
      <c r="C519" s="305"/>
      <c r="F519" s="149"/>
    </row>
    <row r="520" spans="3:6" ht="12.75">
      <c r="C520" s="305"/>
      <c r="F520" s="149"/>
    </row>
    <row r="521" spans="3:6" ht="12.75">
      <c r="C521" s="305"/>
      <c r="F521" s="149"/>
    </row>
    <row r="522" spans="3:6" ht="12.75">
      <c r="C522" s="305"/>
      <c r="F522" s="149"/>
    </row>
    <row r="523" spans="3:6" ht="12.75">
      <c r="C523" s="305"/>
      <c r="F523" s="149"/>
    </row>
    <row r="524" spans="3:6" ht="12.75">
      <c r="C524" s="305"/>
      <c r="F524" s="149"/>
    </row>
    <row r="525" spans="3:6" ht="12.75">
      <c r="C525" s="305"/>
      <c r="F525" s="149"/>
    </row>
    <row r="526" spans="3:6" ht="12.75">
      <c r="C526" s="305"/>
      <c r="F526" s="149"/>
    </row>
    <row r="527" spans="3:6" ht="12.75">
      <c r="C527" s="305"/>
      <c r="F527" s="149"/>
    </row>
    <row r="528" spans="3:6" ht="12.75">
      <c r="C528" s="305"/>
      <c r="F528" s="149"/>
    </row>
    <row r="529" spans="3:6" ht="12.75">
      <c r="C529" s="305"/>
      <c r="F529" s="149"/>
    </row>
    <row r="530" spans="3:6" ht="12.75">
      <c r="C530" s="305"/>
      <c r="F530" s="149"/>
    </row>
    <row r="531" spans="3:6" ht="12.75">
      <c r="C531" s="305"/>
      <c r="F531" s="149"/>
    </row>
    <row r="532" spans="3:6" ht="12.75">
      <c r="C532" s="305"/>
      <c r="F532" s="149"/>
    </row>
    <row r="533" spans="3:6" ht="12.75">
      <c r="C533" s="305"/>
      <c r="F533" s="149"/>
    </row>
    <row r="534" spans="3:6" ht="12.75">
      <c r="C534" s="305"/>
      <c r="F534" s="149"/>
    </row>
    <row r="535" spans="3:6" ht="12.75">
      <c r="C535" s="305"/>
      <c r="F535" s="149"/>
    </row>
    <row r="536" spans="3:6" ht="12.75">
      <c r="C536" s="305"/>
      <c r="F536" s="149"/>
    </row>
    <row r="537" spans="3:6" ht="12.75">
      <c r="C537" s="305"/>
      <c r="F537" s="149"/>
    </row>
    <row r="538" spans="3:6" ht="12.75">
      <c r="C538" s="305"/>
      <c r="F538" s="149"/>
    </row>
    <row r="539" spans="3:6" ht="12.75">
      <c r="C539" s="305"/>
      <c r="F539" s="149"/>
    </row>
    <row r="540" spans="3:6" ht="12.75">
      <c r="C540" s="305"/>
      <c r="F540" s="149"/>
    </row>
    <row r="541" spans="3:6" ht="12.75">
      <c r="C541" s="305"/>
      <c r="F541" s="149"/>
    </row>
    <row r="542" spans="3:6" ht="12.75">
      <c r="C542" s="305"/>
      <c r="F542" s="149"/>
    </row>
    <row r="543" spans="3:6" ht="12.75">
      <c r="C543" s="305"/>
      <c r="F543" s="149"/>
    </row>
    <row r="544" spans="3:6" ht="12.75">
      <c r="C544" s="305"/>
      <c r="F544" s="149"/>
    </row>
    <row r="545" spans="3:6" ht="12.75">
      <c r="C545" s="305"/>
      <c r="F545" s="149"/>
    </row>
    <row r="546" spans="3:6" ht="12.75">
      <c r="C546" s="305"/>
      <c r="F546" s="149"/>
    </row>
    <row r="547" spans="3:6" ht="12.75">
      <c r="C547" s="305"/>
      <c r="F547" s="149"/>
    </row>
    <row r="548" spans="3:6" ht="12.75">
      <c r="C548" s="305"/>
      <c r="F548" s="149"/>
    </row>
    <row r="549" spans="3:6" ht="12.75">
      <c r="C549" s="305"/>
      <c r="F549" s="149"/>
    </row>
    <row r="550" spans="3:6" ht="12.75">
      <c r="C550" s="305"/>
      <c r="F550" s="149"/>
    </row>
    <row r="551" spans="3:6" ht="12.75">
      <c r="C551" s="305"/>
      <c r="F551" s="149"/>
    </row>
    <row r="552" spans="3:6" ht="12.75">
      <c r="C552" s="305"/>
      <c r="F552" s="149"/>
    </row>
    <row r="553" spans="3:6" ht="12.75">
      <c r="C553" s="305"/>
      <c r="F553" s="149"/>
    </row>
    <row r="554" spans="3:6" ht="12.75">
      <c r="C554" s="305"/>
      <c r="F554" s="149"/>
    </row>
    <row r="555" spans="3:6" ht="12.75">
      <c r="C555" s="305"/>
      <c r="F555" s="149"/>
    </row>
    <row r="556" spans="3:6" ht="12.75">
      <c r="C556" s="305"/>
      <c r="F556" s="149"/>
    </row>
    <row r="557" spans="3:6" ht="12.75">
      <c r="C557" s="305"/>
      <c r="F557" s="149"/>
    </row>
    <row r="558" spans="3:6" ht="12.75">
      <c r="C558" s="305"/>
      <c r="F558" s="149"/>
    </row>
    <row r="559" spans="3:6" ht="12.75">
      <c r="C559" s="305"/>
      <c r="F559" s="149"/>
    </row>
    <row r="560" spans="3:6" ht="12.75">
      <c r="C560" s="305"/>
      <c r="F560" s="149"/>
    </row>
    <row r="561" spans="3:6" ht="12.75">
      <c r="C561" s="305"/>
      <c r="F561" s="149"/>
    </row>
    <row r="562" spans="3:6" ht="12.75">
      <c r="C562" s="305"/>
      <c r="F562" s="149"/>
    </row>
    <row r="563" spans="3:6" ht="12.75">
      <c r="C563" s="305"/>
      <c r="F563" s="149"/>
    </row>
    <row r="564" spans="3:6" ht="12.75">
      <c r="C564" s="305"/>
      <c r="F564" s="149"/>
    </row>
    <row r="565" spans="3:6" ht="12.75">
      <c r="C565" s="305"/>
      <c r="F565" s="149"/>
    </row>
    <row r="566" spans="3:6" ht="12.75">
      <c r="C566" s="305"/>
      <c r="F566" s="149"/>
    </row>
    <row r="567" spans="3:6" ht="12.75">
      <c r="C567" s="305"/>
      <c r="F567" s="149"/>
    </row>
    <row r="568" spans="3:6" ht="12.75">
      <c r="C568" s="305"/>
      <c r="F568" s="149"/>
    </row>
    <row r="569" spans="3:6" ht="12.75">
      <c r="C569" s="305"/>
      <c r="F569" s="149"/>
    </row>
    <row r="570" spans="3:6" ht="12.75">
      <c r="C570" s="305"/>
      <c r="F570" s="149"/>
    </row>
    <row r="571" spans="3:6" ht="12.75">
      <c r="C571" s="305"/>
      <c r="F571" s="149"/>
    </row>
    <row r="572" spans="3:6" ht="12.75">
      <c r="C572" s="305"/>
      <c r="F572" s="149"/>
    </row>
    <row r="573" spans="3:6" ht="12.75">
      <c r="C573" s="305"/>
      <c r="F573" s="149"/>
    </row>
    <row r="574" spans="3:6" ht="12.75">
      <c r="C574" s="305"/>
      <c r="F574" s="149"/>
    </row>
    <row r="575" spans="3:6" ht="12.75">
      <c r="C575" s="305"/>
      <c r="F575" s="149"/>
    </row>
    <row r="576" spans="3:6" ht="12.75">
      <c r="C576" s="305"/>
      <c r="F576" s="149"/>
    </row>
    <row r="577" spans="3:6" ht="12.75">
      <c r="C577" s="305"/>
      <c r="F577" s="149"/>
    </row>
    <row r="578" spans="3:6" ht="12.75">
      <c r="C578" s="305"/>
      <c r="F578" s="149"/>
    </row>
    <row r="579" spans="3:6" ht="12.75">
      <c r="C579" s="305"/>
      <c r="F579" s="149"/>
    </row>
    <row r="580" spans="3:6" ht="12.75">
      <c r="C580" s="305"/>
      <c r="F580" s="149"/>
    </row>
    <row r="581" spans="3:6" ht="12.75">
      <c r="C581" s="305"/>
      <c r="F581" s="149"/>
    </row>
    <row r="582" spans="3:6" ht="12.75">
      <c r="C582" s="305"/>
      <c r="F582" s="149"/>
    </row>
    <row r="583" spans="3:6" ht="12.75">
      <c r="C583" s="305"/>
      <c r="F583" s="149"/>
    </row>
    <row r="584" spans="3:6" ht="12.75">
      <c r="C584" s="305"/>
      <c r="F584" s="149"/>
    </row>
    <row r="585" spans="3:6" ht="12.75">
      <c r="C585" s="305"/>
      <c r="F585" s="149"/>
    </row>
    <row r="586" spans="3:6" ht="12.75">
      <c r="C586" s="305"/>
      <c r="F586" s="149"/>
    </row>
    <row r="587" spans="3:6" ht="12.75">
      <c r="C587" s="305"/>
      <c r="F587" s="149"/>
    </row>
    <row r="588" spans="3:6" ht="12.75">
      <c r="C588" s="305"/>
      <c r="F588" s="149"/>
    </row>
    <row r="589" spans="3:6" ht="12.75">
      <c r="C589" s="305"/>
      <c r="F589" s="149"/>
    </row>
    <row r="590" spans="3:6" ht="12.75">
      <c r="C590" s="305"/>
      <c r="F590" s="149"/>
    </row>
    <row r="591" spans="3:6" ht="12.75">
      <c r="C591" s="305"/>
      <c r="F591" s="149"/>
    </row>
    <row r="592" spans="3:6" ht="12.75">
      <c r="C592" s="305"/>
      <c r="F592" s="149"/>
    </row>
    <row r="593" spans="3:6" ht="12.75">
      <c r="C593" s="305"/>
      <c r="F593" s="149"/>
    </row>
    <row r="594" spans="3:6" ht="12.75">
      <c r="C594" s="305"/>
      <c r="F594" s="149"/>
    </row>
    <row r="595" spans="3:6" ht="12.75">
      <c r="C595" s="305"/>
      <c r="F595" s="149"/>
    </row>
    <row r="596" spans="3:6" ht="12.75">
      <c r="C596" s="305"/>
      <c r="F596" s="149"/>
    </row>
    <row r="597" spans="3:6" ht="12.75">
      <c r="C597" s="305"/>
      <c r="F597" s="149"/>
    </row>
    <row r="598" spans="3:6" ht="12.75">
      <c r="C598" s="305"/>
      <c r="F598" s="149"/>
    </row>
    <row r="599" spans="3:6" ht="12.75">
      <c r="C599" s="305"/>
      <c r="F599" s="149"/>
    </row>
    <row r="600" spans="3:6" ht="12.75">
      <c r="C600" s="305"/>
      <c r="F600" s="149"/>
    </row>
    <row r="601" spans="3:6" ht="12.75">
      <c r="C601" s="305"/>
      <c r="F601" s="149"/>
    </row>
    <row r="602" spans="3:6" ht="12.75">
      <c r="C602" s="305"/>
      <c r="F602" s="149"/>
    </row>
    <row r="603" spans="3:6" ht="12.75">
      <c r="C603" s="305"/>
      <c r="F603" s="149"/>
    </row>
    <row r="604" spans="3:6" ht="12.75">
      <c r="C604" s="305"/>
      <c r="F604" s="149"/>
    </row>
    <row r="605" spans="3:6" ht="12.75">
      <c r="C605" s="305"/>
      <c r="F605" s="149"/>
    </row>
    <row r="606" spans="3:6" ht="12.75">
      <c r="C606" s="305"/>
      <c r="F606" s="149"/>
    </row>
    <row r="607" spans="3:6" ht="12.75">
      <c r="C607" s="305"/>
      <c r="F607" s="149"/>
    </row>
    <row r="608" spans="3:6" ht="12.75">
      <c r="C608" s="305"/>
      <c r="F608" s="149"/>
    </row>
    <row r="609" spans="3:6" ht="12.75">
      <c r="C609" s="305"/>
      <c r="F609" s="149"/>
    </row>
    <row r="610" spans="3:6" ht="12.75">
      <c r="C610" s="305"/>
      <c r="F610" s="149"/>
    </row>
    <row r="611" spans="3:6" ht="12.75">
      <c r="C611" s="305"/>
      <c r="F611" s="149"/>
    </row>
    <row r="612" spans="3:6" ht="12.75">
      <c r="C612" s="305"/>
      <c r="F612" s="149"/>
    </row>
    <row r="613" spans="3:6" ht="12.75">
      <c r="C613" s="305"/>
      <c r="F613" s="149"/>
    </row>
    <row r="614" spans="3:6" ht="12.75">
      <c r="C614" s="305"/>
      <c r="F614" s="149"/>
    </row>
    <row r="615" spans="3:6" ht="12.75">
      <c r="C615" s="305"/>
      <c r="F615" s="149"/>
    </row>
    <row r="616" spans="3:6" ht="12.75">
      <c r="C616" s="305"/>
      <c r="F616" s="149"/>
    </row>
    <row r="617" spans="3:6" ht="12.75">
      <c r="C617" s="305"/>
      <c r="F617" s="149"/>
    </row>
    <row r="618" spans="3:6" ht="12.75">
      <c r="C618" s="305"/>
      <c r="F618" s="149"/>
    </row>
    <row r="619" spans="3:6" ht="12.75">
      <c r="C619" s="305"/>
      <c r="F619" s="149"/>
    </row>
    <row r="620" spans="3:6" ht="12.75">
      <c r="C620" s="305"/>
      <c r="F620" s="149"/>
    </row>
    <row r="621" spans="3:6" ht="12.75">
      <c r="C621" s="305"/>
      <c r="F621" s="149"/>
    </row>
    <row r="622" spans="3:6" ht="12.75">
      <c r="C622" s="305"/>
      <c r="F622" s="149"/>
    </row>
    <row r="623" spans="3:6" ht="12.75">
      <c r="C623" s="305"/>
      <c r="F623" s="149"/>
    </row>
    <row r="624" spans="3:6" ht="12.75">
      <c r="C624" s="305"/>
      <c r="F624" s="149"/>
    </row>
    <row r="625" spans="3:6" ht="12.75">
      <c r="C625" s="305"/>
      <c r="F625" s="149"/>
    </row>
    <row r="626" spans="3:6" ht="12.75">
      <c r="C626" s="305"/>
      <c r="F626" s="149"/>
    </row>
    <row r="627" spans="3:6" ht="12.75">
      <c r="C627" s="305"/>
      <c r="F627" s="149"/>
    </row>
    <row r="628" spans="3:6" ht="12.75">
      <c r="C628" s="305"/>
      <c r="F628" s="149"/>
    </row>
    <row r="629" spans="3:6" ht="12.75">
      <c r="C629" s="305"/>
      <c r="F629" s="149"/>
    </row>
    <row r="630" spans="3:6" ht="12.75">
      <c r="C630" s="305"/>
      <c r="F630" s="149"/>
    </row>
    <row r="631" spans="3:6" ht="12.75">
      <c r="C631" s="305"/>
      <c r="F631" s="149"/>
    </row>
    <row r="632" spans="3:6" ht="12.75">
      <c r="C632" s="305"/>
      <c r="F632" s="149"/>
    </row>
    <row r="633" spans="3:6" ht="12.75">
      <c r="C633" s="305"/>
      <c r="F633" s="149"/>
    </row>
    <row r="634" spans="3:6" ht="12.75">
      <c r="C634" s="305"/>
      <c r="F634" s="149"/>
    </row>
    <row r="635" spans="3:6" ht="12.75">
      <c r="C635" s="305"/>
      <c r="F635" s="149"/>
    </row>
    <row r="636" spans="3:6" ht="12.75">
      <c r="C636" s="305"/>
      <c r="F636" s="149"/>
    </row>
    <row r="637" spans="3:6" ht="12.75">
      <c r="C637" s="305"/>
      <c r="F637" s="149"/>
    </row>
    <row r="638" spans="3:6" ht="12.75">
      <c r="C638" s="305"/>
      <c r="F638" s="149"/>
    </row>
    <row r="639" spans="3:6" ht="12.75">
      <c r="C639" s="305"/>
      <c r="F639" s="149"/>
    </row>
    <row r="640" spans="3:6" ht="12.75">
      <c r="C640" s="305"/>
      <c r="F640" s="149"/>
    </row>
    <row r="641" spans="3:6" ht="12.75">
      <c r="C641" s="305"/>
      <c r="F641" s="149"/>
    </row>
    <row r="642" spans="3:6" ht="12.75">
      <c r="C642" s="305"/>
      <c r="F642" s="149"/>
    </row>
    <row r="643" spans="3:6" ht="12.75">
      <c r="C643" s="305"/>
      <c r="F643" s="149"/>
    </row>
    <row r="644" spans="3:6" ht="12.75">
      <c r="C644" s="305"/>
      <c r="F644" s="149"/>
    </row>
    <row r="645" spans="3:6" ht="12.75">
      <c r="C645" s="305"/>
      <c r="F645" s="149"/>
    </row>
    <row r="646" spans="3:6" ht="12.75">
      <c r="C646" s="305"/>
      <c r="F646" s="149"/>
    </row>
    <row r="647" spans="3:6" ht="12.75">
      <c r="C647" s="305"/>
      <c r="F647" s="149"/>
    </row>
    <row r="648" spans="3:6" ht="12.75">
      <c r="C648" s="305"/>
      <c r="F648" s="149"/>
    </row>
    <row r="649" spans="3:6" ht="12.75">
      <c r="C649" s="305"/>
      <c r="F649" s="149"/>
    </row>
    <row r="650" spans="3:6" ht="12.75">
      <c r="C650" s="305"/>
      <c r="F650" s="149"/>
    </row>
    <row r="651" spans="3:6" ht="12.75">
      <c r="C651" s="305"/>
      <c r="F651" s="149"/>
    </row>
    <row r="652" spans="3:6" ht="12.75">
      <c r="C652" s="305"/>
      <c r="F652" s="149"/>
    </row>
    <row r="653" spans="3:6" ht="12.75">
      <c r="C653" s="305"/>
      <c r="F653" s="149"/>
    </row>
    <row r="654" spans="3:6" ht="12.75">
      <c r="C654" s="305"/>
      <c r="F654" s="149"/>
    </row>
    <row r="655" spans="3:6" ht="12.75">
      <c r="C655" s="305"/>
      <c r="F655" s="149"/>
    </row>
    <row r="656" spans="3:6" ht="12.75">
      <c r="C656" s="305"/>
      <c r="F656" s="149"/>
    </row>
    <row r="657" spans="3:6" ht="12.75">
      <c r="C657" s="305"/>
      <c r="F657" s="149"/>
    </row>
    <row r="658" spans="3:6" ht="12.75">
      <c r="C658" s="305"/>
      <c r="F658" s="149"/>
    </row>
    <row r="659" spans="3:6" ht="12.75">
      <c r="C659" s="305"/>
      <c r="F659" s="149"/>
    </row>
    <row r="660" spans="3:6" ht="12.75">
      <c r="C660" s="305"/>
      <c r="F660" s="149"/>
    </row>
    <row r="661" spans="3:6" ht="12.75">
      <c r="C661" s="305"/>
      <c r="F661" s="149"/>
    </row>
    <row r="662" spans="3:6" ht="12.75">
      <c r="C662" s="305"/>
      <c r="F662" s="149"/>
    </row>
    <row r="663" spans="3:6" ht="12.75">
      <c r="C663" s="305"/>
      <c r="F663" s="149"/>
    </row>
    <row r="664" spans="3:6" ht="12.75">
      <c r="C664" s="305"/>
      <c r="F664" s="149"/>
    </row>
    <row r="665" spans="3:6" ht="12.75">
      <c r="C665" s="305"/>
      <c r="F665" s="149"/>
    </row>
    <row r="666" spans="3:6" ht="12.75">
      <c r="C666" s="305"/>
      <c r="F666" s="149"/>
    </row>
    <row r="667" spans="3:6" ht="12.75">
      <c r="C667" s="305"/>
      <c r="F667" s="149"/>
    </row>
    <row r="668" spans="3:6" ht="12.75">
      <c r="C668" s="305"/>
      <c r="F668" s="149"/>
    </row>
    <row r="669" spans="3:6" ht="12.75">
      <c r="C669" s="305"/>
      <c r="F669" s="149"/>
    </row>
    <row r="670" spans="3:6" ht="12.75">
      <c r="C670" s="305"/>
      <c r="F670" s="149"/>
    </row>
    <row r="671" spans="3:6" ht="12.75">
      <c r="C671" s="305"/>
      <c r="F671" s="149"/>
    </row>
    <row r="672" spans="3:6" ht="12.75">
      <c r="C672" s="305"/>
      <c r="F672" s="149"/>
    </row>
    <row r="673" spans="3:6" ht="12.75">
      <c r="C673" s="305"/>
      <c r="F673" s="149"/>
    </row>
    <row r="674" spans="3:6" ht="12.75">
      <c r="C674" s="305"/>
      <c r="F674" s="149"/>
    </row>
    <row r="675" spans="3:6" ht="12.75">
      <c r="C675" s="305"/>
      <c r="F675" s="149"/>
    </row>
    <row r="676" spans="3:6" ht="12.75">
      <c r="C676" s="305"/>
      <c r="F676" s="149"/>
    </row>
    <row r="677" spans="3:6" ht="12.75">
      <c r="C677" s="305"/>
      <c r="F677" s="149"/>
    </row>
    <row r="678" spans="3:6" ht="12.75">
      <c r="C678" s="305"/>
      <c r="F678" s="149"/>
    </row>
    <row r="679" spans="3:6" ht="12.75">
      <c r="C679" s="305"/>
      <c r="F679" s="149"/>
    </row>
    <row r="680" spans="3:6" ht="12.75">
      <c r="C680" s="305"/>
      <c r="F680" s="149"/>
    </row>
    <row r="681" spans="3:6" ht="12.75">
      <c r="C681" s="305"/>
      <c r="F681" s="149"/>
    </row>
    <row r="682" spans="3:6" ht="12.75">
      <c r="C682" s="305"/>
      <c r="F682" s="149"/>
    </row>
    <row r="683" spans="3:6" ht="12.75">
      <c r="C683" s="305"/>
      <c r="F683" s="149"/>
    </row>
    <row r="684" spans="3:6" ht="12.75">
      <c r="C684" s="305"/>
      <c r="F684" s="149"/>
    </row>
    <row r="685" spans="3:6" ht="12.75">
      <c r="C685" s="305"/>
      <c r="F685" s="149"/>
    </row>
    <row r="686" spans="3:6" ht="12.75">
      <c r="C686" s="305"/>
      <c r="F686" s="149"/>
    </row>
    <row r="687" spans="3:6" ht="12.75">
      <c r="C687" s="305"/>
      <c r="F687" s="149"/>
    </row>
    <row r="688" spans="3:6" ht="12.75">
      <c r="C688" s="305"/>
      <c r="F688" s="149"/>
    </row>
    <row r="689" spans="3:6" ht="12.75">
      <c r="C689" s="305"/>
      <c r="F689" s="149"/>
    </row>
    <row r="690" spans="3:6" ht="12.75">
      <c r="C690" s="305"/>
      <c r="F690" s="149"/>
    </row>
    <row r="691" spans="3:6" ht="12.75">
      <c r="C691" s="305"/>
      <c r="F691" s="149"/>
    </row>
    <row r="692" spans="3:6" ht="12.75">
      <c r="C692" s="305"/>
      <c r="F692" s="149"/>
    </row>
    <row r="693" spans="3:6" ht="12.75">
      <c r="C693" s="305"/>
      <c r="F693" s="149"/>
    </row>
    <row r="694" spans="3:6" ht="12.75">
      <c r="C694" s="305"/>
      <c r="F694" s="149"/>
    </row>
    <row r="695" spans="3:6" ht="12.75">
      <c r="C695" s="305"/>
      <c r="F695" s="149"/>
    </row>
    <row r="696" spans="3:6" ht="12.75">
      <c r="C696" s="305"/>
      <c r="F696" s="149"/>
    </row>
    <row r="697" spans="3:6" ht="12.75">
      <c r="C697" s="305"/>
      <c r="F697" s="149"/>
    </row>
    <row r="698" spans="3:6" ht="12.75">
      <c r="C698" s="305"/>
      <c r="F698" s="149"/>
    </row>
    <row r="699" spans="3:6" ht="12.75">
      <c r="C699" s="305"/>
      <c r="F699" s="149"/>
    </row>
    <row r="700" spans="3:6" ht="12.75">
      <c r="C700" s="305"/>
      <c r="F700" s="149"/>
    </row>
    <row r="701" spans="3:6" ht="12.75">
      <c r="C701" s="305"/>
      <c r="F701" s="149"/>
    </row>
    <row r="702" spans="3:6" ht="12.75">
      <c r="C702" s="305"/>
      <c r="F702" s="149"/>
    </row>
    <row r="703" spans="3:6" ht="12.75">
      <c r="C703" s="305"/>
      <c r="F703" s="149"/>
    </row>
    <row r="704" spans="3:6" ht="12.75">
      <c r="C704" s="305"/>
      <c r="F704" s="149"/>
    </row>
    <row r="705" spans="3:6" ht="12.75">
      <c r="C705" s="305"/>
      <c r="F705" s="149"/>
    </row>
    <row r="706" spans="3:6" ht="12.75">
      <c r="C706" s="305"/>
      <c r="F706" s="149"/>
    </row>
    <row r="707" spans="3:6" ht="12.75">
      <c r="C707" s="305"/>
      <c r="F707" s="149"/>
    </row>
    <row r="708" spans="3:6" ht="12.75">
      <c r="C708" s="305"/>
      <c r="F708" s="149"/>
    </row>
    <row r="709" spans="3:6" ht="12.75">
      <c r="C709" s="305"/>
      <c r="F709" s="149"/>
    </row>
    <row r="710" spans="3:6" ht="12.75">
      <c r="C710" s="305"/>
      <c r="F710" s="149"/>
    </row>
    <row r="711" spans="3:6" ht="12.75">
      <c r="C711" s="305"/>
      <c r="F711" s="149"/>
    </row>
    <row r="712" spans="3:6" ht="12.75">
      <c r="C712" s="305"/>
      <c r="F712" s="149"/>
    </row>
    <row r="713" spans="3:6" ht="12.75">
      <c r="C713" s="305"/>
      <c r="F713" s="149"/>
    </row>
    <row r="714" spans="3:6" ht="12.75">
      <c r="C714" s="305"/>
      <c r="F714" s="149"/>
    </row>
    <row r="715" spans="3:6" ht="12.75">
      <c r="C715" s="305"/>
      <c r="F715" s="149"/>
    </row>
    <row r="716" spans="3:6" ht="12.75">
      <c r="C716" s="305"/>
      <c r="F716" s="149"/>
    </row>
    <row r="717" spans="3:6" ht="12.75">
      <c r="C717" s="305"/>
      <c r="F717" s="149"/>
    </row>
    <row r="718" spans="3:6" ht="12.75">
      <c r="C718" s="305"/>
      <c r="F718" s="149"/>
    </row>
    <row r="719" spans="3:6" ht="12.75">
      <c r="C719" s="305"/>
      <c r="F719" s="149"/>
    </row>
    <row r="720" spans="3:6" ht="12.75">
      <c r="C720" s="305"/>
      <c r="F720" s="149"/>
    </row>
    <row r="721" spans="3:6" ht="12.75">
      <c r="C721" s="305"/>
      <c r="F721" s="149"/>
    </row>
    <row r="722" spans="3:6" ht="12.75">
      <c r="C722" s="305"/>
      <c r="F722" s="149"/>
    </row>
    <row r="723" spans="3:6" ht="12.75">
      <c r="C723" s="305"/>
      <c r="F723" s="149"/>
    </row>
    <row r="724" spans="3:6" ht="12.75">
      <c r="C724" s="305"/>
      <c r="F724" s="149"/>
    </row>
    <row r="725" spans="3:6" ht="12.75">
      <c r="C725" s="305"/>
      <c r="F725" s="149"/>
    </row>
    <row r="726" spans="3:6" ht="12.75">
      <c r="C726" s="305"/>
      <c r="F726" s="149"/>
    </row>
    <row r="727" spans="3:6" ht="12.75">
      <c r="C727" s="305"/>
      <c r="F727" s="149"/>
    </row>
    <row r="728" spans="3:6" ht="12.75">
      <c r="C728" s="305"/>
      <c r="F728" s="149"/>
    </row>
    <row r="729" spans="3:6" ht="12.75">
      <c r="C729" s="305"/>
      <c r="F729" s="149"/>
    </row>
    <row r="730" spans="3:6" ht="12.75">
      <c r="C730" s="305"/>
      <c r="F730" s="149"/>
    </row>
    <row r="731" spans="3:6" ht="12.75">
      <c r="C731" s="305"/>
      <c r="F731" s="149"/>
    </row>
    <row r="732" spans="3:6" ht="12.75">
      <c r="C732" s="305"/>
      <c r="F732" s="149"/>
    </row>
    <row r="733" spans="3:6" ht="12.75">
      <c r="C733" s="305"/>
      <c r="F733" s="149"/>
    </row>
    <row r="734" spans="3:6" ht="12.75">
      <c r="C734" s="305"/>
      <c r="F734" s="149"/>
    </row>
    <row r="735" spans="3:6" ht="12.75">
      <c r="C735" s="305"/>
      <c r="F735" s="149"/>
    </row>
    <row r="736" spans="3:6" ht="12.75">
      <c r="C736" s="305"/>
      <c r="F736" s="149"/>
    </row>
    <row r="737" spans="3:6" ht="12.75">
      <c r="C737" s="305"/>
      <c r="F737" s="149"/>
    </row>
    <row r="738" spans="3:6" ht="12.75">
      <c r="C738" s="305"/>
      <c r="F738" s="149"/>
    </row>
    <row r="739" spans="3:6" ht="12.75">
      <c r="C739" s="305"/>
      <c r="F739" s="149"/>
    </row>
    <row r="740" spans="3:6" ht="12.75">
      <c r="C740" s="305"/>
      <c r="F740" s="149"/>
    </row>
    <row r="741" spans="3:6" ht="12.75">
      <c r="C741" s="305"/>
      <c r="F741" s="149"/>
    </row>
    <row r="742" spans="3:6" ht="12.75">
      <c r="C742" s="305"/>
      <c r="F742" s="149"/>
    </row>
    <row r="743" spans="3:6" ht="12.75">
      <c r="C743" s="305"/>
      <c r="F743" s="149"/>
    </row>
    <row r="744" spans="3:6" ht="12.75">
      <c r="C744" s="305"/>
      <c r="F744" s="149"/>
    </row>
    <row r="745" spans="3:6" ht="12.75">
      <c r="C745" s="305"/>
      <c r="F745" s="149"/>
    </row>
    <row r="746" spans="3:6" ht="12.75">
      <c r="C746" s="305"/>
      <c r="F746" s="149"/>
    </row>
    <row r="747" spans="3:6" ht="12.75">
      <c r="C747" s="305"/>
      <c r="F747" s="149"/>
    </row>
    <row r="748" spans="3:6" ht="12.75">
      <c r="C748" s="305"/>
      <c r="F748" s="149"/>
    </row>
    <row r="749" spans="3:6" ht="12.75">
      <c r="C749" s="305"/>
      <c r="F749" s="149"/>
    </row>
    <row r="750" spans="3:6" ht="12.75">
      <c r="C750" s="305"/>
      <c r="F750" s="149"/>
    </row>
    <row r="751" spans="3:6" ht="12.75">
      <c r="C751" s="305"/>
      <c r="F751" s="149"/>
    </row>
    <row r="752" spans="3:6" ht="12.75">
      <c r="C752" s="305"/>
      <c r="F752" s="149"/>
    </row>
    <row r="753" spans="3:6" ht="12.75">
      <c r="C753" s="305"/>
      <c r="F753" s="149"/>
    </row>
    <row r="754" spans="3:6" ht="12.75">
      <c r="C754" s="305"/>
      <c r="F754" s="149"/>
    </row>
    <row r="755" spans="3:6" ht="12.75">
      <c r="C755" s="305"/>
      <c r="F755" s="149"/>
    </row>
    <row r="756" spans="3:6" ht="12.75">
      <c r="C756" s="305"/>
      <c r="F756" s="149"/>
    </row>
    <row r="757" spans="3:6" ht="12.75">
      <c r="C757" s="305"/>
      <c r="F757" s="149"/>
    </row>
    <row r="758" spans="3:6" ht="12.75">
      <c r="C758" s="305"/>
      <c r="F758" s="149"/>
    </row>
    <row r="759" spans="3:6" ht="12.75">
      <c r="C759" s="305"/>
      <c r="F759" s="149"/>
    </row>
    <row r="760" spans="3:6" ht="12.75">
      <c r="C760" s="305"/>
      <c r="F760" s="149"/>
    </row>
    <row r="761" spans="3:6" ht="12.75">
      <c r="C761" s="305"/>
      <c r="F761" s="149"/>
    </row>
    <row r="762" spans="3:6" ht="12.75">
      <c r="C762" s="305"/>
      <c r="F762" s="149"/>
    </row>
    <row r="763" spans="3:6" ht="12.75">
      <c r="C763" s="305"/>
      <c r="F763" s="149"/>
    </row>
    <row r="764" spans="3:6" ht="12.75">
      <c r="C764" s="305"/>
      <c r="F764" s="149"/>
    </row>
    <row r="765" spans="3:6" ht="12.75">
      <c r="C765" s="305"/>
      <c r="F765" s="149"/>
    </row>
    <row r="766" spans="3:6" ht="12.75">
      <c r="C766" s="305"/>
      <c r="F766" s="149"/>
    </row>
    <row r="767" spans="3:6" ht="12.75">
      <c r="C767" s="305"/>
      <c r="F767" s="149"/>
    </row>
    <row r="768" spans="3:6" ht="12.75">
      <c r="C768" s="305"/>
      <c r="F768" s="149"/>
    </row>
    <row r="769" spans="3:6" ht="12.75">
      <c r="C769" s="305"/>
      <c r="F769" s="149"/>
    </row>
    <row r="770" spans="3:6" ht="12.75">
      <c r="C770" s="305"/>
      <c r="F770" s="149"/>
    </row>
    <row r="771" spans="3:6" ht="12.75">
      <c r="C771" s="305"/>
      <c r="F771" s="149"/>
    </row>
    <row r="772" spans="3:6" ht="12.75">
      <c r="C772" s="305"/>
      <c r="F772" s="149"/>
    </row>
    <row r="773" spans="3:6" ht="12.75">
      <c r="C773" s="305"/>
      <c r="F773" s="149"/>
    </row>
    <row r="774" spans="3:6" ht="12.75">
      <c r="C774" s="305"/>
      <c r="F774" s="149"/>
    </row>
    <row r="775" spans="3:6" ht="12.75">
      <c r="C775" s="305"/>
      <c r="F775" s="149"/>
    </row>
    <row r="776" spans="3:6" ht="12.75">
      <c r="C776" s="305"/>
      <c r="F776" s="149"/>
    </row>
    <row r="777" spans="3:6" ht="12.75">
      <c r="C777" s="305"/>
      <c r="F777" s="149"/>
    </row>
    <row r="778" spans="3:6" ht="12.75">
      <c r="C778" s="305"/>
      <c r="F778" s="149"/>
    </row>
    <row r="779" spans="3:6" ht="12.75">
      <c r="C779" s="305"/>
      <c r="F779" s="149"/>
    </row>
    <row r="780" spans="3:6" ht="12.75">
      <c r="C780" s="305"/>
      <c r="F780" s="149"/>
    </row>
    <row r="781" spans="3:6" ht="12.75">
      <c r="C781" s="305"/>
      <c r="F781" s="149"/>
    </row>
    <row r="782" spans="3:6" ht="12.75">
      <c r="C782" s="305"/>
      <c r="F782" s="149"/>
    </row>
    <row r="783" spans="3:6" ht="12.75">
      <c r="C783" s="305"/>
      <c r="F783" s="149"/>
    </row>
    <row r="784" spans="3:6" ht="12.75">
      <c r="C784" s="305"/>
      <c r="F784" s="149"/>
    </row>
    <row r="785" spans="3:6" ht="12.75">
      <c r="C785" s="305"/>
      <c r="F785" s="149"/>
    </row>
    <row r="786" spans="3:6" ht="12.75">
      <c r="C786" s="305"/>
      <c r="F786" s="149"/>
    </row>
    <row r="787" spans="3:6" ht="12.75">
      <c r="C787" s="305"/>
      <c r="F787" s="149"/>
    </row>
    <row r="788" spans="3:6" ht="12.75">
      <c r="C788" s="305"/>
      <c r="F788" s="149"/>
    </row>
    <row r="789" spans="3:6" ht="12.75">
      <c r="C789" s="305"/>
      <c r="F789" s="149"/>
    </row>
    <row r="790" spans="3:6" ht="12.75">
      <c r="C790" s="305"/>
      <c r="F790" s="149"/>
    </row>
    <row r="791" spans="3:6" ht="12.75">
      <c r="C791" s="305"/>
      <c r="F791" s="149"/>
    </row>
    <row r="792" spans="3:6" ht="12.75">
      <c r="C792" s="305"/>
      <c r="F792" s="149"/>
    </row>
    <row r="793" spans="3:6" ht="12.75">
      <c r="C793" s="305"/>
      <c r="F793" s="149"/>
    </row>
    <row r="794" spans="3:6" ht="12.75">
      <c r="C794" s="305"/>
      <c r="F794" s="149"/>
    </row>
    <row r="795" spans="3:6" ht="12.75">
      <c r="C795" s="305"/>
      <c r="F795" s="149"/>
    </row>
    <row r="796" spans="3:6" ht="12.75">
      <c r="C796" s="305"/>
      <c r="F796" s="149"/>
    </row>
    <row r="797" spans="3:6" ht="12.75">
      <c r="C797" s="305"/>
      <c r="F797" s="149"/>
    </row>
    <row r="798" spans="3:6" ht="12.75">
      <c r="C798" s="305"/>
      <c r="F798" s="149"/>
    </row>
    <row r="799" spans="3:6" ht="12.75">
      <c r="C799" s="305"/>
      <c r="F799" s="149"/>
    </row>
    <row r="800" spans="3:6" ht="12.75">
      <c r="C800" s="305"/>
      <c r="F800" s="149"/>
    </row>
    <row r="801" spans="3:6" ht="12.75">
      <c r="C801" s="305"/>
      <c r="F801" s="149"/>
    </row>
    <row r="802" spans="3:6" ht="12.75">
      <c r="C802" s="305"/>
      <c r="F802" s="149"/>
    </row>
    <row r="803" spans="3:6" ht="12.75">
      <c r="C803" s="305"/>
      <c r="F803" s="149"/>
    </row>
    <row r="804" spans="3:6" ht="12.75">
      <c r="C804" s="305"/>
      <c r="F804" s="149"/>
    </row>
    <row r="805" spans="3:6" ht="12.75">
      <c r="C805" s="305"/>
      <c r="F805" s="149"/>
    </row>
    <row r="806" spans="3:6" ht="12.75">
      <c r="C806" s="305"/>
      <c r="F806" s="149"/>
    </row>
    <row r="807" spans="3:6" ht="12.75">
      <c r="C807" s="305"/>
      <c r="F807" s="149"/>
    </row>
    <row r="808" spans="3:6" ht="12.75">
      <c r="C808" s="305"/>
      <c r="F808" s="149"/>
    </row>
    <row r="809" spans="3:6" ht="12.75">
      <c r="C809" s="305"/>
      <c r="F809" s="149"/>
    </row>
    <row r="810" spans="3:6" ht="12.75">
      <c r="C810" s="305"/>
      <c r="F810" s="149"/>
    </row>
    <row r="811" spans="3:6" ht="12.75">
      <c r="C811" s="305"/>
      <c r="F811" s="149"/>
    </row>
    <row r="812" spans="3:6" ht="12.75">
      <c r="C812" s="305"/>
      <c r="F812" s="149"/>
    </row>
    <row r="813" spans="3:6" ht="12.75">
      <c r="C813" s="305"/>
      <c r="F813" s="149"/>
    </row>
    <row r="814" spans="3:6" ht="12.75">
      <c r="C814" s="305"/>
      <c r="F814" s="149"/>
    </row>
    <row r="815" spans="3:6" ht="12.75">
      <c r="C815" s="305"/>
      <c r="F815" s="149"/>
    </row>
    <row r="816" spans="3:6" ht="12.75">
      <c r="C816" s="305"/>
      <c r="F816" s="149"/>
    </row>
    <row r="817" spans="3:6" ht="12.75">
      <c r="C817" s="305"/>
      <c r="F817" s="149"/>
    </row>
    <row r="818" spans="3:6" ht="12.75">
      <c r="C818" s="305"/>
      <c r="F818" s="149"/>
    </row>
    <row r="819" spans="3:6" ht="12.75">
      <c r="C819" s="305"/>
      <c r="F819" s="149"/>
    </row>
    <row r="820" spans="3:6" ht="12.75">
      <c r="C820" s="305"/>
      <c r="F820" s="149"/>
    </row>
    <row r="821" spans="3:6" ht="12.75">
      <c r="C821" s="305"/>
      <c r="F821" s="149"/>
    </row>
    <row r="822" spans="3:6" ht="12.75">
      <c r="C822" s="305"/>
      <c r="F822" s="149"/>
    </row>
    <row r="823" spans="3:6" ht="12.75">
      <c r="C823" s="305"/>
      <c r="F823" s="149"/>
    </row>
    <row r="824" spans="3:6" ht="12.75">
      <c r="C824" s="305"/>
      <c r="F824" s="149"/>
    </row>
    <row r="825" spans="3:6" ht="12.75">
      <c r="C825" s="305"/>
      <c r="F825" s="149"/>
    </row>
    <row r="826" spans="3:6" ht="12.75">
      <c r="C826" s="305"/>
      <c r="F826" s="149"/>
    </row>
    <row r="827" spans="3:6" ht="12.75">
      <c r="C827" s="305"/>
      <c r="F827" s="149"/>
    </row>
    <row r="828" spans="3:6" ht="12.75">
      <c r="C828" s="305"/>
      <c r="F828" s="149"/>
    </row>
    <row r="829" spans="3:6" ht="12.75">
      <c r="C829" s="305"/>
      <c r="F829" s="149"/>
    </row>
    <row r="830" spans="3:6" ht="12.75">
      <c r="C830" s="305"/>
      <c r="F830" s="149"/>
    </row>
    <row r="831" spans="3:6" ht="12.75">
      <c r="C831" s="305"/>
      <c r="F831" s="149"/>
    </row>
    <row r="832" spans="3:6" ht="12.75">
      <c r="C832" s="305"/>
      <c r="F832" s="149"/>
    </row>
    <row r="833" spans="3:6" ht="12.75">
      <c r="C833" s="305"/>
      <c r="F833" s="149"/>
    </row>
    <row r="834" spans="3:6" ht="12.75">
      <c r="C834" s="305"/>
      <c r="F834" s="149"/>
    </row>
    <row r="835" spans="3:6" ht="12.75">
      <c r="C835" s="305"/>
      <c r="F835" s="149"/>
    </row>
    <row r="836" spans="3:6" ht="12.75">
      <c r="C836" s="305"/>
      <c r="F836" s="149"/>
    </row>
    <row r="837" spans="3:6" ht="12.75">
      <c r="C837" s="305"/>
      <c r="F837" s="149"/>
    </row>
    <row r="838" spans="3:6" ht="12.75">
      <c r="C838" s="305"/>
      <c r="F838" s="149"/>
    </row>
    <row r="839" spans="3:6" ht="12.75">
      <c r="C839" s="305"/>
      <c r="F839" s="149"/>
    </row>
    <row r="840" spans="3:6" ht="12.75">
      <c r="C840" s="305"/>
      <c r="F840" s="149"/>
    </row>
    <row r="841" spans="3:6" ht="12.75">
      <c r="C841" s="305"/>
      <c r="F841" s="149"/>
    </row>
    <row r="842" spans="3:6" ht="12.75">
      <c r="C842" s="305"/>
      <c r="F842" s="149"/>
    </row>
    <row r="843" spans="3:6" ht="12.75">
      <c r="C843" s="305"/>
      <c r="F843" s="149"/>
    </row>
    <row r="844" spans="3:6" ht="12.75">
      <c r="C844" s="305"/>
      <c r="F844" s="149"/>
    </row>
    <row r="845" spans="3:6" ht="12.75">
      <c r="C845" s="305"/>
      <c r="F845" s="149"/>
    </row>
    <row r="846" spans="3:6" ht="12.75">
      <c r="C846" s="305"/>
      <c r="F846" s="149"/>
    </row>
    <row r="847" spans="3:6" ht="12.75">
      <c r="C847" s="305"/>
      <c r="F847" s="149"/>
    </row>
    <row r="848" spans="3:6" ht="12.75">
      <c r="C848" s="305"/>
      <c r="F848" s="149"/>
    </row>
    <row r="849" spans="3:6" ht="12.75">
      <c r="C849" s="305"/>
      <c r="F849" s="149"/>
    </row>
    <row r="850" spans="3:6" ht="12.75">
      <c r="C850" s="305"/>
      <c r="F850" s="149"/>
    </row>
    <row r="851" spans="3:6" ht="12.75">
      <c r="C851" s="305"/>
      <c r="F851" s="149"/>
    </row>
    <row r="852" spans="3:6" ht="12.75">
      <c r="C852" s="305"/>
      <c r="F852" s="149"/>
    </row>
    <row r="853" spans="3:6" ht="12.75">
      <c r="C853" s="305"/>
      <c r="F853" s="149"/>
    </row>
    <row r="854" spans="3:6" ht="12.75">
      <c r="C854" s="305"/>
      <c r="F854" s="149"/>
    </row>
    <row r="855" spans="3:6" ht="12.75">
      <c r="C855" s="305"/>
      <c r="F855" s="149"/>
    </row>
    <row r="856" spans="3:6" ht="12.75">
      <c r="C856" s="305"/>
      <c r="F856" s="149"/>
    </row>
    <row r="857" spans="3:6" ht="12.75">
      <c r="C857" s="305"/>
      <c r="F857" s="149"/>
    </row>
    <row r="858" spans="3:6" ht="12.75">
      <c r="C858" s="305"/>
      <c r="F858" s="149"/>
    </row>
    <row r="859" spans="3:6" ht="12.75">
      <c r="C859" s="305"/>
      <c r="F859" s="149"/>
    </row>
    <row r="860" spans="3:6" ht="12.75">
      <c r="C860" s="305"/>
      <c r="F860" s="149"/>
    </row>
    <row r="861" spans="3:6" ht="12.75">
      <c r="C861" s="305"/>
      <c r="F861" s="149"/>
    </row>
    <row r="862" spans="3:6" ht="12.75">
      <c r="C862" s="305"/>
      <c r="F862" s="149"/>
    </row>
    <row r="863" spans="3:6" ht="12.75">
      <c r="C863" s="305"/>
      <c r="F863" s="149"/>
    </row>
    <row r="864" spans="3:6" ht="12.75">
      <c r="C864" s="305"/>
      <c r="F864" s="149"/>
    </row>
    <row r="865" spans="3:6" ht="12.75">
      <c r="C865" s="305"/>
      <c r="F865" s="149"/>
    </row>
    <row r="866" spans="3:6" ht="12.75">
      <c r="C866" s="305"/>
      <c r="F866" s="149"/>
    </row>
    <row r="867" spans="3:6" ht="12.75">
      <c r="C867" s="305"/>
      <c r="F867" s="149"/>
    </row>
    <row r="868" spans="3:6" ht="12.75">
      <c r="C868" s="305"/>
      <c r="F868" s="149"/>
    </row>
    <row r="869" spans="3:6" ht="12.75">
      <c r="C869" s="305"/>
      <c r="F869" s="149"/>
    </row>
    <row r="870" spans="3:6" ht="12.75">
      <c r="C870" s="305"/>
      <c r="F870" s="149"/>
    </row>
    <row r="871" spans="3:6" ht="12.75">
      <c r="C871" s="305"/>
      <c r="F871" s="149"/>
    </row>
    <row r="872" spans="3:6" ht="12.75">
      <c r="C872" s="305"/>
      <c r="F872" s="149"/>
    </row>
    <row r="873" spans="3:6" ht="12.75">
      <c r="C873" s="305"/>
      <c r="F873" s="149"/>
    </row>
    <row r="874" spans="3:6" ht="12.75">
      <c r="C874" s="305"/>
      <c r="F874" s="149"/>
    </row>
    <row r="875" spans="3:6" ht="12.75">
      <c r="C875" s="305"/>
      <c r="F875" s="149"/>
    </row>
    <row r="876" spans="3:6" ht="12.75">
      <c r="C876" s="305"/>
      <c r="F876" s="149"/>
    </row>
    <row r="877" spans="3:6" ht="12.75">
      <c r="C877" s="305"/>
      <c r="F877" s="149"/>
    </row>
    <row r="878" spans="3:6" ht="12.75">
      <c r="C878" s="305"/>
      <c r="F878" s="149"/>
    </row>
    <row r="879" spans="3:6" ht="12.75">
      <c r="C879" s="305"/>
      <c r="F879" s="149"/>
    </row>
    <row r="880" spans="3:6" ht="12.75">
      <c r="C880" s="305"/>
      <c r="F880" s="149"/>
    </row>
    <row r="881" spans="3:6" ht="12.75">
      <c r="C881" s="305"/>
      <c r="F881" s="149"/>
    </row>
    <row r="882" spans="3:6" ht="12.75">
      <c r="C882" s="305"/>
      <c r="F882" s="149"/>
    </row>
    <row r="883" spans="3:6" ht="12.75">
      <c r="C883" s="305"/>
      <c r="F883" s="149"/>
    </row>
    <row r="884" spans="3:6" ht="12.75">
      <c r="C884" s="305"/>
      <c r="F884" s="149"/>
    </row>
    <row r="885" spans="3:6" ht="12.75">
      <c r="C885" s="305"/>
      <c r="F885" s="149"/>
    </row>
    <row r="886" spans="3:6" ht="12.75">
      <c r="C886" s="305"/>
      <c r="F886" s="149"/>
    </row>
    <row r="887" spans="3:6" ht="12.75">
      <c r="C887" s="305"/>
      <c r="F887" s="149"/>
    </row>
    <row r="888" spans="3:6" ht="12.75">
      <c r="C888" s="305"/>
      <c r="F888" s="149"/>
    </row>
    <row r="889" spans="3:6" ht="12.75">
      <c r="C889" s="305"/>
      <c r="F889" s="149"/>
    </row>
    <row r="890" spans="3:6" ht="12.75">
      <c r="C890" s="305"/>
      <c r="F890" s="149"/>
    </row>
    <row r="891" spans="3:6" ht="12.75">
      <c r="C891" s="305"/>
      <c r="F891" s="149"/>
    </row>
    <row r="892" spans="3:6" ht="12.75">
      <c r="C892" s="305"/>
      <c r="F892" s="149"/>
    </row>
    <row r="893" spans="3:6" ht="12.75">
      <c r="C893" s="305"/>
      <c r="F893" s="149"/>
    </row>
    <row r="894" spans="3:6" ht="12.75">
      <c r="C894" s="305"/>
      <c r="F894" s="149"/>
    </row>
    <row r="895" spans="3:6" ht="12.75">
      <c r="C895" s="305"/>
      <c r="F895" s="149"/>
    </row>
    <row r="896" spans="3:6" ht="12.75">
      <c r="C896" s="305"/>
      <c r="F896" s="149"/>
    </row>
    <row r="897" spans="3:6" ht="12.75">
      <c r="C897" s="305"/>
      <c r="F897" s="149"/>
    </row>
    <row r="898" spans="3:6" ht="12.75">
      <c r="C898" s="305"/>
      <c r="F898" s="149"/>
    </row>
    <row r="899" spans="3:6" ht="12.75">
      <c r="C899" s="305"/>
      <c r="F899" s="149"/>
    </row>
    <row r="900" spans="3:6" ht="12.75">
      <c r="C900" s="305"/>
      <c r="F900" s="149"/>
    </row>
    <row r="901" spans="3:6" ht="12.75">
      <c r="C901" s="305"/>
      <c r="F901" s="149"/>
    </row>
    <row r="902" spans="3:6" ht="12.75">
      <c r="C902" s="305"/>
      <c r="F902" s="149"/>
    </row>
    <row r="903" spans="3:6" ht="12.75">
      <c r="C903" s="305"/>
      <c r="F903" s="149"/>
    </row>
    <row r="904" spans="3:6" ht="12.75">
      <c r="C904" s="305"/>
      <c r="F904" s="149"/>
    </row>
    <row r="905" spans="3:6" ht="12.75">
      <c r="C905" s="305"/>
      <c r="F905" s="149"/>
    </row>
    <row r="906" spans="3:6" ht="12.75">
      <c r="C906" s="305"/>
      <c r="F906" s="149"/>
    </row>
    <row r="907" spans="3:6" ht="12.75">
      <c r="C907" s="305"/>
      <c r="F907" s="149"/>
    </row>
    <row r="908" spans="3:6" ht="12.75">
      <c r="C908" s="305"/>
      <c r="F908" s="149"/>
    </row>
    <row r="909" spans="3:6" ht="12.75">
      <c r="C909" s="305"/>
      <c r="F909" s="149"/>
    </row>
    <row r="910" spans="3:6" ht="12.75">
      <c r="C910" s="305"/>
      <c r="F910" s="149"/>
    </row>
    <row r="911" spans="3:6" ht="12.75">
      <c r="C911" s="305"/>
      <c r="F911" s="149"/>
    </row>
    <row r="912" spans="3:6" ht="12.75">
      <c r="C912" s="305"/>
      <c r="F912" s="149"/>
    </row>
    <row r="913" spans="3:6" ht="12.75">
      <c r="C913" s="305"/>
      <c r="F913" s="149"/>
    </row>
    <row r="914" spans="3:6" ht="12.75">
      <c r="C914" s="305"/>
      <c r="F914" s="149"/>
    </row>
    <row r="915" spans="3:6" ht="12.75">
      <c r="C915" s="305"/>
      <c r="F915" s="149"/>
    </row>
    <row r="916" spans="3:6" ht="12.75">
      <c r="C916" s="305"/>
      <c r="F916" s="149"/>
    </row>
    <row r="917" spans="3:6" ht="12.75">
      <c r="C917" s="305"/>
      <c r="F917" s="149"/>
    </row>
    <row r="918" spans="3:6" ht="12.75">
      <c r="C918" s="305"/>
      <c r="F918" s="149"/>
    </row>
    <row r="919" spans="3:6" ht="12.75">
      <c r="C919" s="305"/>
      <c r="F919" s="149"/>
    </row>
    <row r="920" spans="3:6" ht="12.75">
      <c r="C920" s="305"/>
      <c r="F920" s="149"/>
    </row>
    <row r="921" spans="3:6" ht="12.75">
      <c r="C921" s="305"/>
      <c r="F921" s="149"/>
    </row>
    <row r="922" spans="3:6" ht="12.75">
      <c r="C922" s="305"/>
      <c r="F922" s="149"/>
    </row>
    <row r="923" spans="3:6" ht="12.75">
      <c r="C923" s="305"/>
      <c r="F923" s="149"/>
    </row>
    <row r="924" spans="3:6" ht="12.75">
      <c r="C924" s="305"/>
      <c r="F924" s="149"/>
    </row>
    <row r="925" spans="3:6" ht="12.75">
      <c r="C925" s="305"/>
      <c r="F925" s="149"/>
    </row>
    <row r="926" spans="3:6" ht="12.75">
      <c r="C926" s="305"/>
      <c r="F926" s="149"/>
    </row>
    <row r="927" spans="3:6" ht="12.75">
      <c r="C927" s="305"/>
      <c r="F927" s="149"/>
    </row>
    <row r="928" spans="3:6" ht="12.75">
      <c r="C928" s="305"/>
      <c r="F928" s="149"/>
    </row>
    <row r="929" spans="3:6" ht="12.75">
      <c r="C929" s="305"/>
      <c r="F929" s="149"/>
    </row>
    <row r="930" spans="3:6" ht="12.75">
      <c r="C930" s="305"/>
      <c r="F930" s="149"/>
    </row>
    <row r="931" spans="3:6" ht="12.75">
      <c r="C931" s="305"/>
      <c r="F931" s="149"/>
    </row>
    <row r="932" spans="3:6" ht="12.75">
      <c r="C932" s="305"/>
      <c r="F932" s="149"/>
    </row>
    <row r="933" spans="3:6" ht="12.75">
      <c r="C933" s="305"/>
      <c r="F933" s="149"/>
    </row>
    <row r="934" spans="3:6" ht="12.75">
      <c r="C934" s="305"/>
      <c r="F934" s="149"/>
    </row>
    <row r="935" spans="3:6" ht="12.75">
      <c r="C935" s="305"/>
      <c r="F935" s="149"/>
    </row>
    <row r="936" spans="3:6" ht="12.75">
      <c r="C936" s="305"/>
      <c r="F936" s="149"/>
    </row>
    <row r="937" spans="3:6" ht="12.75">
      <c r="C937" s="305"/>
      <c r="F937" s="149"/>
    </row>
    <row r="938" spans="3:6" ht="12.75">
      <c r="C938" s="305"/>
      <c r="F938" s="149"/>
    </row>
    <row r="939" spans="3:6" ht="12.75">
      <c r="C939" s="305"/>
      <c r="F939" s="149"/>
    </row>
    <row r="940" spans="3:6" ht="12.75">
      <c r="C940" s="305"/>
      <c r="F940" s="149"/>
    </row>
    <row r="941" spans="3:6" ht="12.75">
      <c r="C941" s="305"/>
      <c r="F941" s="149"/>
    </row>
    <row r="942" spans="3:6" ht="12.75">
      <c r="C942" s="305"/>
      <c r="F942" s="149"/>
    </row>
    <row r="943" spans="3:6" ht="12.75">
      <c r="C943" s="305"/>
      <c r="F943" s="149"/>
    </row>
    <row r="944" spans="3:6" ht="12.75">
      <c r="C944" s="305"/>
      <c r="F944" s="149"/>
    </row>
    <row r="945" spans="3:6" ht="12.75">
      <c r="C945" s="305"/>
      <c r="F945" s="149"/>
    </row>
    <row r="946" spans="3:6" ht="12.75">
      <c r="C946" s="305"/>
      <c r="F946" s="149"/>
    </row>
    <row r="947" spans="3:6" ht="12.75">
      <c r="C947" s="305"/>
      <c r="F947" s="149"/>
    </row>
    <row r="948" spans="3:6" ht="12.75">
      <c r="C948" s="305"/>
      <c r="F948" s="149"/>
    </row>
    <row r="949" spans="3:6" ht="12.75">
      <c r="C949" s="305"/>
      <c r="F949" s="149"/>
    </row>
    <row r="950" spans="3:6" ht="12.75">
      <c r="C950" s="305"/>
      <c r="F950" s="149"/>
    </row>
    <row r="951" spans="3:6" ht="12.75">
      <c r="C951" s="305"/>
      <c r="F951" s="149"/>
    </row>
    <row r="952" spans="3:6" ht="12.75">
      <c r="C952" s="305"/>
      <c r="F952" s="149"/>
    </row>
    <row r="953" spans="3:6" ht="12.75">
      <c r="C953" s="305"/>
      <c r="F953" s="149"/>
    </row>
    <row r="954" spans="3:6" ht="12.75">
      <c r="C954" s="305"/>
      <c r="F954" s="149"/>
    </row>
    <row r="955" spans="3:6" ht="12.75">
      <c r="C955" s="305"/>
      <c r="F955" s="149"/>
    </row>
    <row r="956" spans="3:6" ht="12.75">
      <c r="C956" s="305"/>
      <c r="F956" s="149"/>
    </row>
    <row r="957" spans="3:6" ht="12.75">
      <c r="C957" s="305"/>
      <c r="F957" s="149"/>
    </row>
    <row r="958" spans="3:6" ht="12.75">
      <c r="C958" s="305"/>
      <c r="F958" s="149"/>
    </row>
    <row r="959" spans="3:6" ht="12.75">
      <c r="C959" s="305"/>
      <c r="F959" s="149"/>
    </row>
    <row r="960" spans="3:6" ht="12.75">
      <c r="C960" s="305"/>
      <c r="F960" s="149"/>
    </row>
    <row r="961" spans="3:6" ht="12.75">
      <c r="C961" s="305"/>
      <c r="F961" s="149"/>
    </row>
    <row r="962" spans="3:6" ht="12.75">
      <c r="C962" s="305"/>
      <c r="F962" s="149"/>
    </row>
    <row r="963" spans="3:6" ht="12.75">
      <c r="C963" s="305"/>
      <c r="F963" s="149"/>
    </row>
    <row r="964" spans="3:6" ht="12.75">
      <c r="C964" s="305"/>
      <c r="F964" s="149"/>
    </row>
    <row r="965" spans="3:6" ht="12.75">
      <c r="C965" s="305"/>
      <c r="F965" s="149"/>
    </row>
    <row r="966" spans="3:6" ht="12.75">
      <c r="C966" s="305"/>
      <c r="F966" s="149"/>
    </row>
    <row r="967" spans="3:6" ht="12.75">
      <c r="C967" s="305"/>
      <c r="F967" s="149"/>
    </row>
    <row r="968" spans="3:6" ht="12.75">
      <c r="C968" s="305"/>
      <c r="F968" s="149"/>
    </row>
    <row r="969" spans="3:6" ht="12.75">
      <c r="C969" s="305"/>
      <c r="F969" s="149"/>
    </row>
    <row r="970" spans="3:6" ht="12.75">
      <c r="C970" s="305"/>
      <c r="F970" s="149"/>
    </row>
    <row r="971" spans="3:6" ht="12.75">
      <c r="C971" s="305"/>
      <c r="F971" s="149"/>
    </row>
    <row r="972" spans="3:6" ht="12.75">
      <c r="C972" s="305"/>
      <c r="F972" s="149"/>
    </row>
    <row r="973" spans="3:6" ht="12.75">
      <c r="C973" s="305"/>
      <c r="F973" s="149"/>
    </row>
    <row r="974" spans="3:6" ht="12.75">
      <c r="C974" s="305"/>
      <c r="F974" s="149"/>
    </row>
    <row r="975" spans="3:6" ht="12.75">
      <c r="C975" s="305"/>
      <c r="F975" s="149"/>
    </row>
    <row r="976" spans="3:6" ht="12.75">
      <c r="C976" s="305"/>
      <c r="F976" s="149"/>
    </row>
    <row r="977" spans="3:6" ht="12.75">
      <c r="C977" s="305"/>
      <c r="F977" s="149"/>
    </row>
    <row r="978" spans="3:6" ht="12.75">
      <c r="C978" s="305"/>
      <c r="F978" s="149"/>
    </row>
    <row r="979" spans="3:6" ht="12.75">
      <c r="C979" s="305"/>
      <c r="F979" s="149"/>
    </row>
    <row r="980" spans="3:6" ht="12.75">
      <c r="C980" s="305"/>
      <c r="F980" s="149"/>
    </row>
    <row r="981" spans="3:6" ht="12.75">
      <c r="C981" s="305"/>
      <c r="F981" s="149"/>
    </row>
    <row r="982" spans="3:6" ht="12.75">
      <c r="C982" s="305"/>
      <c r="F982" s="149"/>
    </row>
    <row r="983" spans="3:6" ht="12.75">
      <c r="C983" s="305"/>
      <c r="F983" s="149"/>
    </row>
    <row r="984" spans="3:6" ht="12.75">
      <c r="C984" s="305"/>
      <c r="F984" s="149"/>
    </row>
    <row r="985" spans="3:6" ht="12.75">
      <c r="C985" s="305"/>
      <c r="F985" s="149"/>
    </row>
    <row r="986" spans="3:6" ht="12.75">
      <c r="C986" s="305"/>
      <c r="F986" s="149"/>
    </row>
    <row r="987" spans="3:6" ht="12.75">
      <c r="C987" s="305"/>
      <c r="F987" s="149"/>
    </row>
    <row r="988" spans="3:6" ht="12.75">
      <c r="C988" s="305"/>
      <c r="F988" s="149"/>
    </row>
    <row r="989" spans="3:6" ht="12.75">
      <c r="C989" s="305"/>
      <c r="F989" s="149"/>
    </row>
    <row r="990" spans="3:6" ht="12.75">
      <c r="C990" s="305"/>
      <c r="F990" s="149"/>
    </row>
    <row r="991" spans="3:6" ht="12.75">
      <c r="C991" s="305"/>
      <c r="F991" s="149"/>
    </row>
    <row r="992" spans="3:6" ht="12.75">
      <c r="C992" s="305"/>
      <c r="F992" s="149"/>
    </row>
    <row r="993" spans="3:6" ht="12.75">
      <c r="C993" s="305"/>
      <c r="F993" s="149"/>
    </row>
    <row r="994" spans="3:6" ht="12.75">
      <c r="C994" s="305"/>
      <c r="F994" s="149"/>
    </row>
    <row r="995" spans="3:6" ht="12.75">
      <c r="C995" s="305"/>
      <c r="F995" s="149"/>
    </row>
    <row r="996" spans="3:6" ht="12.75">
      <c r="C996" s="305"/>
      <c r="F996" s="149"/>
    </row>
    <row r="997" spans="3:6" ht="12.75">
      <c r="C997" s="305"/>
      <c r="F997" s="149"/>
    </row>
    <row r="998" spans="3:6" ht="12.75">
      <c r="C998" s="305"/>
      <c r="F998" s="149"/>
    </row>
    <row r="999" spans="3:6" ht="12.75">
      <c r="C999" s="305"/>
      <c r="F999" s="149"/>
    </row>
    <row r="1000" spans="3:6" ht="12.75">
      <c r="C1000" s="305"/>
      <c r="F1000" s="149"/>
    </row>
    <row r="1001" spans="3:6" ht="12.75">
      <c r="C1001" s="305"/>
      <c r="F1001" s="149"/>
    </row>
    <row r="1002" spans="3:6" ht="12.75">
      <c r="C1002" s="305"/>
      <c r="F1002" s="149"/>
    </row>
    <row r="1003" spans="3:6" ht="12.75">
      <c r="C1003" s="305"/>
      <c r="F1003" s="149"/>
    </row>
    <row r="1004" spans="3:6" ht="12.75">
      <c r="C1004" s="305"/>
      <c r="F1004" s="149"/>
    </row>
    <row r="1005" spans="3:6" ht="12.75">
      <c r="C1005" s="305"/>
      <c r="F1005" s="149"/>
    </row>
    <row r="1006" spans="3:6" ht="12.75">
      <c r="C1006" s="305"/>
      <c r="F1006" s="149"/>
    </row>
    <row r="1007" spans="3:6" ht="12.75">
      <c r="C1007" s="305"/>
      <c r="F1007" s="149"/>
    </row>
    <row r="1008" spans="3:6" ht="12.75">
      <c r="C1008" s="305"/>
      <c r="F1008" s="149"/>
    </row>
    <row r="1009" spans="3:6" ht="12.75">
      <c r="C1009" s="305"/>
      <c r="F1009" s="149"/>
    </row>
    <row r="1010" spans="3:6" ht="12.75">
      <c r="C1010" s="305"/>
      <c r="F1010" s="149"/>
    </row>
  </sheetData>
  <autoFilter ref="B4:F200" xr:uid="{00000000-0009-0000-0000-00000A000000}"/>
  <mergeCells count="1">
    <mergeCell ref="B1:F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190"/>
  <sheetViews>
    <sheetView tabSelected="1" workbookViewId="0"/>
  </sheetViews>
  <sheetFormatPr defaultColWidth="12.5703125" defaultRowHeight="15.75" customHeight="1"/>
  <cols>
    <col min="1" max="1" width="3.7109375" customWidth="1"/>
    <col min="2" max="2" width="18.85546875" customWidth="1"/>
    <col min="3" max="3" width="34" customWidth="1"/>
    <col min="4" max="4" width="31.5703125" customWidth="1"/>
    <col min="5" max="5" width="36.42578125" customWidth="1"/>
  </cols>
  <sheetData>
    <row r="1" spans="1:21">
      <c r="A1" s="306" t="s">
        <v>0</v>
      </c>
      <c r="B1" s="307" t="s">
        <v>1160</v>
      </c>
      <c r="C1" s="306" t="s">
        <v>5</v>
      </c>
      <c r="D1" s="306" t="s">
        <v>1161</v>
      </c>
      <c r="E1" s="308" t="s">
        <v>1162</v>
      </c>
    </row>
    <row r="2" spans="1:21">
      <c r="A2" s="6">
        <v>1</v>
      </c>
      <c r="B2" s="51">
        <v>811211365</v>
      </c>
      <c r="C2" s="309" t="s">
        <v>740</v>
      </c>
      <c r="D2" s="11" t="s">
        <v>740</v>
      </c>
      <c r="E2" s="51" t="str">
        <f t="array" ref="E2">_xlfn.XLOOKUP(B2,Sheet19!$A$2:$A$235,Sheet19!$B$2:$B$235)</f>
        <v>Compack Enterprise Diamond Granular</v>
      </c>
      <c r="F2" s="27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>
      <c r="A3" s="6">
        <v>2</v>
      </c>
      <c r="B3" s="51">
        <v>811542899</v>
      </c>
      <c r="C3" s="51" t="s">
        <v>1163</v>
      </c>
      <c r="D3" s="51" t="s">
        <v>550</v>
      </c>
      <c r="E3" s="51" t="str">
        <f t="array" ref="E3">_xlfn.XLOOKUP(B3,Sheet19!$A$2:$A$235,Sheet19!$B$2:$B$235)</f>
        <v>Compack Enterprise Silver Granular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>
      <c r="A4" s="6">
        <v>3</v>
      </c>
      <c r="B4" s="51">
        <v>8112079591</v>
      </c>
      <c r="C4" s="11" t="s">
        <v>410</v>
      </c>
      <c r="D4" s="51" t="s">
        <v>411</v>
      </c>
      <c r="E4" s="51" t="str">
        <f t="array" ref="E4">_xlfn.XLOOKUP(B4,Sheet19!$A$2:$A$235,Sheet19!$B$2:$B$235)</f>
        <v>Compack Enterprise Silver Granular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>
      <c r="A5" s="6">
        <v>4</v>
      </c>
      <c r="B5" s="51">
        <v>8112079595</v>
      </c>
      <c r="C5" s="11" t="s">
        <v>1164</v>
      </c>
      <c r="D5" s="51" t="s">
        <v>564</v>
      </c>
      <c r="E5" s="51" t="str">
        <f t="array" ref="E5">_xlfn.XLOOKUP(B5,Sheet19!$A$2:$A$235,Sheet19!$B$2:$B$235)</f>
        <v>Compack Enterprise Silver Granular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>
      <c r="A6" s="6">
        <v>5</v>
      </c>
      <c r="B6" s="51">
        <v>8112079597</v>
      </c>
      <c r="C6" s="51" t="s">
        <v>1165</v>
      </c>
      <c r="D6" s="309" t="s">
        <v>30</v>
      </c>
      <c r="E6" s="51" t="str">
        <f t="array" ref="E6">_xlfn.XLOOKUP(B6,Sheet19!$A$2:$A$235,Sheet19!$B$2:$B$235)</f>
        <v>Ekstra_Kuota_Berlangganan</v>
      </c>
      <c r="F6" s="2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>
      <c r="A7" s="6">
        <v>6</v>
      </c>
      <c r="B7" s="51">
        <v>8112110398</v>
      </c>
      <c r="C7" s="51" t="s">
        <v>97</v>
      </c>
      <c r="D7" s="51" t="s">
        <v>98</v>
      </c>
      <c r="E7" s="51" t="str">
        <f t="array" ref="E7">_xlfn.XLOOKUP(B7,Sheet19!$A$2:$A$235,Sheet19!$B$2:$B$235)</f>
        <v>Compack Enterprise Silver Granular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>
      <c r="A8" s="6">
        <v>7</v>
      </c>
      <c r="B8" s="51">
        <v>8112111080</v>
      </c>
      <c r="C8" s="51"/>
      <c r="D8" s="51" t="s">
        <v>239</v>
      </c>
      <c r="E8" s="51" t="str">
        <f t="array" ref="E8">_xlfn.XLOOKUP(B8,Sheet19!$A$2:$A$235,Sheet19!$B$2:$B$235)</f>
        <v>Compack Enterprise Silver Granular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>
      <c r="A9" s="6">
        <v>8</v>
      </c>
      <c r="B9" s="51">
        <v>8112111088</v>
      </c>
      <c r="C9" s="50" t="s">
        <v>1166</v>
      </c>
      <c r="D9" s="309" t="s">
        <v>58</v>
      </c>
      <c r="E9" s="51" t="str">
        <f t="array" ref="E9">_xlfn.XLOOKUP(B9,Sheet19!$A$2:$A$235,Sheet19!$B$2:$B$235)</f>
        <v>Compack Enterprise Diamond Granular</v>
      </c>
      <c r="F9" s="2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>
      <c r="A10" s="6">
        <v>9</v>
      </c>
      <c r="B10" s="51">
        <v>8112111090</v>
      </c>
      <c r="C10" s="51"/>
      <c r="D10" s="51" t="s">
        <v>239</v>
      </c>
      <c r="E10" s="51" t="str">
        <f t="array" ref="E10">_xlfn.XLOOKUP(B10,Sheet19!$A$2:$A$235,Sheet19!$B$2:$B$235)</f>
        <v>Compack Enterprise Silver Granular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>
      <c r="A11" s="6">
        <v>10</v>
      </c>
      <c r="B11" s="51">
        <v>8112111136</v>
      </c>
      <c r="C11" s="51" t="s">
        <v>1167</v>
      </c>
      <c r="D11" s="51" t="s">
        <v>339</v>
      </c>
      <c r="E11" s="51" t="str">
        <f t="array" ref="E11">_xlfn.XLOOKUP(B11,Sheet19!$A$2:$A$235,Sheet19!$B$2:$B$235)</f>
        <v>Compack Enterprise Silver Granular</v>
      </c>
      <c r="F11" s="2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>
      <c r="A12" s="6">
        <v>11</v>
      </c>
      <c r="B12" s="51">
        <v>8112111152</v>
      </c>
      <c r="C12" s="33" t="s">
        <v>1168</v>
      </c>
      <c r="D12" s="51" t="s">
        <v>400</v>
      </c>
      <c r="E12" s="51" t="str">
        <f t="array" ref="E12">_xlfn.XLOOKUP(B12,Sheet19!$A$2:$A$235,Sheet19!$B$2:$B$235)</f>
        <v>Compack Enterprise Silver Granular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>
      <c r="A13" s="6">
        <v>13</v>
      </c>
      <c r="B13" s="51">
        <v>8112113081</v>
      </c>
      <c r="C13" s="11" t="s">
        <v>1169</v>
      </c>
      <c r="D13" s="51" t="s">
        <v>519</v>
      </c>
      <c r="E13" s="51" t="str">
        <f t="array" ref="E13">_xlfn.XLOOKUP(B13,Sheet19!$A$2:$A$235,Sheet19!$B$2:$B$235)</f>
        <v>Compack Enterprise Silver Granular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>
      <c r="A14" s="6">
        <v>14</v>
      </c>
      <c r="B14" s="51">
        <v>8112113083</v>
      </c>
      <c r="C14" s="51" t="s">
        <v>53</v>
      </c>
      <c r="D14" s="51" t="s">
        <v>56</v>
      </c>
      <c r="E14" s="51" t="str">
        <f t="array" ref="E14">_xlfn.XLOOKUP(B14,Sheet19!$A$2:$A$235,Sheet19!$B$2:$B$235)</f>
        <v>Compack Enterprise Silver Granular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>
      <c r="A15" s="6">
        <v>15</v>
      </c>
      <c r="B15" s="51">
        <v>8112113084</v>
      </c>
      <c r="C15" s="11" t="s">
        <v>740</v>
      </c>
      <c r="D15" s="309" t="s">
        <v>1170</v>
      </c>
      <c r="E15" s="51" t="str">
        <f t="array" ref="E15">_xlfn.XLOOKUP(B15,Sheet19!$A$2:$A$235,Sheet19!$B$2:$B$235)</f>
        <v>Compack Enterprise Silver Granular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>
      <c r="A16" s="6">
        <v>16</v>
      </c>
      <c r="B16" s="51">
        <v>8112113085</v>
      </c>
      <c r="C16" s="51" t="s">
        <v>1171</v>
      </c>
      <c r="D16" s="51" t="s">
        <v>417</v>
      </c>
      <c r="E16" s="51" t="str">
        <f t="array" ref="E16">_xlfn.XLOOKUP(B16,Sheet19!$A$2:$A$235,Sheet19!$B$2:$B$235)</f>
        <v>Compack Enterprise Silver Granular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>
      <c r="A17" s="6">
        <v>17</v>
      </c>
      <c r="B17" s="51">
        <v>8112113086</v>
      </c>
      <c r="C17" s="51" t="s">
        <v>1172</v>
      </c>
      <c r="D17" s="11" t="s">
        <v>495</v>
      </c>
      <c r="E17" s="51" t="str">
        <f t="array" ref="E17">_xlfn.XLOOKUP(B17,Sheet19!$A$2:$A$235,Sheet19!$B$2:$B$235)</f>
        <v>Compack Enterprise Silver Granular</v>
      </c>
      <c r="F17" s="2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>
      <c r="A18" s="6">
        <v>18</v>
      </c>
      <c r="B18" s="51">
        <v>8112113087</v>
      </c>
      <c r="C18" s="51" t="s">
        <v>1173</v>
      </c>
      <c r="D18" s="51" t="s">
        <v>1174</v>
      </c>
      <c r="E18" s="51" t="str">
        <f t="array" ref="E18">_xlfn.XLOOKUP(B18,Sheet19!$A$2:$A$235,Sheet19!$B$2:$B$235)</f>
        <v>Compack Enterprise Silver Granular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6">
        <v>19</v>
      </c>
      <c r="B19" s="51">
        <v>8112113089</v>
      </c>
      <c r="C19" s="309" t="s">
        <v>1048</v>
      </c>
      <c r="D19" s="11" t="s">
        <v>740</v>
      </c>
      <c r="E19" s="51" t="str">
        <f t="array" ref="E19">_xlfn.XLOOKUP(B19,Sheet19!$A$2:$A$235,Sheet19!$B$2:$B$235)</f>
        <v>VPN Mobile PBX Pack 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6">
        <v>20</v>
      </c>
      <c r="B20" s="51">
        <v>8112113091</v>
      </c>
      <c r="C20" s="309" t="s">
        <v>740</v>
      </c>
      <c r="D20" s="11" t="s">
        <v>740</v>
      </c>
      <c r="E20" s="51" t="str">
        <f t="array" ref="E20">_xlfn.XLOOKUP(B20,Sheet19!$A$2:$A$235,Sheet19!$B$2:$B$235)</f>
        <v>Compack Enterprise Silver Granular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>
      <c r="A21" s="6">
        <v>21</v>
      </c>
      <c r="B21" s="51">
        <v>8112113092</v>
      </c>
      <c r="C21" s="51" t="s">
        <v>478</v>
      </c>
      <c r="D21" s="51" t="s">
        <v>479</v>
      </c>
      <c r="E21" s="51" t="str">
        <f t="array" ref="E21">_xlfn.XLOOKUP(B21,Sheet19!$A$2:$A$235,Sheet19!$B$2:$B$235)</f>
        <v>Compack Enterprise Silver Granular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>
      <c r="A22" s="6">
        <v>22</v>
      </c>
      <c r="B22" s="51">
        <v>8112113093</v>
      </c>
      <c r="C22" s="51" t="s">
        <v>1175</v>
      </c>
      <c r="D22" s="51" t="s">
        <v>125</v>
      </c>
      <c r="E22" s="51" t="str">
        <f t="array" ref="E22">_xlfn.XLOOKUP(B22,Sheet19!$A$2:$A$235,Sheet19!$B$2:$B$235)</f>
        <v>Compack Enterprise Silver Granular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6">
        <v>23</v>
      </c>
      <c r="B23" s="11">
        <v>8112113080</v>
      </c>
      <c r="C23" s="59" t="s">
        <v>415</v>
      </c>
      <c r="D23" s="51" t="s">
        <v>1029</v>
      </c>
      <c r="E23" s="51" t="str">
        <f t="array" ref="E23">_xlfn.XLOOKUP(B23,Sheet19!$A$2:$A$235,Sheet19!$B$2:$B$235)</f>
        <v>Compack Enterprise Silver Granular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6">
        <v>24</v>
      </c>
      <c r="B24" s="51">
        <v>8112113094</v>
      </c>
      <c r="C24" s="309" t="s">
        <v>1059</v>
      </c>
      <c r="D24" s="11" t="s">
        <v>740</v>
      </c>
      <c r="E24" s="51" t="str">
        <f t="array" ref="E24">_xlfn.XLOOKUP(B24,Sheet19!$A$2:$A$235,Sheet19!$B$2:$B$235)</f>
        <v>Compack Enterprise Platinum Granular</v>
      </c>
      <c r="F24" s="2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6">
        <v>25</v>
      </c>
      <c r="B25" s="51">
        <v>8112113095</v>
      </c>
      <c r="C25" s="11" t="s">
        <v>63</v>
      </c>
      <c r="D25" s="309" t="s">
        <v>1176</v>
      </c>
      <c r="E25" s="51" t="str">
        <f t="array" ref="E25">_xlfn.XLOOKUP(B25,Sheet19!$A$2:$A$235,Sheet19!$B$2:$B$235)</f>
        <v>Compack Enterprise Silver Granular</v>
      </c>
      <c r="F25" s="2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6">
        <v>26</v>
      </c>
      <c r="B26" s="51">
        <v>8112113097</v>
      </c>
      <c r="C26" s="51" t="s">
        <v>28</v>
      </c>
      <c r="D26" s="51" t="s">
        <v>29</v>
      </c>
      <c r="E26" s="51" t="str">
        <f t="array" ref="E26">_xlfn.XLOOKUP(B26,Sheet19!$A$2:$A$235,Sheet19!$B$2:$B$235)</f>
        <v>Compack Enterprise Silver Granular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6">
        <v>27</v>
      </c>
      <c r="B27" s="51">
        <v>8112113098</v>
      </c>
      <c r="C27" s="310" t="s">
        <v>733</v>
      </c>
      <c r="D27" s="11" t="s">
        <v>740</v>
      </c>
      <c r="E27" s="51" t="str">
        <f t="array" ref="E27">_xlfn.XLOOKUP(B27,Sheet19!$A$2:$A$235,Sheet19!$B$2:$B$235)</f>
        <v>VPN Mobile PBX Pack 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6">
        <v>28</v>
      </c>
      <c r="B28" s="51">
        <v>8112113631</v>
      </c>
      <c r="C28" s="51" t="s">
        <v>271</v>
      </c>
      <c r="D28" s="51" t="s">
        <v>272</v>
      </c>
      <c r="E28" s="51" t="str">
        <f t="array" ref="E28">_xlfn.XLOOKUP(B28,Sheet19!$A$2:$A$235,Sheet19!$B$2:$B$235)</f>
        <v>Compack Enterprise Silver Granular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6">
        <v>29</v>
      </c>
      <c r="B29" s="51">
        <v>8112116754</v>
      </c>
      <c r="C29" s="51" t="s">
        <v>429</v>
      </c>
      <c r="D29" s="51" t="s">
        <v>430</v>
      </c>
      <c r="E29" s="51" t="str">
        <f t="array" ref="E29">_xlfn.XLOOKUP(B29,Sheet19!$A$2:$A$235,Sheet19!$B$2:$B$235)</f>
        <v>Compack Enterprise Silver Granular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6">
        <v>30</v>
      </c>
      <c r="B30" s="51">
        <v>8112116758</v>
      </c>
      <c r="C30" s="11" t="s">
        <v>1177</v>
      </c>
      <c r="D30" s="51" t="s">
        <v>370</v>
      </c>
      <c r="E30" s="51" t="str">
        <f t="array" ref="E30">_xlfn.XLOOKUP(B30,Sheet19!$A$2:$A$235,Sheet19!$B$2:$B$235)</f>
        <v>Compack Enterprise Silver Granular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6">
        <v>31</v>
      </c>
      <c r="B31" s="51">
        <v>8112116759</v>
      </c>
      <c r="C31" s="51" t="s">
        <v>80</v>
      </c>
      <c r="D31" s="51" t="s">
        <v>81</v>
      </c>
      <c r="E31" s="51" t="str">
        <f t="array" ref="E31">_xlfn.XLOOKUP(B31,Sheet19!$A$2:$A$235,Sheet19!$B$2:$B$235)</f>
        <v>Compack Enterprise Silver Granular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6">
        <v>32</v>
      </c>
      <c r="B32" s="51">
        <v>8112119801</v>
      </c>
      <c r="C32" s="51" t="s">
        <v>1178</v>
      </c>
      <c r="D32" s="51" t="s">
        <v>412</v>
      </c>
      <c r="E32" s="51" t="str">
        <f t="array" ref="E32">_xlfn.XLOOKUP(B32,Sheet19!$A$2:$A$235,Sheet19!$B$2:$B$235)</f>
        <v>Compack Enterprise Silver Granular</v>
      </c>
      <c r="F32" s="2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6">
        <v>33</v>
      </c>
      <c r="B33" s="51">
        <v>8112119802</v>
      </c>
      <c r="C33" s="51" t="s">
        <v>1179</v>
      </c>
      <c r="D33" s="11" t="s">
        <v>500</v>
      </c>
      <c r="E33" s="51" t="str">
        <f t="array" ref="E33">_xlfn.XLOOKUP(B33,Sheet19!$A$2:$A$235,Sheet19!$B$2:$B$235)</f>
        <v>Compack Enterprise Silver Granular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6">
        <v>34</v>
      </c>
      <c r="B34" s="51">
        <v>8112119804</v>
      </c>
      <c r="C34" s="11" t="s">
        <v>1180</v>
      </c>
      <c r="D34" s="51" t="s">
        <v>126</v>
      </c>
      <c r="E34" s="51" t="str">
        <f t="array" ref="E34">_xlfn.XLOOKUP(B34,Sheet19!$A$2:$A$235,Sheet19!$B$2:$B$235)</f>
        <v>Compack Enterprise Silver Granular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>
      <c r="A35" s="6">
        <v>35</v>
      </c>
      <c r="B35" s="51">
        <v>8112119805</v>
      </c>
      <c r="C35" s="51" t="s">
        <v>1181</v>
      </c>
      <c r="D35" s="51" t="s">
        <v>378</v>
      </c>
      <c r="E35" s="51" t="str">
        <f t="array" ref="E35">_xlfn.XLOOKUP(B35,Sheet19!$A$2:$A$235,Sheet19!$B$2:$B$235)</f>
        <v>Compack Enterprise Silver Granular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>
      <c r="A36" s="6">
        <v>36</v>
      </c>
      <c r="B36" s="51">
        <v>8112119888</v>
      </c>
      <c r="C36" s="310"/>
      <c r="D36" s="51" t="s">
        <v>1176</v>
      </c>
      <c r="E36" s="51" t="str">
        <f t="array" ref="E36">_xlfn.XLOOKUP(B36,Sheet19!$A$2:$A$235,Sheet19!$B$2:$B$235)</f>
        <v>Compack Enterprise Silver Granular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>
      <c r="A37" s="6">
        <v>37</v>
      </c>
      <c r="B37" s="51">
        <v>8112123915</v>
      </c>
      <c r="C37" s="51" t="s">
        <v>1182</v>
      </c>
      <c r="D37" s="309" t="s">
        <v>1183</v>
      </c>
      <c r="E37" s="51" t="str">
        <f t="array" ref="E37">_xlfn.XLOOKUP(B37,Sheet19!$A$2:$A$235,Sheet19!$B$2:$B$235)</f>
        <v>Compack Enterprise Silver Granular</v>
      </c>
      <c r="F37" s="2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6">
        <v>38</v>
      </c>
      <c r="B38" s="51">
        <v>8112123916</v>
      </c>
      <c r="C38" s="11" t="s">
        <v>230</v>
      </c>
      <c r="D38" s="51" t="s">
        <v>231</v>
      </c>
      <c r="E38" s="51" t="str">
        <f t="array" ref="E38">_xlfn.XLOOKUP(B38,Sheet19!$A$2:$A$235,Sheet19!$B$2:$B$235)</f>
        <v>Compack Enterprise Silver Granular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6">
        <v>39</v>
      </c>
      <c r="B39" s="51">
        <v>8112123918</v>
      </c>
      <c r="C39" s="51" t="s">
        <v>460</v>
      </c>
      <c r="D39" s="51" t="s">
        <v>461</v>
      </c>
      <c r="E39" s="51" t="str">
        <f t="array" ref="E39">_xlfn.XLOOKUP(B39,Sheet19!$A$2:$A$235,Sheet19!$B$2:$B$235)</f>
        <v>Compack Enterprise Silver Granular</v>
      </c>
      <c r="F39" s="2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6">
        <v>40</v>
      </c>
      <c r="B40" s="51">
        <v>8112123919</v>
      </c>
      <c r="C40" s="35" t="s">
        <v>425</v>
      </c>
      <c r="D40" s="51" t="s">
        <v>426</v>
      </c>
      <c r="E40" s="51" t="str">
        <f t="array" ref="E40">_xlfn.XLOOKUP(B40,Sheet19!$A$2:$A$235,Sheet19!$B$2:$B$235)</f>
        <v>Compack Enterprise Silver Granular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6">
        <v>41</v>
      </c>
      <c r="B41" s="51">
        <v>8112123921</v>
      </c>
      <c r="C41" s="51" t="s">
        <v>106</v>
      </c>
      <c r="D41" s="51" t="s">
        <v>107</v>
      </c>
      <c r="E41" s="51" t="str">
        <f t="array" ref="E41">_xlfn.XLOOKUP(B41,Sheet19!$A$2:$A$235,Sheet19!$B$2:$B$235)</f>
        <v>Compack Enterprise Silver Granular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6">
        <v>42</v>
      </c>
      <c r="B42" s="51">
        <v>8112123923</v>
      </c>
      <c r="C42" s="11" t="s">
        <v>1184</v>
      </c>
      <c r="D42" s="51" t="s">
        <v>484</v>
      </c>
      <c r="E42" s="51" t="str">
        <f t="array" ref="E42">_xlfn.XLOOKUP(B42,Sheet19!$A$2:$A$235,Sheet19!$B$2:$B$235)</f>
        <v>Compack Enterprise Silver Granular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6">
        <v>43</v>
      </c>
      <c r="B43" s="51">
        <v>8112123927</v>
      </c>
      <c r="C43" s="51" t="s">
        <v>69</v>
      </c>
      <c r="D43" s="51" t="s">
        <v>70</v>
      </c>
      <c r="E43" s="51" t="str">
        <f t="array" ref="E43">_xlfn.XLOOKUP(B43,Sheet19!$A$2:$A$235,Sheet19!$B$2:$B$235)</f>
        <v>Compack Enterprise Silver Granular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6">
        <v>44</v>
      </c>
      <c r="B44" s="51">
        <v>8112123929</v>
      </c>
      <c r="C44" s="11" t="s">
        <v>1185</v>
      </c>
      <c r="D44" s="51" t="s">
        <v>444</v>
      </c>
      <c r="E44" s="51" t="str">
        <f t="array" ref="E44">_xlfn.XLOOKUP(B44,Sheet19!$A$2:$A$235,Sheet19!$B$2:$B$235)</f>
        <v>Compack Enterprise Silver Granular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6">
        <v>45</v>
      </c>
      <c r="B45" s="51">
        <v>8112123930</v>
      </c>
      <c r="C45" s="51" t="s">
        <v>421</v>
      </c>
      <c r="D45" s="51" t="s">
        <v>1186</v>
      </c>
      <c r="E45" s="51" t="str">
        <f t="array" ref="E45">_xlfn.XLOOKUP(B45,Sheet19!$A$2:$A$235,Sheet19!$B$2:$B$235)</f>
        <v>Compack Enterprise Silver Granular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6">
        <v>46</v>
      </c>
      <c r="B46" s="33">
        <v>8112123931</v>
      </c>
      <c r="C46" s="11" t="s">
        <v>278</v>
      </c>
      <c r="D46" s="51" t="s">
        <v>449</v>
      </c>
      <c r="E46" s="51" t="str">
        <f t="array" ref="E46">_xlfn.XLOOKUP(B46,Sheet19!$A$2:$A$235,Sheet19!$B$2:$B$235)</f>
        <v>Compack Enterprise Silver Granular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6">
        <v>47</v>
      </c>
      <c r="B47" s="33">
        <v>8112123932</v>
      </c>
      <c r="C47" s="51" t="s">
        <v>1187</v>
      </c>
      <c r="D47" s="51" t="s">
        <v>382</v>
      </c>
      <c r="E47" s="51" t="str">
        <f t="array" ref="E47">_xlfn.XLOOKUP(B47,Sheet19!$A$2:$A$235,Sheet19!$B$2:$B$235)</f>
        <v>Compack Enterprise Silver Granular</v>
      </c>
      <c r="F47" s="27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6">
        <v>49</v>
      </c>
      <c r="B48" s="51">
        <v>8112123934</v>
      </c>
      <c r="C48" s="11" t="s">
        <v>1188</v>
      </c>
      <c r="D48" s="51" t="s">
        <v>552</v>
      </c>
      <c r="E48" s="51" t="str">
        <f t="array" ref="E48">_xlfn.XLOOKUP(B48,Sheet19!$A$2:$A$235,Sheet19!$B$2:$B$235)</f>
        <v>Compack Enterprise Silver Granular</v>
      </c>
      <c r="F48" s="27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6">
        <v>50</v>
      </c>
      <c r="B49" s="33">
        <v>8112123935</v>
      </c>
      <c r="C49" s="11" t="s">
        <v>338</v>
      </c>
      <c r="D49" s="51" t="s">
        <v>440</v>
      </c>
      <c r="E49" s="51" t="str">
        <f t="array" ref="E49">_xlfn.XLOOKUP(B49,Sheet19!$A$2:$A$235,Sheet19!$B$2:$B$235)</f>
        <v>Compack Enterprise Silver Granular</v>
      </c>
      <c r="F49" s="27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>
      <c r="A50" s="6">
        <v>54</v>
      </c>
      <c r="B50" s="51">
        <v>8112124353</v>
      </c>
      <c r="C50" s="11" t="s">
        <v>1189</v>
      </c>
      <c r="D50" s="51" t="s">
        <v>386</v>
      </c>
      <c r="E50" s="51" t="str">
        <f t="array" ref="E50">_xlfn.XLOOKUP(B50,Sheet19!$A$2:$A$235,Sheet19!$B$2:$B$235)</f>
        <v>Compack Enterprise Silver Granular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>
      <c r="A51" s="6">
        <v>55</v>
      </c>
      <c r="B51" s="51">
        <v>8112124356</v>
      </c>
      <c r="C51" s="51" t="s">
        <v>1190</v>
      </c>
      <c r="D51" s="309" t="s">
        <v>414</v>
      </c>
      <c r="E51" s="51" t="str">
        <f t="array" ref="E51">_xlfn.XLOOKUP(B51,Sheet19!$A$2:$A$235,Sheet19!$B$2:$B$235)</f>
        <v>Compack Enterprise Platinum Granular</v>
      </c>
      <c r="F51" s="27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>
      <c r="A52" s="6">
        <v>56</v>
      </c>
      <c r="B52" s="51">
        <v>8112124357</v>
      </c>
      <c r="C52" s="51" t="s">
        <v>1191</v>
      </c>
      <c r="D52" s="309" t="s">
        <v>536</v>
      </c>
      <c r="E52" s="51" t="str">
        <f t="array" ref="E52">_xlfn.XLOOKUP(B52,Sheet19!$A$2:$A$235,Sheet19!$B$2:$B$235)</f>
        <v>Compack Enterprise Gold Granular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6">
        <v>57</v>
      </c>
      <c r="B53" s="51">
        <v>8112124359</v>
      </c>
      <c r="C53" s="51" t="s">
        <v>171</v>
      </c>
      <c r="D53" s="51" t="s">
        <v>172</v>
      </c>
      <c r="E53" s="51" t="str">
        <f t="array" ref="E53">_xlfn.XLOOKUP(B53,Sheet19!$A$2:$A$235,Sheet19!$B$2:$B$235)</f>
        <v>Compack Enterprise Silver Granular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6">
        <v>58</v>
      </c>
      <c r="B54" s="51">
        <v>8112127140</v>
      </c>
      <c r="C54" s="51" t="s">
        <v>416</v>
      </c>
      <c r="D54" s="51" t="s">
        <v>1192</v>
      </c>
      <c r="E54" s="51" t="str">
        <f t="array" ref="E54">_xlfn.XLOOKUP(B54,Sheet19!$A$2:$A$235,Sheet19!$B$2:$B$235)</f>
        <v>Compack Enterprise Silver Granular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6">
        <v>59</v>
      </c>
      <c r="B55" s="51">
        <v>8112127141</v>
      </c>
      <c r="C55" s="51" t="s">
        <v>135</v>
      </c>
      <c r="D55" s="51" t="s">
        <v>136</v>
      </c>
      <c r="E55" s="51" t="str">
        <f t="array" ref="E55">_xlfn.XLOOKUP(B55,Sheet19!$A$2:$A$235,Sheet19!$B$2:$B$235)</f>
        <v>Compack Enterprise Silver Granular</v>
      </c>
      <c r="F55" s="27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6">
        <v>60</v>
      </c>
      <c r="B56" s="51">
        <v>8112127143</v>
      </c>
      <c r="C56" s="309" t="s">
        <v>859</v>
      </c>
      <c r="D56" s="11" t="s">
        <v>740</v>
      </c>
      <c r="E56" s="51" t="str">
        <f t="array" ref="E56">_xlfn.XLOOKUP(B56,Sheet19!$A$2:$A$235,Sheet19!$B$2:$B$235)</f>
        <v>Compack Enterprise Silver Granular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6">
        <v>62</v>
      </c>
      <c r="B57" s="51">
        <v>8112127145</v>
      </c>
      <c r="C57" s="51" t="s">
        <v>1193</v>
      </c>
      <c r="D57" s="51" t="s">
        <v>149</v>
      </c>
      <c r="E57" s="51" t="str">
        <f t="array" ref="E57">_xlfn.XLOOKUP(B57,Sheet19!$A$2:$A$235,Sheet19!$B$2:$B$235)</f>
        <v>Compack Enterprise Silver Granular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6">
        <v>63</v>
      </c>
      <c r="B58" s="51">
        <v>8112127146</v>
      </c>
      <c r="C58" s="51" t="s">
        <v>1194</v>
      </c>
      <c r="D58" s="51" t="s">
        <v>492</v>
      </c>
      <c r="E58" s="51" t="str">
        <f t="array" ref="E58">_xlfn.XLOOKUP(B58,Sheet19!$A$2:$A$235,Sheet19!$B$2:$B$235)</f>
        <v>Compack Enterprise Silver Granular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6">
        <v>64</v>
      </c>
      <c r="B59" s="51">
        <v>8112127147</v>
      </c>
      <c r="C59" s="51" t="s">
        <v>1195</v>
      </c>
      <c r="D59" s="51" t="s">
        <v>195</v>
      </c>
      <c r="E59" s="51" t="str">
        <f t="array" ref="E59">_xlfn.XLOOKUP(B59,Sheet19!$A$2:$A$235,Sheet19!$B$2:$B$235)</f>
        <v>Compack Enterprise Silver Granular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6">
        <v>65</v>
      </c>
      <c r="B60" s="51">
        <v>8112127150</v>
      </c>
      <c r="C60" s="51" t="s">
        <v>423</v>
      </c>
      <c r="D60" s="51" t="s">
        <v>249</v>
      </c>
      <c r="E60" s="51" t="str">
        <f t="array" ref="E60">_xlfn.XLOOKUP(B60,Sheet19!$A$2:$A$235,Sheet19!$B$2:$B$235)</f>
        <v>Compack Enterprise Silver Granular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6">
        <v>66</v>
      </c>
      <c r="B61" s="51">
        <v>8112128401</v>
      </c>
      <c r="C61" s="51" t="s">
        <v>190</v>
      </c>
      <c r="D61" s="51" t="s">
        <v>191</v>
      </c>
      <c r="E61" s="11" t="s">
        <v>1196</v>
      </c>
      <c r="F61" s="27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6">
        <v>67</v>
      </c>
      <c r="B62" s="51">
        <v>8112128403</v>
      </c>
      <c r="C62" s="11" t="s">
        <v>1197</v>
      </c>
      <c r="D62" s="51" t="s">
        <v>236</v>
      </c>
      <c r="E62" s="51" t="str">
        <f t="array" ref="E62">_xlfn.XLOOKUP(B62,Sheet19!$A$2:$A$235,Sheet19!$B$2:$B$235)</f>
        <v>Compack Enterprise Silver Granular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>
      <c r="A63" s="6">
        <v>68</v>
      </c>
      <c r="B63" s="51">
        <v>8112128405</v>
      </c>
      <c r="C63" s="51"/>
      <c r="D63" s="51" t="s">
        <v>437</v>
      </c>
      <c r="E63" s="51" t="str">
        <f t="array" ref="E63">_xlfn.XLOOKUP(B63,Sheet19!$A$2:$A$235,Sheet19!$B$2:$B$235)</f>
        <v>Compack Enterprise Silver Granular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>
      <c r="A64" s="6">
        <v>69</v>
      </c>
      <c r="B64" s="51">
        <v>8112128407</v>
      </c>
      <c r="C64" s="11" t="s">
        <v>1198</v>
      </c>
      <c r="D64" s="51" t="s">
        <v>159</v>
      </c>
      <c r="E64" s="51" t="str">
        <f t="array" ref="E64">_xlfn.XLOOKUP(B64,Sheet19!$A$2:$A$235,Sheet19!$B$2:$B$235)</f>
        <v>Compack Enterprise Silver Granular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>
      <c r="A65" s="6">
        <v>71</v>
      </c>
      <c r="B65" s="51">
        <v>8112129909</v>
      </c>
      <c r="C65" s="11" t="s">
        <v>1199</v>
      </c>
      <c r="D65" s="11" t="s">
        <v>1200</v>
      </c>
      <c r="E65" s="51" t="str">
        <f t="array" ref="E65">_xlfn.XLOOKUP(B65,Sheet19!$A$2:$A$235,Sheet19!$B$2:$B$235)</f>
        <v>Compack Enterprise Silver Granular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>
      <c r="A66" s="6">
        <v>72</v>
      </c>
      <c r="B66" s="51">
        <v>8112129910</v>
      </c>
      <c r="C66" s="51" t="s">
        <v>1201</v>
      </c>
      <c r="D66" s="51" t="s">
        <v>1202</v>
      </c>
      <c r="E66" s="51" t="str">
        <f t="array" ref="E66">_xlfn.XLOOKUP(B66,Sheet19!$A$2:$A$235,Sheet19!$B$2:$B$235)</f>
        <v>Compack Enterprise Silver Granular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>
      <c r="A67" s="6">
        <v>73</v>
      </c>
      <c r="B67" s="51">
        <v>8112129911</v>
      </c>
      <c r="C67" s="51"/>
      <c r="D67" s="51" t="s">
        <v>1203</v>
      </c>
      <c r="E67" s="51" t="str">
        <f t="array" ref="E67">_xlfn.XLOOKUP(B67,Sheet19!$A$2:$A$235,Sheet19!$B$2:$B$235)</f>
        <v>Compack Enterprise Silver Granular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>
      <c r="A68" s="6">
        <v>74</v>
      </c>
      <c r="B68" s="51">
        <v>8112129913</v>
      </c>
      <c r="C68" s="51" t="s">
        <v>1204</v>
      </c>
      <c r="D68" s="51" t="s">
        <v>45</v>
      </c>
      <c r="E68" s="51" t="str">
        <f t="array" ref="E68">_xlfn.XLOOKUP(B68,Sheet19!$A$2:$A$235,Sheet19!$B$2:$B$235)</f>
        <v>Compack Enterprise Silver Granular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>
      <c r="A69" s="6">
        <v>75</v>
      </c>
      <c r="B69" s="51">
        <v>8112129916</v>
      </c>
      <c r="C69" s="311" t="s">
        <v>897</v>
      </c>
      <c r="D69" s="11" t="s">
        <v>740</v>
      </c>
      <c r="E69" s="51" t="str">
        <f t="array" ref="E69">_xlfn.XLOOKUP(B69,Sheet19!$A$2:$A$235,Sheet19!$B$2:$B$235)</f>
        <v>Compack Enterprise Silver Granular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>
      <c r="A70" s="6">
        <v>77</v>
      </c>
      <c r="B70" s="51">
        <v>8112163552</v>
      </c>
      <c r="C70" s="38" t="s">
        <v>740</v>
      </c>
      <c r="D70" s="312" t="s">
        <v>740</v>
      </c>
      <c r="E70" s="51" t="str">
        <f t="array" ref="E70">_xlfn.XLOOKUP(B70,Sheet19!$A$2:$A$235,Sheet19!$B$2:$B$235)</f>
        <v>Flash 150ribu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>
      <c r="A71" s="6">
        <v>78</v>
      </c>
      <c r="B71" s="51">
        <v>8112206701</v>
      </c>
      <c r="C71" s="59" t="s">
        <v>1205</v>
      </c>
      <c r="D71" s="51" t="s">
        <v>33</v>
      </c>
      <c r="E71" s="51" t="str">
        <f t="array" ref="E71">_xlfn.XLOOKUP(B71,Sheet19!$A$2:$A$235,Sheet19!$B$2:$B$235)</f>
        <v>Compack Enterprise Silver Granular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>
      <c r="A72" s="6">
        <v>79</v>
      </c>
      <c r="B72" s="51">
        <v>8112206702</v>
      </c>
      <c r="C72" s="33" t="s">
        <v>1206</v>
      </c>
      <c r="D72" s="310" t="s">
        <v>272</v>
      </c>
      <c r="E72" s="51" t="str">
        <f t="array" ref="E72">_xlfn.XLOOKUP(B72,Sheet19!$A$2:$A$235,Sheet19!$B$2:$B$235)</f>
        <v>Compack Enterprise Silver Granular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>
      <c r="A73" s="6">
        <v>80</v>
      </c>
      <c r="B73" s="51">
        <v>8112206703</v>
      </c>
      <c r="C73" s="48" t="s">
        <v>343</v>
      </c>
      <c r="D73" s="33" t="s">
        <v>1207</v>
      </c>
      <c r="E73" s="51" t="str">
        <f t="array" ref="E73">_xlfn.XLOOKUP(B73,Sheet19!$A$2:$A$235,Sheet19!$B$2:$B$235)</f>
        <v>Compack Enterprise Silver Granular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>
      <c r="A74" s="6">
        <v>81</v>
      </c>
      <c r="B74" s="51">
        <v>8112279611</v>
      </c>
      <c r="C74" s="11" t="s">
        <v>1208</v>
      </c>
      <c r="D74" s="33" t="s">
        <v>507</v>
      </c>
      <c r="E74" s="51" t="str">
        <f t="array" ref="E74">_xlfn.XLOOKUP(B74,Sheet19!$A$2:$A$235,Sheet19!$B$2:$B$235)</f>
        <v>Compack Enterprise Silver Granular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>
      <c r="A75" s="6">
        <v>82</v>
      </c>
      <c r="B75" s="51">
        <v>8112279620</v>
      </c>
      <c r="C75" s="51" t="s">
        <v>87</v>
      </c>
      <c r="D75" s="311" t="s">
        <v>1209</v>
      </c>
      <c r="E75" s="51" t="str">
        <f t="array" ref="E75">_xlfn.XLOOKUP(B75,Sheet19!$A$2:$A$235,Sheet19!$B$2:$B$235)</f>
        <v>Compack Enterprise Silver Granular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>
      <c r="A76" s="6">
        <v>83</v>
      </c>
      <c r="B76" s="51">
        <v>8112310238</v>
      </c>
      <c r="C76" s="311" t="s">
        <v>935</v>
      </c>
      <c r="D76" s="38" t="s">
        <v>740</v>
      </c>
      <c r="E76" s="51" t="str">
        <f t="array" ref="E76">_xlfn.XLOOKUP(B76,Sheet19!$A$2:$A$235,Sheet19!$B$2:$B$235)</f>
        <v>Compack Enterprise Silver Granular</v>
      </c>
      <c r="F76" s="27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>
      <c r="A77" s="6">
        <v>84</v>
      </c>
      <c r="B77" s="33">
        <v>8112310239</v>
      </c>
      <c r="C77" s="59" t="s">
        <v>335</v>
      </c>
      <c r="D77" s="59" t="s">
        <v>33</v>
      </c>
      <c r="E77" s="51" t="str">
        <f t="array" ref="E77">_xlfn.XLOOKUP(B77,Sheet19!$A$2:$A$235,Sheet19!$B$2:$B$235)</f>
        <v>Compack Enterprise Gold Granular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>
      <c r="A78" s="6">
        <v>85</v>
      </c>
      <c r="B78" s="51">
        <v>8114805924</v>
      </c>
      <c r="C78" s="11" t="s">
        <v>527</v>
      </c>
      <c r="D78" s="51" t="s">
        <v>528</v>
      </c>
      <c r="E78" s="51" t="str">
        <f t="array" ref="E78">_xlfn.XLOOKUP(B78,Sheet19!$A$2:$A$235,Sheet19!$B$2:$B$235)</f>
        <v>Compack Enterprise Silver Granular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>
      <c r="A79" s="6">
        <v>86</v>
      </c>
      <c r="B79" s="51">
        <v>8114805925</v>
      </c>
      <c r="C79" s="51" t="s">
        <v>1210</v>
      </c>
      <c r="D79" s="51" t="s">
        <v>436</v>
      </c>
      <c r="E79" s="51" t="str">
        <f t="array" ref="E79">_xlfn.XLOOKUP(B79,Sheet19!$A$2:$A$235,Sheet19!$B$2:$B$235)</f>
        <v>Compack Enterprise Silver Granular</v>
      </c>
      <c r="F79" s="27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>
      <c r="A80" s="6">
        <v>87</v>
      </c>
      <c r="B80" s="51">
        <v>8114806705</v>
      </c>
      <c r="C80" s="51" t="s">
        <v>1211</v>
      </c>
      <c r="D80" s="51" t="s">
        <v>200</v>
      </c>
      <c r="E80" s="11" t="s">
        <v>653</v>
      </c>
      <c r="F80" s="27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>
      <c r="A81" s="6">
        <v>88</v>
      </c>
      <c r="B81" s="51">
        <v>8114806707</v>
      </c>
      <c r="C81" s="11" t="s">
        <v>1212</v>
      </c>
      <c r="D81" s="59" t="s">
        <v>463</v>
      </c>
      <c r="E81" s="11" t="s">
        <v>1005</v>
      </c>
      <c r="F81" s="27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>
      <c r="A82" s="6">
        <v>89</v>
      </c>
      <c r="B82" s="51">
        <v>8114806708</v>
      </c>
      <c r="C82" s="59" t="s">
        <v>1213</v>
      </c>
      <c r="D82" s="59" t="s">
        <v>366</v>
      </c>
      <c r="E82" s="11" t="s">
        <v>1214</v>
      </c>
      <c r="F82" s="27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>
      <c r="A83" s="6">
        <v>90</v>
      </c>
      <c r="B83" s="51">
        <v>8114806715</v>
      </c>
      <c r="C83" s="311" t="s">
        <v>740</v>
      </c>
      <c r="D83" s="38" t="s">
        <v>740</v>
      </c>
      <c r="E83" s="11" t="s">
        <v>1214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>
      <c r="A84" s="6">
        <v>91</v>
      </c>
      <c r="B84" s="51">
        <v>8114806717</v>
      </c>
      <c r="C84" s="59"/>
      <c r="D84" s="311" t="s">
        <v>269</v>
      </c>
      <c r="E84" s="11" t="s">
        <v>938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>
      <c r="A85" s="6">
        <v>92</v>
      </c>
      <c r="B85" s="51">
        <v>8116138222</v>
      </c>
      <c r="C85" s="33" t="s">
        <v>1215</v>
      </c>
      <c r="D85" s="33" t="s">
        <v>562</v>
      </c>
      <c r="E85" s="11" t="s">
        <v>1216</v>
      </c>
      <c r="F85" s="27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>
      <c r="A86" s="6">
        <v>93</v>
      </c>
      <c r="B86" s="51">
        <v>8116138306</v>
      </c>
      <c r="C86" s="35" t="s">
        <v>1217</v>
      </c>
      <c r="D86" s="33" t="s">
        <v>1218</v>
      </c>
      <c r="E86" s="11" t="s">
        <v>1214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>
      <c r="A87" s="6">
        <v>95</v>
      </c>
      <c r="B87" s="51">
        <v>8116138333</v>
      </c>
      <c r="C87" s="51" t="s">
        <v>1219</v>
      </c>
      <c r="D87" s="33" t="s">
        <v>303</v>
      </c>
      <c r="E87" s="11" t="s">
        <v>1220</v>
      </c>
      <c r="F87" s="27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>
      <c r="A88" s="6">
        <v>97</v>
      </c>
      <c r="B88" s="51">
        <v>8116177706</v>
      </c>
      <c r="C88" s="51" t="s">
        <v>547</v>
      </c>
      <c r="D88" s="51" t="s">
        <v>544</v>
      </c>
      <c r="E88" s="11" t="s">
        <v>949</v>
      </c>
      <c r="F88" s="27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>
      <c r="A89" s="6">
        <v>98</v>
      </c>
      <c r="B89" s="51">
        <v>8117712120</v>
      </c>
      <c r="C89" s="35" t="s">
        <v>211</v>
      </c>
      <c r="D89" s="33" t="s">
        <v>212</v>
      </c>
      <c r="E89" s="51" t="str">
        <f t="array" ref="E89">_xlfn.XLOOKUP(B89,Sheet19!$A$2:$A$235,Sheet19!$B$2:$B$235)</f>
        <v>Compack Enterprise Silver Granular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>
      <c r="A90" s="6">
        <v>99</v>
      </c>
      <c r="B90" s="51">
        <v>8122283174</v>
      </c>
      <c r="C90" s="311" t="s">
        <v>1221</v>
      </c>
      <c r="D90" s="51" t="s">
        <v>205</v>
      </c>
      <c r="E90" s="11" t="s">
        <v>949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>
      <c r="A91" s="6">
        <v>100</v>
      </c>
      <c r="B91" s="51">
        <v>81120011913</v>
      </c>
      <c r="C91" s="33" t="s">
        <v>1222</v>
      </c>
      <c r="D91" s="33" t="s">
        <v>427</v>
      </c>
      <c r="E91" s="51" t="str">
        <f t="array" ref="E91">_xlfn.XLOOKUP(B91,Sheet19!$A$2:$A$235,Sheet19!$B$2:$B$235)</f>
        <v>Compack Enterprise Silver Granular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>
      <c r="A92" s="6">
        <v>101</v>
      </c>
      <c r="B92" s="51">
        <v>81120011914</v>
      </c>
      <c r="C92" s="33" t="s">
        <v>1062</v>
      </c>
      <c r="D92" s="311" t="s">
        <v>1225</v>
      </c>
      <c r="E92" s="51" t="str">
        <f t="array" ref="E92">_xlfn.XLOOKUP(B92,Sheet19!$A$2:$A$235,Sheet19!$B$2:$B$235)</f>
        <v>Compack Enterprise Silver Granular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>
      <c r="A93" s="6">
        <v>102</v>
      </c>
      <c r="B93" s="51">
        <v>81120011915</v>
      </c>
      <c r="C93" s="38" t="s">
        <v>424</v>
      </c>
      <c r="D93" s="51" t="s">
        <v>1226</v>
      </c>
      <c r="E93" s="51" t="str">
        <f t="array" ref="E93">_xlfn.XLOOKUP(B93,Sheet19!$A$2:$A$235,Sheet19!$B$2:$B$235)</f>
        <v>Compack Enterprise Silver Granular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>
      <c r="A94" s="6">
        <v>103</v>
      </c>
      <c r="B94" s="51">
        <v>81120011916</v>
      </c>
      <c r="C94" s="59" t="s">
        <v>1227</v>
      </c>
      <c r="D94" s="51" t="s">
        <v>165</v>
      </c>
      <c r="E94" s="51" t="str">
        <f t="array" ref="E94">_xlfn.XLOOKUP(B94,Sheet19!$A$2:$A$235,Sheet19!$B$2:$B$235)</f>
        <v>Compack Enterprise Silver Granular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>
      <c r="A95" s="6">
        <v>104</v>
      </c>
      <c r="B95" s="51">
        <v>81120011917</v>
      </c>
      <c r="C95" s="33" t="s">
        <v>1228</v>
      </c>
      <c r="D95" s="51" t="s">
        <v>161</v>
      </c>
      <c r="E95" s="51" t="str">
        <f t="array" ref="E95">_xlfn.XLOOKUP(B95,Sheet19!$A$2:$A$235,Sheet19!$B$2:$B$235)</f>
        <v>Compack Enterprise Silver Granular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>
      <c r="A96" s="6">
        <v>105</v>
      </c>
      <c r="B96" s="51">
        <v>81120011918</v>
      </c>
      <c r="C96" s="35" t="s">
        <v>1229</v>
      </c>
      <c r="D96" s="51" t="s">
        <v>67</v>
      </c>
      <c r="E96" s="51" t="str">
        <f t="array" ref="E96">_xlfn.XLOOKUP(B96,Sheet19!$A$2:$A$235,Sheet19!$B$2:$B$235)</f>
        <v>Compack Enterprise Silver Granular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>
      <c r="A97" s="6">
        <v>106</v>
      </c>
      <c r="B97" s="51">
        <v>81120030863</v>
      </c>
      <c r="C97" s="35" t="s">
        <v>1230</v>
      </c>
      <c r="D97" s="51" t="s">
        <v>1231</v>
      </c>
      <c r="E97" s="51" t="str">
        <f t="array" ref="E97">_xlfn.XLOOKUP(B97,Sheet19!$A$2:$A$235,Sheet19!$B$2:$B$235)</f>
        <v>Compack Enterprise Gold Granular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>
      <c r="A98" s="6">
        <v>107</v>
      </c>
      <c r="B98" s="51">
        <v>81120030865</v>
      </c>
      <c r="C98" s="35" t="s">
        <v>1232</v>
      </c>
      <c r="D98" s="59" t="s">
        <v>290</v>
      </c>
      <c r="E98" s="51" t="str">
        <f t="array" ref="E98">_xlfn.XLOOKUP(B98,Sheet19!$A$2:$A$235,Sheet19!$B$2:$B$235)</f>
        <v>Compack Enterprise Gold Granular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>
      <c r="A99" s="6">
        <v>108</v>
      </c>
      <c r="B99" s="51">
        <v>81120030866</v>
      </c>
      <c r="C99" s="33" t="s">
        <v>1233</v>
      </c>
      <c r="D99" s="59" t="s">
        <v>279</v>
      </c>
      <c r="E99" s="51" t="str">
        <f t="array" ref="E99">_xlfn.XLOOKUP(B99,Sheet19!$A$2:$A$235,Sheet19!$B$2:$B$235)</f>
        <v>Compack Enterprise Gold Granular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>
      <c r="A100" s="6">
        <v>109</v>
      </c>
      <c r="B100" s="51">
        <v>81120030867</v>
      </c>
      <c r="C100" s="35" t="s">
        <v>1234</v>
      </c>
      <c r="D100" s="59" t="s">
        <v>1235</v>
      </c>
      <c r="E100" s="51" t="str">
        <f t="array" ref="E100">_xlfn.XLOOKUP(B100,Sheet19!$A$2:$A$235,Sheet19!$B$2:$B$235)</f>
        <v>Compack Enterprise Gold Granular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>
      <c r="A101" s="6">
        <v>110</v>
      </c>
      <c r="B101" s="51">
        <v>81120030868</v>
      </c>
      <c r="C101" s="59" t="s">
        <v>1236</v>
      </c>
      <c r="D101" s="33" t="s">
        <v>297</v>
      </c>
      <c r="E101" s="51" t="str">
        <f t="array" ref="E101">_xlfn.XLOOKUP(B101,Sheet19!$A$2:$A$235,Sheet19!$B$2:$B$235)</f>
        <v>Compack Enterprise Gold Granular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>
      <c r="A102" s="6">
        <v>112</v>
      </c>
      <c r="B102" s="51">
        <v>81120030871</v>
      </c>
      <c r="C102" s="59" t="s">
        <v>1237</v>
      </c>
      <c r="D102" s="33" t="s">
        <v>33</v>
      </c>
      <c r="E102" s="51" t="str">
        <f t="array" ref="E102">_xlfn.XLOOKUP(B102,Sheet19!$A$2:$A$235,Sheet19!$B$2:$B$235)</f>
        <v>Compack Enterprise Gold Granular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>
      <c r="A103" s="6">
        <v>113</v>
      </c>
      <c r="B103" s="51">
        <v>81120030872</v>
      </c>
      <c r="C103" s="59" t="s">
        <v>1239</v>
      </c>
      <c r="D103" s="33" t="s">
        <v>33</v>
      </c>
      <c r="E103" s="51" t="str">
        <f t="array" ref="E103">_xlfn.XLOOKUP(B103,Sheet19!$A$2:$A$235,Sheet19!$B$2:$B$235)</f>
        <v>Compack Enterprise Gold Granular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>
      <c r="A104" s="6">
        <v>114</v>
      </c>
      <c r="B104" s="51">
        <v>81120031421</v>
      </c>
      <c r="C104" s="59"/>
      <c r="D104" s="33" t="s">
        <v>1240</v>
      </c>
      <c r="E104" s="51" t="str">
        <f t="array" ref="E104">_xlfn.XLOOKUP(B104,Sheet19!$A$2:$A$235,Sheet19!$B$2:$B$235)</f>
        <v>Compack Enterprise Silver Granular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>
      <c r="A105" s="6">
        <v>115</v>
      </c>
      <c r="B105" s="51">
        <v>81120031468</v>
      </c>
      <c r="C105" s="59"/>
      <c r="D105" s="33" t="s">
        <v>1240</v>
      </c>
      <c r="E105" s="51" t="str">
        <f t="array" ref="E105">_xlfn.XLOOKUP(B105,Sheet19!$A$2:$A$235,Sheet19!$B$2:$B$235)</f>
        <v>Compack Enterprise Silver Granular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>
      <c r="A106" s="6">
        <v>116</v>
      </c>
      <c r="B106" s="51">
        <v>81120031469</v>
      </c>
      <c r="C106" s="59"/>
      <c r="D106" s="33" t="s">
        <v>1240</v>
      </c>
      <c r="E106" s="51" t="str">
        <f t="array" ref="E106">_xlfn.XLOOKUP(B106,Sheet19!$A$2:$A$235,Sheet19!$B$2:$B$235)</f>
        <v>Compack Enterprise Silver Granular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>
      <c r="A107" s="6">
        <v>117</v>
      </c>
      <c r="B107" s="51">
        <v>81120032026</v>
      </c>
      <c r="C107" s="59" t="s">
        <v>361</v>
      </c>
      <c r="D107" s="33" t="s">
        <v>29</v>
      </c>
      <c r="E107" s="51" t="str">
        <f t="array" ref="E107">_xlfn.XLOOKUP(B107,Sheet19!$A$2:$A$235,Sheet19!$B$2:$B$235)</f>
        <v>Compack Enterprise Silver Granular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>
      <c r="A108" s="6">
        <v>118</v>
      </c>
      <c r="B108" s="51">
        <v>81120032125</v>
      </c>
      <c r="C108" s="59" t="s">
        <v>61</v>
      </c>
      <c r="D108" s="33" t="s">
        <v>42</v>
      </c>
      <c r="E108" s="51" t="str">
        <f t="array" ref="E108">_xlfn.XLOOKUP(B108,Sheet19!$A$2:$A$235,Sheet19!$B$2:$B$235)</f>
        <v>Compack Enterprise Silver Granular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>
      <c r="A109" s="6">
        <v>119</v>
      </c>
      <c r="B109" s="51">
        <v>81120032126</v>
      </c>
      <c r="C109" s="59" t="s">
        <v>41</v>
      </c>
      <c r="D109" s="33" t="s">
        <v>42</v>
      </c>
      <c r="E109" s="51" t="str">
        <f t="array" ref="E109">_xlfn.XLOOKUP(B109,Sheet19!$A$2:$A$235,Sheet19!$B$2:$B$235)</f>
        <v>Compack Enterprise Silver Granular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>
      <c r="A110" s="6">
        <v>120</v>
      </c>
      <c r="B110" s="51">
        <v>81120032127</v>
      </c>
      <c r="C110" s="38" t="s">
        <v>1241</v>
      </c>
      <c r="D110" s="33" t="s">
        <v>42</v>
      </c>
      <c r="E110" s="51" t="str">
        <f t="array" ref="E110">_xlfn.XLOOKUP(B110,Sheet19!$A$2:$A$235,Sheet19!$B$2:$B$235)</f>
        <v>Compack Enterprise Silver Granular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>
      <c r="A111" s="6">
        <v>121</v>
      </c>
      <c r="B111" s="51">
        <v>81120040519</v>
      </c>
      <c r="C111" s="11" t="s">
        <v>1242</v>
      </c>
      <c r="D111" s="33" t="s">
        <v>418</v>
      </c>
      <c r="E111" s="51" t="str">
        <f t="array" ref="E111">_xlfn.XLOOKUP(B111,Sheet19!$A$2:$A$235,Sheet19!$B$2:$B$235)</f>
        <v>Compack Enterprise Silver Granular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>
      <c r="A112" s="6">
        <v>122</v>
      </c>
      <c r="B112" s="51">
        <v>81120040569</v>
      </c>
      <c r="C112" s="59"/>
      <c r="D112" s="33" t="s">
        <v>413</v>
      </c>
      <c r="E112" s="51" t="str">
        <f t="array" ref="E112">_xlfn.XLOOKUP(B112,Sheet19!$A$2:$A$235,Sheet19!$B$2:$B$235)</f>
        <v>Compack Enterprise Silver Granular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>
      <c r="A113" s="6">
        <v>123</v>
      </c>
      <c r="B113" s="51">
        <v>81120041631</v>
      </c>
      <c r="C113" s="59" t="s">
        <v>419</v>
      </c>
      <c r="D113" s="33" t="s">
        <v>420</v>
      </c>
      <c r="E113" s="51" t="str">
        <f t="array" ref="E113">_xlfn.XLOOKUP(B113,Sheet19!$A$2:$A$235,Sheet19!$B$2:$B$235)</f>
        <v>Compack Enterprise Silver Granular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>
      <c r="A114" s="6">
        <v>124</v>
      </c>
      <c r="B114" s="51">
        <v>81120056275</v>
      </c>
      <c r="C114" s="38" t="s">
        <v>1243</v>
      </c>
      <c r="D114" s="33" t="s">
        <v>408</v>
      </c>
      <c r="E114" s="51" t="str">
        <f t="array" ref="E114">_xlfn.XLOOKUP(B114,Sheet19!$A$2:$A$235,Sheet19!$B$2:$B$235)</f>
        <v>Compack Enterprise Silver Granular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>
      <c r="A115" s="6">
        <v>125</v>
      </c>
      <c r="B115" s="51">
        <v>81120056311</v>
      </c>
      <c r="C115" s="59" t="s">
        <v>1244</v>
      </c>
      <c r="D115" s="33" t="s">
        <v>249</v>
      </c>
      <c r="E115" s="51" t="str">
        <f t="array" ref="E115">_xlfn.XLOOKUP(B115,Sheet19!$A$2:$A$235,Sheet19!$B$2:$B$235)</f>
        <v>Compack Enterprise Silver Granular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>
      <c r="A116" s="6">
        <v>126</v>
      </c>
      <c r="B116" s="51">
        <v>81120056312</v>
      </c>
      <c r="C116" s="59" t="s">
        <v>1245</v>
      </c>
      <c r="D116" s="33" t="s">
        <v>428</v>
      </c>
      <c r="E116" s="51" t="str">
        <f t="array" ref="E116">_xlfn.XLOOKUP(B116,Sheet19!$A$2:$A$235,Sheet19!$B$2:$B$235)</f>
        <v>Compack Enterprise Silver Granular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>
      <c r="A117" s="6">
        <v>127</v>
      </c>
      <c r="B117" s="51">
        <v>81120056578</v>
      </c>
      <c r="C117" s="59" t="s">
        <v>1246</v>
      </c>
      <c r="D117" s="59" t="s">
        <v>585</v>
      </c>
      <c r="E117" s="51" t="str">
        <f t="array" ref="E117">_xlfn.XLOOKUP(B117,Sheet19!$A$2:$A$235,Sheet19!$B$2:$B$235)</f>
        <v>Compack Enterprise Silver Granular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>
      <c r="A118" s="6">
        <v>128</v>
      </c>
      <c r="B118" s="51">
        <v>81120058823</v>
      </c>
      <c r="C118" s="59" t="s">
        <v>1247</v>
      </c>
      <c r="D118" s="59" t="s">
        <v>481</v>
      </c>
      <c r="E118" s="51" t="str">
        <f t="array" ref="E118">_xlfn.XLOOKUP(B118,Sheet19!$A$2:$A$235,Sheet19!$B$2:$B$235)</f>
        <v>Compack Enterprise Silver Granular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>
      <c r="A119" s="6">
        <v>130</v>
      </c>
      <c r="B119" s="33">
        <v>81120059789</v>
      </c>
      <c r="C119" s="59"/>
      <c r="D119" s="59" t="s">
        <v>22</v>
      </c>
      <c r="E119" s="51" t="str">
        <f t="array" ref="E119">_xlfn.XLOOKUP(B119,Sheet19!$A$2:$A$235,Sheet19!$B$2:$B$235)</f>
        <v>Compack Enterprise Silver Granular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>
      <c r="A120" s="6">
        <v>131</v>
      </c>
      <c r="B120" s="51">
        <v>81120060629</v>
      </c>
      <c r="C120" s="38" t="s">
        <v>1248</v>
      </c>
      <c r="D120" s="59" t="s">
        <v>446</v>
      </c>
      <c r="E120" s="51" t="str">
        <f t="array" ref="E120">_xlfn.XLOOKUP(B120,Sheet19!$A$2:$A$235,Sheet19!$B$2:$B$235)</f>
        <v>Compack Enterprise Silver Granular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>
      <c r="A121" s="6">
        <v>132</v>
      </c>
      <c r="B121" s="51">
        <v>81120060757</v>
      </c>
      <c r="C121" s="38" t="s">
        <v>452</v>
      </c>
      <c r="D121" s="59" t="s">
        <v>1249</v>
      </c>
      <c r="E121" s="51" t="str">
        <f t="array" ref="E121">_xlfn.XLOOKUP(B121,Sheet19!$A$2:$A$235,Sheet19!$B$2:$B$235)</f>
        <v>Compack Enterprise Silver Granular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>
      <c r="A122" s="6">
        <v>133</v>
      </c>
      <c r="B122" s="51">
        <v>81120060969</v>
      </c>
      <c r="C122" s="59" t="s">
        <v>150</v>
      </c>
      <c r="D122" s="59" t="s">
        <v>151</v>
      </c>
      <c r="E122" s="51" t="str">
        <f t="array" ref="E122">_xlfn.XLOOKUP(B122,Sheet19!$A$2:$A$235,Sheet19!$B$2:$B$235)</f>
        <v>Compack Enterprise Silver Granular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>
      <c r="A123" s="6">
        <v>134</v>
      </c>
      <c r="B123" s="51">
        <v>81120060970</v>
      </c>
      <c r="C123" s="33" t="s">
        <v>453</v>
      </c>
      <c r="D123" s="59" t="s">
        <v>160</v>
      </c>
      <c r="E123" s="51" t="str">
        <f t="array" ref="E123">_xlfn.XLOOKUP(B123,Sheet19!$A$2:$A$235,Sheet19!$B$2:$B$235)</f>
        <v>Compack Enterprise Silver Granular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>
      <c r="A124" s="6">
        <v>135</v>
      </c>
      <c r="B124" s="51">
        <v>81120061068</v>
      </c>
      <c r="C124" s="33" t="s">
        <v>465</v>
      </c>
      <c r="D124" s="59" t="s">
        <v>466</v>
      </c>
      <c r="E124" s="51" t="str">
        <f t="array" ref="E124">_xlfn.XLOOKUP(B124,Sheet19!$A$2:$A$235,Sheet19!$B$2:$B$235)</f>
        <v>Compack Enterprise Silver Granular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>
      <c r="A125" s="6">
        <v>136</v>
      </c>
      <c r="B125" s="51">
        <v>81120061069</v>
      </c>
      <c r="C125" s="33" t="s">
        <v>469</v>
      </c>
      <c r="D125" s="38" t="s">
        <v>1251</v>
      </c>
      <c r="E125" s="51" t="str">
        <f t="array" ref="E125">_xlfn.XLOOKUP(B125,Sheet19!$A$2:$A$235,Sheet19!$B$2:$B$235)</f>
        <v>Compack Enterprise Silver Granular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>
      <c r="A126" s="6">
        <v>137</v>
      </c>
      <c r="B126" s="51">
        <v>81120211959</v>
      </c>
      <c r="C126" s="35" t="s">
        <v>1252</v>
      </c>
      <c r="D126" s="59" t="s">
        <v>55</v>
      </c>
      <c r="E126" s="51" t="str">
        <f t="array" ref="E126">_xlfn.XLOOKUP(B126,Sheet19!$A$2:$A$235,Sheet19!$B$2:$B$235)</f>
        <v>Compack Enterprise Silver Granular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>
      <c r="A127" s="6">
        <v>138</v>
      </c>
      <c r="B127" s="51">
        <v>81120213235</v>
      </c>
      <c r="C127" s="33" t="s">
        <v>1253</v>
      </c>
      <c r="D127" s="59" t="s">
        <v>300</v>
      </c>
      <c r="E127" s="51" t="str">
        <f t="array" ref="E127">_xlfn.XLOOKUP(B127,Sheet19!$A$2:$A$235,Sheet19!$B$2:$B$235)</f>
        <v>Compack Enterprise Silver Granular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>
      <c r="A128" s="6">
        <v>139</v>
      </c>
      <c r="B128" s="51">
        <v>81120218081</v>
      </c>
      <c r="C128" s="33" t="s">
        <v>1254</v>
      </c>
      <c r="D128" s="59" t="s">
        <v>393</v>
      </c>
      <c r="E128" s="51" t="str">
        <f t="array" ref="E128">_xlfn.XLOOKUP(B128,Sheet19!$A$2:$A$235,Sheet19!$B$2:$B$235)</f>
        <v>Compack Enterprise Silver Granular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>
      <c r="A129" s="6">
        <v>140</v>
      </c>
      <c r="B129" s="313">
        <v>81120218358</v>
      </c>
      <c r="C129" s="33" t="s">
        <v>935</v>
      </c>
      <c r="D129" s="38" t="s">
        <v>740</v>
      </c>
      <c r="E129" s="51" t="str">
        <f t="array" ref="E129">_xlfn.XLOOKUP(B129,Sheet19!$A$2:$A$235,Sheet19!$B$2:$B$235)</f>
        <v>Compack Enterprise Silver Granular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>
      <c r="A130" s="6">
        <v>141</v>
      </c>
      <c r="B130" s="313">
        <v>81120218359</v>
      </c>
      <c r="C130" s="59" t="s">
        <v>1255</v>
      </c>
      <c r="D130" s="59" t="s">
        <v>1256</v>
      </c>
      <c r="E130" s="51" t="str">
        <f t="array" ref="E130">_xlfn.XLOOKUP(B130,Sheet19!$A$2:$A$235,Sheet19!$B$2:$B$235)</f>
        <v>Compack Enterprise Silver Granular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>
      <c r="A131" s="6">
        <v>142</v>
      </c>
      <c r="B131" s="51">
        <v>81120224612</v>
      </c>
      <c r="C131" s="35"/>
      <c r="D131" s="59" t="s">
        <v>345</v>
      </c>
      <c r="E131" s="51" t="str">
        <f t="array" ref="E131">_xlfn.XLOOKUP(B131,Sheet19!$A$2:$A$235,Sheet19!$B$2:$B$235)</f>
        <v>Compack Enterprise Gold Granular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>
      <c r="A132" s="6">
        <v>143</v>
      </c>
      <c r="B132" s="51">
        <v>81120224613</v>
      </c>
      <c r="C132" s="33" t="s">
        <v>1257</v>
      </c>
      <c r="D132" s="59" t="s">
        <v>1258</v>
      </c>
      <c r="E132" s="51" t="str">
        <f t="array" ref="E132">_xlfn.XLOOKUP(B132,Sheet19!$A$2:$A$235,Sheet19!$B$2:$B$235)</f>
        <v>Compack Enterprise Gold Granular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>
      <c r="A133" s="6">
        <v>144</v>
      </c>
      <c r="B133" s="51">
        <v>81120224614</v>
      </c>
      <c r="C133" s="33"/>
      <c r="D133" s="59" t="s">
        <v>1259</v>
      </c>
      <c r="E133" s="51" t="str">
        <f t="array" ref="E133">_xlfn.XLOOKUP(B133,Sheet19!$A$2:$A$235,Sheet19!$B$2:$B$235)</f>
        <v>Compack Enterprise Gold Granular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>
      <c r="A134" s="6">
        <v>146</v>
      </c>
      <c r="B134" s="51">
        <v>81120237664</v>
      </c>
      <c r="C134" s="33" t="s">
        <v>343</v>
      </c>
      <c r="D134" s="59" t="s">
        <v>344</v>
      </c>
      <c r="E134" s="51" t="str">
        <f t="array" ref="E134">_xlfn.XLOOKUP(B134,Sheet19!$A$2:$A$235,Sheet19!$B$2:$B$235)</f>
        <v>Compack Enterprise Silver Granular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>
      <c r="A135" s="6">
        <v>147</v>
      </c>
      <c r="B135" s="51">
        <v>81122300611</v>
      </c>
      <c r="C135" s="33"/>
      <c r="D135" s="311" t="s">
        <v>1260</v>
      </c>
      <c r="E135" s="51" t="str">
        <f t="array" ref="E135">_xlfn.XLOOKUP(B135,Sheet19!$A$2:$A$235,Sheet19!$B$2:$B$235)</f>
        <v>Compack Enterprise Silver Granular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>
      <c r="A136" s="6">
        <v>148</v>
      </c>
      <c r="B136" s="51">
        <v>81122300612</v>
      </c>
      <c r="C136" s="33"/>
      <c r="D136" s="311" t="s">
        <v>776</v>
      </c>
      <c r="E136" s="51" t="str">
        <f t="array" ref="E136">_xlfn.XLOOKUP(B136,Sheet19!$A$2:$A$235,Sheet19!$B$2:$B$235)</f>
        <v>Compack Enterprise Silver Granular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>
      <c r="A137" s="6">
        <v>149</v>
      </c>
      <c r="B137" s="51">
        <v>81122300613</v>
      </c>
      <c r="C137" s="33"/>
      <c r="D137" s="311" t="s">
        <v>779</v>
      </c>
      <c r="E137" s="51" t="str">
        <f t="array" ref="E137">_xlfn.XLOOKUP(B137,Sheet19!$A$2:$A$235,Sheet19!$B$2:$B$235)</f>
        <v>Compack Enterprise Silver Granular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>
      <c r="A138" s="6">
        <v>150</v>
      </c>
      <c r="B138" s="51">
        <v>81122300614</v>
      </c>
      <c r="C138" s="33"/>
      <c r="D138" s="59" t="s">
        <v>783</v>
      </c>
      <c r="E138" s="51" t="str">
        <f t="array" ref="E138">_xlfn.XLOOKUP(B138,Sheet19!$A$2:$A$235,Sheet19!$B$2:$B$235)</f>
        <v>Compack Enterprise Silver Granular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>
      <c r="A139" s="6">
        <v>151</v>
      </c>
      <c r="B139" s="51">
        <v>81122300615</v>
      </c>
      <c r="C139" s="33" t="s">
        <v>475</v>
      </c>
      <c r="D139" s="59" t="s">
        <v>1262</v>
      </c>
      <c r="E139" s="51" t="str">
        <f t="array" ref="E139">_xlfn.XLOOKUP(B139,Sheet19!$A$2:$A$235,Sheet19!$B$2:$B$235)</f>
        <v>Compack Enterprise Silver Granular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>
      <c r="A140" s="6">
        <v>152</v>
      </c>
      <c r="B140" s="51">
        <v>81122300616</v>
      </c>
      <c r="C140" s="33" t="s">
        <v>510</v>
      </c>
      <c r="D140" s="311" t="s">
        <v>511</v>
      </c>
      <c r="E140" s="51" t="str">
        <f t="array" ref="E140">_xlfn.XLOOKUP(B140,Sheet19!$A$2:$A$235,Sheet19!$B$2:$B$235)</f>
        <v>Compack Enterprise Silver Granular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>
      <c r="A141" s="6">
        <v>153</v>
      </c>
      <c r="B141" s="51">
        <v>81122300617</v>
      </c>
      <c r="C141" s="35" t="s">
        <v>1263</v>
      </c>
      <c r="D141" s="311" t="s">
        <v>514</v>
      </c>
      <c r="E141" s="51" t="str">
        <f t="array" ref="E141">_xlfn.XLOOKUP(B141,Sheet19!$A$2:$A$235,Sheet19!$B$2:$B$235)</f>
        <v>Compack Enterprise Silver Granular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>
      <c r="A142" s="6">
        <v>154</v>
      </c>
      <c r="B142" s="51">
        <v>81122300618</v>
      </c>
      <c r="C142" s="33" t="s">
        <v>196</v>
      </c>
      <c r="D142" s="59" t="s">
        <v>1264</v>
      </c>
      <c r="E142" s="51" t="str">
        <f t="array" ref="E142">_xlfn.XLOOKUP(B142,Sheet19!$A$2:$A$235,Sheet19!$B$2:$B$235)</f>
        <v>Compack Enterprise Silver Granular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>
      <c r="A143" s="6">
        <v>155</v>
      </c>
      <c r="B143" s="11">
        <v>81120059364</v>
      </c>
      <c r="C143" s="33"/>
      <c r="D143" s="35" t="s">
        <v>1265</v>
      </c>
      <c r="E143" s="51" t="str">
        <f t="array" ref="E143">_xlfn.XLOOKUP(B143,Sheet19!$A$2:$A$235,Sheet19!$B$2:$B$235)</f>
        <v>Compack Enterprise Silver Granular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>
      <c r="A144" s="6">
        <v>156</v>
      </c>
      <c r="B144" s="314">
        <v>8112163553</v>
      </c>
      <c r="C144" s="33" t="s">
        <v>740</v>
      </c>
      <c r="D144" s="35" t="s">
        <v>740</v>
      </c>
      <c r="E144" s="51" t="str">
        <f t="array" ref="E144">_xlfn.XLOOKUP(B144,Sheet19!$A$2:$A$235,Sheet19!$B$2:$B$235)</f>
        <v>Compack Enterprise Bronze Granular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>
      <c r="A145" s="6">
        <v>157</v>
      </c>
      <c r="B145" s="314">
        <v>8112163554</v>
      </c>
      <c r="C145" s="33" t="s">
        <v>740</v>
      </c>
      <c r="D145" s="35" t="s">
        <v>740</v>
      </c>
      <c r="E145" s="51" t="str">
        <f t="array" ref="E145">_xlfn.XLOOKUP(B145,Sheet19!$A$2:$A$235,Sheet19!$B$2:$B$235)</f>
        <v>Compack Enterprise Bronze Granular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>
      <c r="A146" s="6">
        <v>158</v>
      </c>
      <c r="B146" s="314">
        <v>8112163555</v>
      </c>
      <c r="C146" s="33" t="s">
        <v>740</v>
      </c>
      <c r="D146" s="35" t="s">
        <v>740</v>
      </c>
      <c r="E146" s="51" t="str">
        <f t="array" ref="E146">_xlfn.XLOOKUP(B146,Sheet19!$A$2:$A$235,Sheet19!$B$2:$B$235)</f>
        <v>Compack Enterprise Bronze Granular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>
      <c r="A147" s="6">
        <v>159</v>
      </c>
      <c r="B147" s="314">
        <v>8112163556</v>
      </c>
      <c r="C147" s="33" t="s">
        <v>740</v>
      </c>
      <c r="D147" s="35" t="s">
        <v>740</v>
      </c>
      <c r="E147" s="51" t="str">
        <f t="array" ref="E147">_xlfn.XLOOKUP(B147,Sheet19!$A$2:$A$235,Sheet19!$B$2:$B$235)</f>
        <v>Compack Enterprise Bronze Granular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>
      <c r="A148" s="6">
        <v>160</v>
      </c>
      <c r="B148" s="314">
        <v>8112163557</v>
      </c>
      <c r="C148" s="33" t="s">
        <v>740</v>
      </c>
      <c r="D148" s="35" t="s">
        <v>740</v>
      </c>
      <c r="E148" s="51" t="str">
        <f t="array" ref="E148">_xlfn.XLOOKUP(B148,Sheet19!$A$2:$A$235,Sheet19!$B$2:$B$235)</f>
        <v>Compack Enterprise Bronze Granular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>
      <c r="A149" s="6">
        <v>161</v>
      </c>
      <c r="B149" s="314">
        <v>8112163558</v>
      </c>
      <c r="C149" s="33" t="s">
        <v>1059</v>
      </c>
      <c r="D149" s="35" t="s">
        <v>740</v>
      </c>
      <c r="E149" s="51" t="str">
        <f t="array" ref="E149">_xlfn.XLOOKUP(B149,Sheet19!$A$2:$A$235,Sheet19!$B$2:$B$235)</f>
        <v>Compack Enterprise Bronze Granular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>
      <c r="A150" s="6">
        <v>162</v>
      </c>
      <c r="B150" s="314">
        <v>8112163559</v>
      </c>
      <c r="C150" s="33" t="s">
        <v>1269</v>
      </c>
      <c r="D150" s="33" t="s">
        <v>1270</v>
      </c>
      <c r="E150" s="51" t="str">
        <f t="array" ref="E150">_xlfn.XLOOKUP(B150,Sheet19!$A$2:$A$235,Sheet19!$B$2:$B$235)</f>
        <v>Compack Enterprise Bronze Granular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>
      <c r="A151" s="6">
        <v>163</v>
      </c>
      <c r="B151" s="314">
        <v>8112163561</v>
      </c>
      <c r="C151" s="33" t="s">
        <v>1148</v>
      </c>
      <c r="D151" s="310" t="s">
        <v>1176</v>
      </c>
      <c r="E151" s="51" t="str">
        <f t="array" ref="E151">_xlfn.XLOOKUP(B151,Sheet19!$A$2:$A$235,Sheet19!$B$2:$B$235)</f>
        <v>Compack Enterprise Bronze Granular</v>
      </c>
      <c r="F151" s="48"/>
      <c r="G151" s="48"/>
      <c r="H151" s="14"/>
      <c r="I151" s="14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</row>
    <row r="152" spans="1:21">
      <c r="A152" s="6">
        <v>164</v>
      </c>
      <c r="B152" s="35">
        <v>81120041207</v>
      </c>
      <c r="C152" s="33" t="s">
        <v>415</v>
      </c>
      <c r="D152" s="35" t="s">
        <v>1271</v>
      </c>
      <c r="E152" s="51" t="str">
        <f t="array" ref="E152">_xlfn.XLOOKUP(B152,Sheet19!$A$2:$A$235,Sheet19!$B$2:$B$235)</f>
        <v>Compack Enterprise Silver Granular</v>
      </c>
      <c r="F152" s="48"/>
      <c r="G152" s="48"/>
      <c r="H152" s="14"/>
      <c r="I152" s="14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</row>
    <row r="153" spans="1:21">
      <c r="A153" s="6">
        <v>165</v>
      </c>
      <c r="B153" s="27">
        <v>8112113090</v>
      </c>
      <c r="C153" s="33" t="s">
        <v>415</v>
      </c>
      <c r="D153" s="35" t="s">
        <v>1272</v>
      </c>
      <c r="E153" s="51" t="str">
        <f t="array" ref="E153">_xlfn.XLOOKUP(B153,Sheet19!$A$2:$A$235,Sheet19!$B$2:$B$235)</f>
        <v>Compack Enterprise Silver Granular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>
      <c r="A154" s="6">
        <v>166</v>
      </c>
      <c r="B154" s="35">
        <v>81120060968</v>
      </c>
      <c r="C154" s="33"/>
      <c r="D154" s="33" t="s">
        <v>1274</v>
      </c>
      <c r="E154" s="51" t="str">
        <f t="array" ref="E154">_xlfn.XLOOKUP(B154,Sheet19!$A$2:$A$235,Sheet19!$B$2:$B$235)</f>
        <v>Compack Enterprise Silver Granular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>
      <c r="A155" s="6">
        <v>167</v>
      </c>
      <c r="B155" s="11">
        <v>81120055651</v>
      </c>
      <c r="C155" s="33" t="s">
        <v>1276</v>
      </c>
      <c r="D155" s="33" t="s">
        <v>1274</v>
      </c>
      <c r="E155" s="51" t="str">
        <f t="array" ref="E155">_xlfn.XLOOKUP(B155,Sheet19!$A$2:$A$235,Sheet19!$B$2:$B$235)</f>
        <v>Compack Enterprise Silver Granular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>
      <c r="A156" s="6">
        <v>168</v>
      </c>
      <c r="B156" s="51">
        <v>8112079592</v>
      </c>
      <c r="C156" s="51" t="s">
        <v>1277</v>
      </c>
      <c r="D156" s="309" t="s">
        <v>577</v>
      </c>
      <c r="E156" s="51" t="str">
        <f t="array" ref="E156">_xlfn.XLOOKUP(B156,Sheet19!$A$2:$A$235,Sheet19!$B$2:$B$235)</f>
        <v>Compack Enterprise Silver Granular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>
      <c r="A157" s="6">
        <v>169</v>
      </c>
      <c r="B157" s="11">
        <v>82267438787</v>
      </c>
      <c r="C157" s="11" t="s">
        <v>1278</v>
      </c>
      <c r="D157" s="312" t="s">
        <v>1279</v>
      </c>
      <c r="E157" s="51" t="str">
        <f t="array" ref="E157">_xlfn.XLOOKUP(B157,Sheet19!$A$2:$A$235,Sheet19!$B$2:$B$235)</f>
        <v>Compack Enterprise Silver Granular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>
      <c r="A158" s="6">
        <v>170</v>
      </c>
      <c r="B158" s="51">
        <v>8112119803</v>
      </c>
      <c r="C158" s="11" t="s">
        <v>354</v>
      </c>
      <c r="D158" s="312" t="s">
        <v>1280</v>
      </c>
      <c r="E158" s="51" t="str">
        <f t="array" ref="E158">_xlfn.XLOOKUP(B158,Sheet19!$A$2:$A$235,Sheet19!$B$2:$B$235)</f>
        <v>Compack Enterprise Silver Granular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>
      <c r="A159" s="6">
        <v>171</v>
      </c>
      <c r="B159" s="51">
        <v>8112128406</v>
      </c>
      <c r="C159" s="312" t="s">
        <v>1281</v>
      </c>
      <c r="D159" s="312" t="s">
        <v>422</v>
      </c>
      <c r="E159" s="51" t="str">
        <f t="array" ref="E159">_xlfn.XLOOKUP(B159,Sheet19!$A$2:$A$235,Sheet19!$B$2:$B$235)</f>
        <v>Compack Enterprise Silver Granular</v>
      </c>
      <c r="F159" s="27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>
      <c r="A160" s="6">
        <v>5</v>
      </c>
      <c r="B160" s="51">
        <v>8116177703</v>
      </c>
      <c r="C160" s="51"/>
      <c r="D160" s="312" t="s">
        <v>965</v>
      </c>
      <c r="E160" s="316" t="s">
        <v>1282</v>
      </c>
      <c r="F160" s="27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>
      <c r="A161" s="6">
        <v>6</v>
      </c>
      <c r="B161" s="51">
        <v>81120030864</v>
      </c>
      <c r="C161" s="33"/>
      <c r="D161" s="317" t="s">
        <v>1283</v>
      </c>
      <c r="E161" s="318" t="str">
        <f t="array" ref="E161">_xlfn.XLOOKUP(B161,Sheet19!$A$2:$A$235,Sheet19!$B$2:$B$235)</f>
        <v>Compack Enterprise Gold Granular</v>
      </c>
      <c r="F161" s="27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>
      <c r="A162" s="6">
        <v>18</v>
      </c>
      <c r="B162" s="51">
        <v>8116138313</v>
      </c>
      <c r="C162" s="33"/>
      <c r="D162" s="51" t="s">
        <v>958</v>
      </c>
      <c r="E162" s="11" t="s">
        <v>1214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>
      <c r="A163" s="319"/>
      <c r="B163" s="320">
        <v>81121910757</v>
      </c>
      <c r="C163" s="38" t="s">
        <v>559</v>
      </c>
      <c r="D163" s="320" t="s">
        <v>1284</v>
      </c>
      <c r="E163" s="11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>
      <c r="A164" s="6">
        <v>7</v>
      </c>
      <c r="B164" s="51">
        <v>81120237649</v>
      </c>
      <c r="C164" s="126" t="s">
        <v>1285</v>
      </c>
      <c r="D164" s="38" t="s">
        <v>409</v>
      </c>
      <c r="E164" s="318" t="str">
        <f t="array" ref="E164">_xlfn.XLOOKUP(B164,Sheet19!$A$2:$A$235,Sheet19!$B$2:$B$235)</f>
        <v>Compack Enterprise Silver Granular</v>
      </c>
    </row>
    <row r="165" spans="1:21">
      <c r="A165" s="504" t="s">
        <v>1286</v>
      </c>
      <c r="B165" s="505"/>
      <c r="C165" s="505"/>
      <c r="D165" s="322"/>
      <c r="E165" s="323"/>
    </row>
    <row r="166" spans="1:21">
      <c r="A166" s="6">
        <v>3</v>
      </c>
      <c r="B166" s="51">
        <v>8112111135</v>
      </c>
      <c r="C166" s="126" t="s">
        <v>1287</v>
      </c>
      <c r="D166" s="312" t="s">
        <v>533</v>
      </c>
      <c r="E166" s="318" t="str">
        <f t="array" ref="E166">_xlfn.XLOOKUP(B166,Sheet19!$A$2:$A$235,Sheet19!$B$2:$B$235)</f>
        <v>Compack Enterprise Bronze Granular</v>
      </c>
    </row>
    <row r="167" spans="1:21">
      <c r="A167" s="6">
        <v>4</v>
      </c>
      <c r="B167" s="51">
        <v>8112116757</v>
      </c>
      <c r="C167" s="126" t="s">
        <v>1287</v>
      </c>
      <c r="D167" s="309" t="s">
        <v>1288</v>
      </c>
      <c r="E167" s="318" t="str">
        <f t="array" ref="E167">_xlfn.XLOOKUP(B167,Sheet19!$A$2:$A$235,Sheet19!$B$2:$B$235)</f>
        <v>Compack Enterprise Silver Granular</v>
      </c>
    </row>
    <row r="168" spans="1:21">
      <c r="A168" s="6">
        <v>5</v>
      </c>
      <c r="B168" s="51">
        <v>8112111068</v>
      </c>
      <c r="C168" s="126" t="s">
        <v>1289</v>
      </c>
      <c r="D168" s="312" t="s">
        <v>1290</v>
      </c>
      <c r="E168" s="318" t="str">
        <f t="array" ref="E168">_xlfn.XLOOKUP(B168,Sheet19!$A$2:$A$235,Sheet19!$B$2:$B$235)</f>
        <v>Compack Enterprise Silver Granular</v>
      </c>
    </row>
    <row r="169" spans="1:21">
      <c r="A169" s="6">
        <v>6</v>
      </c>
      <c r="B169" s="51">
        <v>8112124354</v>
      </c>
      <c r="C169" s="126" t="s">
        <v>1287</v>
      </c>
      <c r="D169" s="11" t="s">
        <v>1292</v>
      </c>
      <c r="E169" s="318" t="str">
        <f t="array" ref="E169">_xlfn.XLOOKUP(B169,Sheet19!$A$2:$A$235,Sheet19!$B$2:$B$235)</f>
        <v>Compack Enterprise Silver Granular</v>
      </c>
    </row>
    <row r="170" spans="1:21">
      <c r="A170" s="6">
        <v>8</v>
      </c>
      <c r="B170" s="314">
        <v>8112163560</v>
      </c>
      <c r="C170" s="126" t="s">
        <v>1287</v>
      </c>
      <c r="D170" s="35" t="s">
        <v>1295</v>
      </c>
      <c r="E170" s="318" t="str">
        <f t="array" ref="E170">_xlfn.XLOOKUP(B170,Sheet19!$A$2:$A$235,Sheet19!$B$2:$B$235)</f>
        <v>Compack Enterprise Bronze Granular</v>
      </c>
    </row>
    <row r="171" spans="1:21">
      <c r="A171" s="6">
        <v>9</v>
      </c>
      <c r="B171" s="51">
        <v>8112206704</v>
      </c>
      <c r="D171" s="310" t="s">
        <v>75</v>
      </c>
      <c r="E171" s="318" t="str">
        <f t="array" ref="E171">_xlfn.XLOOKUP(B171,Sheet19!$A$2:$A$235,Sheet19!$B$2:$B$235)</f>
        <v>Compack Enterprise Silver Granular</v>
      </c>
    </row>
    <row r="172" spans="1:21">
      <c r="A172" s="6">
        <v>10</v>
      </c>
      <c r="B172" s="51">
        <v>81120040570</v>
      </c>
      <c r="C172" s="126" t="s">
        <v>1296</v>
      </c>
      <c r="D172" s="35" t="s">
        <v>1297</v>
      </c>
      <c r="E172" s="318" t="str">
        <f t="array" ref="E172">_xlfn.XLOOKUP(B172,Sheet19!$A$2:$A$235,Sheet19!$B$2:$B$235)</f>
        <v>Compack Enterprise Silver Granular</v>
      </c>
    </row>
    <row r="173" spans="1:21">
      <c r="A173" s="6">
        <v>11</v>
      </c>
      <c r="B173" s="51">
        <v>81120030870</v>
      </c>
      <c r="C173" s="126" t="s">
        <v>1287</v>
      </c>
      <c r="D173" s="324" t="s">
        <v>1298</v>
      </c>
      <c r="E173" s="318" t="str">
        <f t="array" ref="E173">_xlfn.XLOOKUP(B173,Sheet19!$A$2:$A$235,Sheet19!$B$2:$B$235)</f>
        <v>Compack Enterprise Gold Granular</v>
      </c>
    </row>
    <row r="174" spans="1:21">
      <c r="A174" s="6">
        <v>12</v>
      </c>
      <c r="B174" s="51">
        <v>81120011919</v>
      </c>
      <c r="C174" s="126" t="s">
        <v>1287</v>
      </c>
      <c r="D174" s="309" t="s">
        <v>75</v>
      </c>
      <c r="E174" s="318" t="str">
        <f t="array" ref="E174">_xlfn.XLOOKUP(B174,Sheet19!$A$2:$A$235,Sheet19!$B$2:$B$235)</f>
        <v>Compack Enterprise Silver Granular</v>
      </c>
    </row>
    <row r="175" spans="1:21">
      <c r="A175" s="6">
        <v>13</v>
      </c>
      <c r="B175" s="318">
        <v>8112124358</v>
      </c>
      <c r="C175" s="126" t="s">
        <v>1299</v>
      </c>
      <c r="D175" s="325" t="s">
        <v>1300</v>
      </c>
      <c r="E175" s="318" t="str">
        <f t="array" ref="E175">_xlfn.XLOOKUP(B175,Sheet19!$A$2:$A$235,Sheet19!$B$2:$B$235)</f>
        <v>Compack Enterprise Silver Granular</v>
      </c>
    </row>
    <row r="176" spans="1:21">
      <c r="A176" s="6">
        <v>14</v>
      </c>
      <c r="B176" s="318">
        <v>8112123936</v>
      </c>
      <c r="C176" s="126" t="s">
        <v>1287</v>
      </c>
      <c r="D176" s="325" t="s">
        <v>1302</v>
      </c>
      <c r="E176" s="318" t="str">
        <f t="array" ref="E176">_xlfn.XLOOKUP(B176,Sheet19!$A$2:$A$235,Sheet19!$B$2:$B$235)</f>
        <v>Compack Enterprise Silver Granular</v>
      </c>
    </row>
    <row r="177" spans="1:21">
      <c r="A177" s="6">
        <v>15</v>
      </c>
      <c r="B177" s="318">
        <v>8112111134</v>
      </c>
      <c r="C177" s="126" t="s">
        <v>1287</v>
      </c>
      <c r="D177" s="325" t="s">
        <v>1304</v>
      </c>
      <c r="E177" s="318" t="str">
        <f t="array" ref="E177">_xlfn.XLOOKUP(B177,Sheet19!$A$2:$A$235,Sheet19!$B$2:$B$235)</f>
        <v>Compack Enterprise Silver Granular</v>
      </c>
    </row>
    <row r="178" spans="1:21">
      <c r="A178" s="6">
        <v>16</v>
      </c>
      <c r="B178" s="318">
        <v>8112123937</v>
      </c>
      <c r="C178" s="126" t="s">
        <v>1287</v>
      </c>
      <c r="D178" s="325"/>
      <c r="E178" s="318" t="str">
        <f t="array" ref="E178">_xlfn.XLOOKUP(B178,Sheet19!$A$2:$A$235,Sheet19!$B$2:$B$235)</f>
        <v>Compack Enterprise Silver Granular</v>
      </c>
    </row>
    <row r="179" spans="1:21">
      <c r="A179" s="6">
        <v>17</v>
      </c>
      <c r="B179" s="318">
        <v>81120224921</v>
      </c>
      <c r="C179" s="126" t="s">
        <v>1287</v>
      </c>
      <c r="D179" s="59" t="s">
        <v>1305</v>
      </c>
      <c r="E179" s="318" t="str">
        <f t="array" ref="E179">_xlfn.XLOOKUP(B179,Sheet19!$A$2:$A$235,Sheet19!$B$2:$B$235)</f>
        <v>Compack Enterprise Silver Granular</v>
      </c>
    </row>
    <row r="180" spans="1:21">
      <c r="A180" s="6">
        <v>19</v>
      </c>
      <c r="B180" s="51">
        <v>8116177702</v>
      </c>
      <c r="C180" s="126" t="s">
        <v>1287</v>
      </c>
      <c r="D180" s="51" t="s">
        <v>1306</v>
      </c>
      <c r="E180" s="11" t="s">
        <v>1214</v>
      </c>
      <c r="F180" s="27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>
      <c r="A181" s="6">
        <v>129</v>
      </c>
      <c r="B181" s="51">
        <v>81120059064</v>
      </c>
      <c r="C181" s="38" t="s">
        <v>1287</v>
      </c>
      <c r="D181" s="59" t="s">
        <v>484</v>
      </c>
      <c r="E181" s="51" t="str">
        <f t="array" ref="E181">_xlfn.XLOOKUP(B181,Sheet19!$A$2:$A$235,Sheet19!$B$2:$B$235)</f>
        <v>Compack Enterprise Silver Granular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>
      <c r="A182" s="6">
        <v>111</v>
      </c>
      <c r="B182" s="51">
        <v>81120030869</v>
      </c>
      <c r="C182" s="38" t="s">
        <v>1287</v>
      </c>
      <c r="D182" s="33" t="s">
        <v>1307</v>
      </c>
      <c r="E182" s="51" t="str">
        <f t="array" ref="E182">_xlfn.XLOOKUP(B182,Sheet19!$A$2:$A$235,Sheet19!$B$2:$B$235)</f>
        <v>Compack Enterprise Gold Granular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>
      <c r="A183" s="506" t="s">
        <v>1308</v>
      </c>
      <c r="B183" s="505"/>
      <c r="C183" s="505"/>
      <c r="D183" s="505"/>
      <c r="E183" s="507"/>
    </row>
    <row r="184" spans="1:21">
      <c r="A184" s="6">
        <v>52</v>
      </c>
      <c r="B184" s="51">
        <v>8112123939</v>
      </c>
      <c r="C184" s="309" t="s">
        <v>1309</v>
      </c>
      <c r="D184" s="11" t="s">
        <v>740</v>
      </c>
      <c r="E184" s="51" t="str">
        <f t="array" ref="E184">_xlfn.XLOOKUP(B184,Sheet19!$A$2:$A$235,Sheet19!$B$2:$B$235)</f>
        <v>VPN Mobile PBX Pack 4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>
      <c r="A185" s="6">
        <v>53</v>
      </c>
      <c r="B185" s="51">
        <v>8112123942</v>
      </c>
      <c r="C185" s="310" t="s">
        <v>1312</v>
      </c>
      <c r="D185" s="11" t="s">
        <v>740</v>
      </c>
      <c r="E185" s="51" t="str">
        <f t="array" ref="E185">_xlfn.XLOOKUP(B185,Sheet19!$A$2:$A$235,Sheet19!$B$2:$B$235)</f>
        <v>VPN Mobile PBX Pack 4</v>
      </c>
      <c r="F185" s="27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>
      <c r="A186" s="6">
        <v>76</v>
      </c>
      <c r="B186" s="51">
        <v>8112129918</v>
      </c>
      <c r="C186" s="311" t="s">
        <v>1313</v>
      </c>
      <c r="D186" s="11" t="s">
        <v>740</v>
      </c>
      <c r="E186" s="51" t="str">
        <f t="array" ref="E186">_xlfn.XLOOKUP(B186,Sheet19!$A$2:$A$235,Sheet19!$B$2:$B$235)</f>
        <v>VPN Mobile PBX Pack 4</v>
      </c>
      <c r="F186" s="27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>
      <c r="A187" s="6">
        <v>48</v>
      </c>
      <c r="B187" s="51">
        <v>8112123933</v>
      </c>
      <c r="C187" s="310" t="s">
        <v>1314</v>
      </c>
      <c r="D187" s="11" t="s">
        <v>740</v>
      </c>
      <c r="E187" s="51" t="str">
        <f t="array" ref="E187">_xlfn.XLOOKUP(B187,Sheet19!$A$2:$A$235,Sheet19!$B$2:$B$235)</f>
        <v>Compack Enterprise Silver Granular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>
      <c r="A188" s="6">
        <v>70</v>
      </c>
      <c r="B188" s="51">
        <v>8112128409</v>
      </c>
      <c r="C188" s="309" t="s">
        <v>1317</v>
      </c>
      <c r="D188" s="11" t="s">
        <v>740</v>
      </c>
      <c r="E188" s="51" t="str">
        <f t="array" ref="E188">_xlfn.XLOOKUP(B188,Sheet19!$A$2:$A$235,Sheet19!$B$2:$B$235)</f>
        <v>Compack Enterprise Silver Granular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>
      <c r="A189" s="6">
        <v>1</v>
      </c>
      <c r="B189" s="51">
        <v>8112111070</v>
      </c>
      <c r="C189" s="312"/>
      <c r="D189" s="11" t="s">
        <v>1318</v>
      </c>
      <c r="E189" s="318" t="str">
        <f t="array" ref="E189">_xlfn.XLOOKUP(B189,Sheet19!$A$2:$A$235,Sheet19!$B$2:$B$235)</f>
        <v>Compack Enterprise Bronze Granular</v>
      </c>
    </row>
    <row r="190" spans="1:21">
      <c r="A190" s="6">
        <v>2</v>
      </c>
      <c r="B190" s="312">
        <v>8112163552</v>
      </c>
      <c r="C190" s="312"/>
      <c r="D190" s="11" t="s">
        <v>740</v>
      </c>
      <c r="E190" s="318" t="str">
        <f t="array" ref="E190">_xlfn.XLOOKUP(B190,Sheet19!$A$2:$A$235,Sheet19!$B$2:$B$235)</f>
        <v>Flash 150ribu</v>
      </c>
    </row>
  </sheetData>
  <mergeCells count="2">
    <mergeCell ref="A165:C165"/>
    <mergeCell ref="A183:E183"/>
  </mergeCells>
  <conditionalFormatting sqref="H2:I924">
    <cfRule type="expression" dxfId="57" priority="1">
      <formula>COUNTIF($H2:H924,#REF!)&gt;1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235"/>
  <sheetViews>
    <sheetView workbookViewId="0"/>
  </sheetViews>
  <sheetFormatPr defaultColWidth="12.5703125" defaultRowHeight="15.75" customHeight="1"/>
  <cols>
    <col min="1" max="1" width="13.140625" customWidth="1"/>
    <col min="2" max="2" width="30.140625" customWidth="1"/>
    <col min="3" max="3" width="31.5703125" customWidth="1"/>
  </cols>
  <sheetData>
    <row r="1" spans="1:3" ht="15.75" customHeight="1">
      <c r="A1" s="327" t="s">
        <v>1321</v>
      </c>
      <c r="B1" s="327" t="s">
        <v>1322</v>
      </c>
      <c r="C1" s="126" t="s">
        <v>1323</v>
      </c>
    </row>
    <row r="2" spans="1:3" ht="15.75" customHeight="1">
      <c r="A2" s="328">
        <v>811211365</v>
      </c>
      <c r="B2" s="327" t="s">
        <v>1324</v>
      </c>
      <c r="C2" s="329" t="e">
        <f t="array" ref="C2">_xlfn.XLOOKUP(A2,'I. SIM CARD HALO'!$B$2:$B$178,'I. SIM CARD HALO'!$D$2:$D$165)</f>
        <v>#VALUE!</v>
      </c>
    </row>
    <row r="3" spans="1:3" ht="15.75" customHeight="1">
      <c r="A3" s="328">
        <v>811211365</v>
      </c>
      <c r="B3" s="327" t="s">
        <v>1325</v>
      </c>
      <c r="C3" s="329" t="e">
        <f t="array" ref="C3">_xlfn.XLOOKUP(A3,'I. SIM CARD HALO'!$B$2:$B$178,'I. SIM CARD HALO'!$D$2:$D$165)</f>
        <v>#VALUE!</v>
      </c>
    </row>
    <row r="4" spans="1:3" ht="15.75" customHeight="1">
      <c r="A4" s="328">
        <v>811542899</v>
      </c>
      <c r="B4" s="327" t="s">
        <v>1214</v>
      </c>
      <c r="C4" s="329" t="e">
        <f t="array" ref="C4">_xlfn.XLOOKUP(A4,'I. SIM CARD HALO'!$B$2:$B$178,'I. SIM CARD HALO'!$D$2:$D$165)</f>
        <v>#VALUE!</v>
      </c>
    </row>
    <row r="5" spans="1:3" ht="15.75" customHeight="1">
      <c r="A5" s="330">
        <v>8111083913</v>
      </c>
      <c r="B5" s="331" t="s">
        <v>1326</v>
      </c>
      <c r="C5" s="230" t="e">
        <f t="array" ref="C5">_xlfn.XLOOKUP(A5,'I. SIM CARD HALO'!$B$2:$B$178,'I. SIM CARD HALO'!$D$2:$D$165)</f>
        <v>#VALUE!</v>
      </c>
    </row>
    <row r="6" spans="1:3" ht="15.75" customHeight="1">
      <c r="A6" s="328">
        <v>8111083913</v>
      </c>
      <c r="B6" s="327" t="s">
        <v>1325</v>
      </c>
      <c r="C6" s="329" t="e">
        <f t="array" ref="C6">_xlfn.XLOOKUP(A6,'I. SIM CARD HALO'!$B$2:$B$178,'I. SIM CARD HALO'!$D$2:$D$165)</f>
        <v>#VALUE!</v>
      </c>
    </row>
    <row r="7" spans="1:3" ht="15.75" customHeight="1">
      <c r="A7" s="328">
        <v>8112079591</v>
      </c>
      <c r="B7" s="327" t="s">
        <v>1214</v>
      </c>
      <c r="C7" s="329" t="e">
        <f t="array" ref="C7">_xlfn.XLOOKUP(A7,'I. SIM CARD HALO'!$B$2:$B$178,'I. SIM CARD HALO'!$D$2:$D$165)</f>
        <v>#VALUE!</v>
      </c>
    </row>
    <row r="8" spans="1:3" ht="15.75" customHeight="1">
      <c r="A8" s="328">
        <v>8112079591</v>
      </c>
      <c r="B8" s="327" t="s">
        <v>1327</v>
      </c>
      <c r="C8" s="329" t="e">
        <f t="array" ref="C8">_xlfn.XLOOKUP(A8,'I. SIM CARD HALO'!$B$2:$B$178,'I. SIM CARD HALO'!$D$2:$D$165)</f>
        <v>#VALUE!</v>
      </c>
    </row>
    <row r="9" spans="1:3" ht="15.75" customHeight="1">
      <c r="A9" s="328">
        <v>8112079592</v>
      </c>
      <c r="B9" s="327" t="s">
        <v>1214</v>
      </c>
      <c r="C9" s="329" t="e">
        <f t="array" ref="C9">_xlfn.XLOOKUP(A9,'I. SIM CARD HALO'!$B$2:$B$178,'I. SIM CARD HALO'!$D$2:$D$165)</f>
        <v>#VALUE!</v>
      </c>
    </row>
    <row r="10" spans="1:3" ht="15.75" customHeight="1">
      <c r="A10" s="328">
        <v>8112079592</v>
      </c>
      <c r="B10" s="327" t="s">
        <v>1329</v>
      </c>
      <c r="C10" s="329" t="e">
        <f t="array" ref="C10">_xlfn.XLOOKUP(A10,'I. SIM CARD HALO'!$B$2:$B$178,'I. SIM CARD HALO'!$D$2:$D$165)</f>
        <v>#VALUE!</v>
      </c>
    </row>
    <row r="11" spans="1:3" ht="15.75" customHeight="1">
      <c r="A11" s="328">
        <v>8112079595</v>
      </c>
      <c r="B11" s="327" t="s">
        <v>1214</v>
      </c>
      <c r="C11" s="329" t="e">
        <f t="array" ref="C11">_xlfn.XLOOKUP(A11,'I. SIM CARD HALO'!$B$2:$B$178,'I. SIM CARD HALO'!$D$2:$D$165)</f>
        <v>#VALUE!</v>
      </c>
    </row>
    <row r="12" spans="1:3" ht="15.75" customHeight="1">
      <c r="A12" s="328">
        <v>8112079597</v>
      </c>
      <c r="B12" s="327" t="s">
        <v>1330</v>
      </c>
      <c r="C12" s="329" t="e">
        <f t="array" ref="C12">_xlfn.XLOOKUP(A12,'I. SIM CARD HALO'!$B$2:$B$178,'I. SIM CARD HALO'!$D$2:$D$165)</f>
        <v>#VALUE!</v>
      </c>
    </row>
    <row r="13" spans="1:3" ht="15.75" customHeight="1">
      <c r="A13" s="328">
        <v>8112079597</v>
      </c>
      <c r="B13" s="327" t="s">
        <v>1331</v>
      </c>
      <c r="C13" s="329" t="e">
        <f t="array" ref="C13">_xlfn.XLOOKUP(A13,'I. SIM CARD HALO'!$B$2:$B$178,'I. SIM CARD HALO'!$D$2:$D$165)</f>
        <v>#VALUE!</v>
      </c>
    </row>
    <row r="14" spans="1:3" ht="15.75" customHeight="1">
      <c r="A14" s="328">
        <v>8112079597</v>
      </c>
      <c r="B14" s="327" t="s">
        <v>1325</v>
      </c>
      <c r="C14" s="329" t="e">
        <f t="array" ref="C14">_xlfn.XLOOKUP(A14,'I. SIM CARD HALO'!$B$2:$B$178,'I. SIM CARD HALO'!$D$2:$D$165)</f>
        <v>#VALUE!</v>
      </c>
    </row>
    <row r="15" spans="1:3" ht="15.75" customHeight="1">
      <c r="A15" s="328">
        <v>8112110398</v>
      </c>
      <c r="B15" s="327" t="s">
        <v>1214</v>
      </c>
      <c r="C15" s="329" t="e">
        <f t="array" ref="C15">_xlfn.XLOOKUP(A15,'I. SIM CARD HALO'!$B$2:$B$178,'I. SIM CARD HALO'!$D$2:$D$165)</f>
        <v>#VALUE!</v>
      </c>
    </row>
    <row r="16" spans="1:3" ht="15.75" customHeight="1">
      <c r="A16" s="328">
        <v>8112111068</v>
      </c>
      <c r="B16" s="327" t="s">
        <v>1214</v>
      </c>
      <c r="C16" s="329" t="e">
        <f t="array" ref="C16">_xlfn.XLOOKUP(A16,'I. SIM CARD HALO'!$B$2:$B$178,'I. SIM CARD HALO'!$D$2:$D$165)</f>
        <v>#VALUE!</v>
      </c>
    </row>
    <row r="17" spans="1:3" ht="15.75" customHeight="1">
      <c r="A17" s="332">
        <v>8112111070</v>
      </c>
      <c r="B17" s="31" t="s">
        <v>1332</v>
      </c>
      <c r="C17" s="329" t="e">
        <f t="array" ref="C17">_xlfn.XLOOKUP(A17,'I. SIM CARD HALO'!$B$2:$B$178,'I. SIM CARD HALO'!$D$2:$D$165)</f>
        <v>#VALUE!</v>
      </c>
    </row>
    <row r="18" spans="1:3" ht="15.75" customHeight="1">
      <c r="A18" s="328">
        <v>8112111080</v>
      </c>
      <c r="B18" s="327" t="s">
        <v>1214</v>
      </c>
      <c r="C18" s="329" t="e">
        <f t="array" ref="C18">_xlfn.XLOOKUP(A18,'I. SIM CARD HALO'!$B$2:$B$178,'I. SIM CARD HALO'!$D$2:$D$165)</f>
        <v>#VALUE!</v>
      </c>
    </row>
    <row r="19" spans="1:3" ht="15.75" customHeight="1">
      <c r="A19" s="328">
        <v>8112111088</v>
      </c>
      <c r="B19" s="327" t="s">
        <v>1324</v>
      </c>
      <c r="C19" s="329" t="e">
        <f t="array" ref="C19">_xlfn.XLOOKUP(A19,'I. SIM CARD HALO'!$B$2:$B$178,'I. SIM CARD HALO'!$D$2:$D$165)</f>
        <v>#VALUE!</v>
      </c>
    </row>
    <row r="20" spans="1:3" ht="15.75" customHeight="1">
      <c r="A20" s="328">
        <v>8112111088</v>
      </c>
      <c r="B20" s="327" t="s">
        <v>1331</v>
      </c>
      <c r="C20" s="329" t="e">
        <f t="array" ref="C20">_xlfn.XLOOKUP(A20,'I. SIM CARD HALO'!$B$2:$B$178,'I. SIM CARD HALO'!$D$2:$D$165)</f>
        <v>#VALUE!</v>
      </c>
    </row>
    <row r="21" spans="1:3" ht="15.75" customHeight="1">
      <c r="A21" s="328">
        <v>8112111088</v>
      </c>
      <c r="B21" s="327" t="s">
        <v>1325</v>
      </c>
      <c r="C21" s="329" t="e">
        <f t="array" ref="C21">_xlfn.XLOOKUP(A21,'I. SIM CARD HALO'!$B$2:$B$178,'I. SIM CARD HALO'!$D$2:$D$165)</f>
        <v>#VALUE!</v>
      </c>
    </row>
    <row r="22" spans="1:3" ht="15.75" customHeight="1">
      <c r="A22" s="328">
        <v>8112111088</v>
      </c>
      <c r="B22" s="327" t="s">
        <v>1325</v>
      </c>
      <c r="C22" s="329" t="e">
        <f t="array" ref="C22">_xlfn.XLOOKUP(A22,'I. SIM CARD HALO'!$B$2:$B$178,'I. SIM CARD HALO'!$D$2:$D$165)</f>
        <v>#VALUE!</v>
      </c>
    </row>
    <row r="23" spans="1:3" ht="15.75" customHeight="1">
      <c r="A23" s="328">
        <v>8112111090</v>
      </c>
      <c r="B23" s="327" t="s">
        <v>1214</v>
      </c>
      <c r="C23" s="329" t="e">
        <f t="array" ref="C23">_xlfn.XLOOKUP(A23,'I. SIM CARD HALO'!$B$2:$B$178,'I. SIM CARD HALO'!$D$2:$D$165)</f>
        <v>#VALUE!</v>
      </c>
    </row>
    <row r="24" spans="1:3" ht="15.75" customHeight="1">
      <c r="A24" s="328">
        <v>8112111134</v>
      </c>
      <c r="B24" s="327" t="s">
        <v>1214</v>
      </c>
      <c r="C24" s="329" t="e">
        <f t="array" ref="C24">_xlfn.XLOOKUP(A24,'I. SIM CARD HALO'!$B$2:$B$178,'I. SIM CARD HALO'!$D$2:$D$165)</f>
        <v>#VALUE!</v>
      </c>
    </row>
    <row r="25" spans="1:3" ht="15.75" customHeight="1">
      <c r="A25" s="332">
        <v>8112111135</v>
      </c>
      <c r="B25" s="31" t="s">
        <v>1332</v>
      </c>
      <c r="C25" s="329" t="e">
        <f t="array" ref="C25">_xlfn.XLOOKUP(A25,'I. SIM CARD HALO'!$B$2:$B$178,'I. SIM CARD HALO'!$D$2:$D$165)</f>
        <v>#VALUE!</v>
      </c>
    </row>
    <row r="26" spans="1:3" ht="15.75" customHeight="1">
      <c r="A26" s="328">
        <v>8112111136</v>
      </c>
      <c r="B26" s="327" t="s">
        <v>1214</v>
      </c>
      <c r="C26" s="329" t="e">
        <f t="array" ref="C26">_xlfn.XLOOKUP(A26,'I. SIM CARD HALO'!$B$2:$B$178,'I. SIM CARD HALO'!$D$2:$D$165)</f>
        <v>#VALUE!</v>
      </c>
    </row>
    <row r="27" spans="1:3" ht="15.75" customHeight="1">
      <c r="A27" s="328">
        <v>8112111136</v>
      </c>
      <c r="B27" s="327" t="s">
        <v>1335</v>
      </c>
      <c r="C27" s="329" t="e">
        <f t="array" ref="C27">_xlfn.XLOOKUP(A27,'I. SIM CARD HALO'!$B$2:$B$178,'I. SIM CARD HALO'!$D$2:$D$165)</f>
        <v>#VALUE!</v>
      </c>
    </row>
    <row r="28" spans="1:3" ht="15.75" customHeight="1">
      <c r="A28" s="328">
        <v>8112111152</v>
      </c>
      <c r="B28" s="327" t="s">
        <v>1214</v>
      </c>
      <c r="C28" s="329" t="e">
        <f t="array" ref="C28">_xlfn.XLOOKUP(A28,'I. SIM CARD HALO'!$B$2:$B$178,'I. SIM CARD HALO'!$D$2:$D$165)</f>
        <v>#VALUE!</v>
      </c>
    </row>
    <row r="29" spans="1:3" ht="15.75" customHeight="1">
      <c r="A29" s="328">
        <v>8112111153</v>
      </c>
      <c r="B29" s="327" t="s">
        <v>1332</v>
      </c>
      <c r="C29" s="329" t="e">
        <f t="array" ref="C29">_xlfn.XLOOKUP(A29,'I. SIM CARD HALO'!$B$2:$B$178,'I. SIM CARD HALO'!$D$2:$D$165)</f>
        <v>#VALUE!</v>
      </c>
    </row>
    <row r="30" spans="1:3" ht="15.75" customHeight="1">
      <c r="A30" s="328">
        <v>8112113080</v>
      </c>
      <c r="B30" s="327" t="s">
        <v>1214</v>
      </c>
      <c r="C30" s="329" t="e">
        <f t="array" ref="C30">_xlfn.XLOOKUP(A30,'I. SIM CARD HALO'!$B$2:$B$178,'I. SIM CARD HALO'!$D$2:$D$165)</f>
        <v>#VALUE!</v>
      </c>
    </row>
    <row r="31" spans="1:3" ht="15.75" customHeight="1">
      <c r="A31" s="328">
        <v>8112113081</v>
      </c>
      <c r="B31" s="327" t="s">
        <v>1214</v>
      </c>
      <c r="C31" s="329" t="e">
        <f t="array" ref="C31">_xlfn.XLOOKUP(A31,'I. SIM CARD HALO'!$B$2:$B$178,'I. SIM CARD HALO'!$D$2:$D$165)</f>
        <v>#VALUE!</v>
      </c>
    </row>
    <row r="32" spans="1:3" ht="15.75" customHeight="1">
      <c r="A32" s="328">
        <v>8112113081</v>
      </c>
      <c r="B32" s="327" t="s">
        <v>1329</v>
      </c>
      <c r="C32" s="329" t="e">
        <f t="array" ref="C32">_xlfn.XLOOKUP(A32,'I. SIM CARD HALO'!$B$2:$B$178,'I. SIM CARD HALO'!$D$2:$D$165)</f>
        <v>#VALUE!</v>
      </c>
    </row>
    <row r="33" spans="1:3" ht="15.75" customHeight="1">
      <c r="A33" s="328">
        <v>8112113083</v>
      </c>
      <c r="B33" s="327" t="s">
        <v>1214</v>
      </c>
      <c r="C33" s="329" t="e">
        <f t="array" ref="C33">_xlfn.XLOOKUP(A33,'I. SIM CARD HALO'!$B$2:$B$178,'I. SIM CARD HALO'!$D$2:$D$165)</f>
        <v>#VALUE!</v>
      </c>
    </row>
    <row r="34" spans="1:3" ht="15.75" customHeight="1">
      <c r="A34" s="328">
        <v>8112113084</v>
      </c>
      <c r="B34" s="327" t="s">
        <v>1214</v>
      </c>
      <c r="C34" s="329" t="e">
        <f t="array" ref="C34">_xlfn.XLOOKUP(A34,'I. SIM CARD HALO'!$B$2:$B$178,'I. SIM CARD HALO'!$D$2:$D$165)</f>
        <v>#VALUE!</v>
      </c>
    </row>
    <row r="35" spans="1:3" ht="15.75" customHeight="1">
      <c r="A35" s="328">
        <v>8112113085</v>
      </c>
      <c r="B35" s="327" t="s">
        <v>1214</v>
      </c>
      <c r="C35" s="329" t="e">
        <f t="array" ref="C35">_xlfn.XLOOKUP(A35,'I. SIM CARD HALO'!$B$2:$B$178,'I. SIM CARD HALO'!$D$2:$D$165)</f>
        <v>#VALUE!</v>
      </c>
    </row>
    <row r="36" spans="1:3" ht="15.75" customHeight="1">
      <c r="A36" s="328">
        <v>8112113086</v>
      </c>
      <c r="B36" s="327" t="s">
        <v>1214</v>
      </c>
      <c r="C36" s="329" t="e">
        <f t="array" ref="C36">_xlfn.XLOOKUP(A36,'I. SIM CARD HALO'!$B$2:$B$178,'I. SIM CARD HALO'!$D$2:$D$165)</f>
        <v>#VALUE!</v>
      </c>
    </row>
    <row r="37" spans="1:3" ht="15">
      <c r="A37" s="328">
        <v>8112113086</v>
      </c>
      <c r="B37" s="327" t="s">
        <v>1335</v>
      </c>
      <c r="C37" s="329" t="e">
        <f t="array" ref="C37">_xlfn.XLOOKUP(A37,'I. SIM CARD HALO'!$B$2:$B$178,'I. SIM CARD HALO'!$D$2:$D$165)</f>
        <v>#VALUE!</v>
      </c>
    </row>
    <row r="38" spans="1:3" ht="15">
      <c r="A38" s="328">
        <v>8112113087</v>
      </c>
      <c r="B38" s="327" t="s">
        <v>1214</v>
      </c>
      <c r="C38" s="329" t="e">
        <f t="array" ref="C38">_xlfn.XLOOKUP(A38,'I. SIM CARD HALO'!$B$2:$B$178,'I. SIM CARD HALO'!$D$2:$D$165)</f>
        <v>#VALUE!</v>
      </c>
    </row>
    <row r="39" spans="1:3" ht="15">
      <c r="A39" s="328">
        <v>8112113089</v>
      </c>
      <c r="B39" s="327" t="s">
        <v>1338</v>
      </c>
      <c r="C39" s="329" t="e">
        <f t="array" ref="C39">_xlfn.XLOOKUP(A39,'I. SIM CARD HALO'!$B$2:$B$178,'I. SIM CARD HALO'!$D$2:$D$165)</f>
        <v>#VALUE!</v>
      </c>
    </row>
    <row r="40" spans="1:3" ht="15">
      <c r="A40" s="328">
        <v>8112113089</v>
      </c>
      <c r="B40" s="327" t="s">
        <v>949</v>
      </c>
      <c r="C40" s="329" t="e">
        <f t="array" ref="C40">_xlfn.XLOOKUP(A40,'I. SIM CARD HALO'!$B$2:$B$178,'I. SIM CARD HALO'!$D$2:$D$165)</f>
        <v>#VALUE!</v>
      </c>
    </row>
    <row r="41" spans="1:3" ht="15">
      <c r="A41" s="328">
        <v>8112113090</v>
      </c>
      <c r="B41" s="327" t="s">
        <v>1214</v>
      </c>
      <c r="C41" s="329" t="e">
        <f t="array" ref="C41">_xlfn.XLOOKUP(A41,'I. SIM CARD HALO'!$B$2:$B$178,'I. SIM CARD HALO'!$D$2:$D$165)</f>
        <v>#VALUE!</v>
      </c>
    </row>
    <row r="42" spans="1:3" ht="15">
      <c r="A42" s="328">
        <v>8112113091</v>
      </c>
      <c r="B42" s="327" t="s">
        <v>1214</v>
      </c>
      <c r="C42" s="329" t="e">
        <f t="array" ref="C42">_xlfn.XLOOKUP(A42,'I. SIM CARD HALO'!$B$2:$B$178,'I. SIM CARD HALO'!$D$2:$D$165)</f>
        <v>#VALUE!</v>
      </c>
    </row>
    <row r="43" spans="1:3" ht="15">
      <c r="A43" s="328">
        <v>8112113091</v>
      </c>
      <c r="B43" s="327" t="s">
        <v>1325</v>
      </c>
      <c r="C43" s="329" t="e">
        <f t="array" ref="C43">_xlfn.XLOOKUP(A43,'I. SIM CARD HALO'!$B$2:$B$178,'I. SIM CARD HALO'!$D$2:$D$165)</f>
        <v>#VALUE!</v>
      </c>
    </row>
    <row r="44" spans="1:3" ht="15">
      <c r="A44" s="328">
        <v>8112113092</v>
      </c>
      <c r="B44" s="327" t="s">
        <v>1214</v>
      </c>
      <c r="C44" s="329" t="e">
        <f t="array" ref="C44">_xlfn.XLOOKUP(A44,'I. SIM CARD HALO'!$B$2:$B$178,'I. SIM CARD HALO'!$D$2:$D$165)</f>
        <v>#VALUE!</v>
      </c>
    </row>
    <row r="45" spans="1:3" ht="15">
      <c r="A45" s="328">
        <v>8112113092</v>
      </c>
      <c r="B45" s="327" t="s">
        <v>1343</v>
      </c>
      <c r="C45" s="329" t="e">
        <f t="array" ref="C45">_xlfn.XLOOKUP(A45,'I. SIM CARD HALO'!$B$2:$B$178,'I. SIM CARD HALO'!$D$2:$D$165)</f>
        <v>#VALUE!</v>
      </c>
    </row>
    <row r="46" spans="1:3" ht="15">
      <c r="A46" s="328">
        <v>8112113093</v>
      </c>
      <c r="B46" s="327" t="s">
        <v>1214</v>
      </c>
      <c r="C46" s="329" t="e">
        <f t="array" ref="C46">_xlfn.XLOOKUP(A46,'I. SIM CARD HALO'!$B$2:$B$178,'I. SIM CARD HALO'!$D$2:$D$165)</f>
        <v>#VALUE!</v>
      </c>
    </row>
    <row r="47" spans="1:3" ht="15">
      <c r="A47" s="328">
        <v>8112113094</v>
      </c>
      <c r="B47" s="327" t="s">
        <v>1344</v>
      </c>
      <c r="C47" s="329" t="e">
        <f t="array" ref="C47">_xlfn.XLOOKUP(A47,'I. SIM CARD HALO'!$B$2:$B$178,'I. SIM CARD HALO'!$D$2:$D$165)</f>
        <v>#VALUE!</v>
      </c>
    </row>
    <row r="48" spans="1:3" ht="15">
      <c r="A48" s="328">
        <v>8112113095</v>
      </c>
      <c r="B48" s="327" t="s">
        <v>1214</v>
      </c>
      <c r="C48" s="329" t="e">
        <f t="array" ref="C48">_xlfn.XLOOKUP(A48,'I. SIM CARD HALO'!$B$2:$B$178,'I. SIM CARD HALO'!$D$2:$D$165)</f>
        <v>#VALUE!</v>
      </c>
    </row>
    <row r="49" spans="1:3" ht="15">
      <c r="A49" s="328">
        <v>8112113095</v>
      </c>
      <c r="B49" s="327" t="s">
        <v>1335</v>
      </c>
      <c r="C49" s="329" t="e">
        <f t="array" ref="C49">_xlfn.XLOOKUP(A49,'I. SIM CARD HALO'!$B$2:$B$178,'I. SIM CARD HALO'!$D$2:$D$165)</f>
        <v>#VALUE!</v>
      </c>
    </row>
    <row r="50" spans="1:3" ht="15">
      <c r="A50" s="328">
        <v>8112113095</v>
      </c>
      <c r="B50" s="327" t="s">
        <v>1325</v>
      </c>
      <c r="C50" s="329" t="e">
        <f t="array" ref="C50">_xlfn.XLOOKUP(A50,'I. SIM CARD HALO'!$B$2:$B$178,'I. SIM CARD HALO'!$D$2:$D$165)</f>
        <v>#VALUE!</v>
      </c>
    </row>
    <row r="51" spans="1:3" ht="15">
      <c r="A51" s="328">
        <v>8112113097</v>
      </c>
      <c r="B51" s="327" t="s">
        <v>1214</v>
      </c>
      <c r="C51" s="329" t="e">
        <f t="array" ref="C51">_xlfn.XLOOKUP(A51,'I. SIM CARD HALO'!$B$2:$B$178,'I. SIM CARD HALO'!$D$2:$D$165)</f>
        <v>#VALUE!</v>
      </c>
    </row>
    <row r="52" spans="1:3" ht="15">
      <c r="A52" s="328">
        <v>8112113097</v>
      </c>
      <c r="B52" s="327" t="s">
        <v>1346</v>
      </c>
      <c r="C52" s="329" t="e">
        <f t="array" ref="C52">_xlfn.XLOOKUP(A52,'I. SIM CARD HALO'!$B$2:$B$178,'I. SIM CARD HALO'!$D$2:$D$165)</f>
        <v>#VALUE!</v>
      </c>
    </row>
    <row r="53" spans="1:3" ht="15">
      <c r="A53" s="328">
        <v>8112113098</v>
      </c>
      <c r="B53" s="327" t="s">
        <v>1338</v>
      </c>
      <c r="C53" s="329" t="e">
        <f t="array" ref="C53">_xlfn.XLOOKUP(A53,'I. SIM CARD HALO'!$B$2:$B$178,'I. SIM CARD HALO'!$D$2:$D$165)</f>
        <v>#VALUE!</v>
      </c>
    </row>
    <row r="54" spans="1:3" ht="15">
      <c r="A54" s="328">
        <v>8112113098</v>
      </c>
      <c r="B54" s="327" t="s">
        <v>653</v>
      </c>
      <c r="C54" s="329" t="e">
        <f t="array" ref="C54">_xlfn.XLOOKUP(A54,'I. SIM CARD HALO'!$B$2:$B$178,'I. SIM CARD HALO'!$D$2:$D$165)</f>
        <v>#VALUE!</v>
      </c>
    </row>
    <row r="55" spans="1:3" ht="15">
      <c r="A55" s="328">
        <v>8112113098</v>
      </c>
      <c r="B55" s="327" t="s">
        <v>1325</v>
      </c>
      <c r="C55" s="329" t="e">
        <f t="array" ref="C55">_xlfn.XLOOKUP(A55,'I. SIM CARD HALO'!$B$2:$B$178,'I. SIM CARD HALO'!$D$2:$D$165)</f>
        <v>#VALUE!</v>
      </c>
    </row>
    <row r="56" spans="1:3" ht="15">
      <c r="A56" s="328">
        <v>8112113631</v>
      </c>
      <c r="B56" s="327" t="s">
        <v>1214</v>
      </c>
      <c r="C56" s="329" t="e">
        <f t="array" ref="C56">_xlfn.XLOOKUP(A56,'I. SIM CARD HALO'!$B$2:$B$178,'I. SIM CARD HALO'!$D$2:$D$165)</f>
        <v>#VALUE!</v>
      </c>
    </row>
    <row r="57" spans="1:3" ht="15">
      <c r="A57" s="328">
        <v>8112113631</v>
      </c>
      <c r="B57" s="327" t="s">
        <v>1335</v>
      </c>
      <c r="C57" s="329" t="e">
        <f t="array" ref="C57">_xlfn.XLOOKUP(A57,'I. SIM CARD HALO'!$B$2:$B$178,'I. SIM CARD HALO'!$D$2:$D$165)</f>
        <v>#VALUE!</v>
      </c>
    </row>
    <row r="58" spans="1:3" ht="15">
      <c r="A58" s="328">
        <v>8112116754</v>
      </c>
      <c r="B58" s="327" t="s">
        <v>1214</v>
      </c>
      <c r="C58" s="329" t="e">
        <f t="array" ref="C58">_xlfn.XLOOKUP(A58,'I. SIM CARD HALO'!$B$2:$B$178,'I. SIM CARD HALO'!$D$2:$D$165)</f>
        <v>#VALUE!</v>
      </c>
    </row>
    <row r="59" spans="1:3" ht="15">
      <c r="A59" s="328">
        <v>8112116754</v>
      </c>
      <c r="B59" s="327" t="s">
        <v>1325</v>
      </c>
      <c r="C59" s="329" t="e">
        <f t="array" ref="C59">_xlfn.XLOOKUP(A59,'I. SIM CARD HALO'!$B$2:$B$178,'I. SIM CARD HALO'!$D$2:$D$165)</f>
        <v>#VALUE!</v>
      </c>
    </row>
    <row r="60" spans="1:3" ht="15">
      <c r="A60" s="328">
        <v>8112116757</v>
      </c>
      <c r="B60" s="327" t="s">
        <v>1214</v>
      </c>
      <c r="C60" s="329" t="e">
        <f t="array" ref="C60">_xlfn.XLOOKUP(A60,'I. SIM CARD HALO'!$B$2:$B$178,'I. SIM CARD HALO'!$D$2:$D$165)</f>
        <v>#VALUE!</v>
      </c>
    </row>
    <row r="61" spans="1:3" ht="15">
      <c r="A61" s="328">
        <v>8112116758</v>
      </c>
      <c r="B61" s="327" t="s">
        <v>1214</v>
      </c>
      <c r="C61" s="329" t="e">
        <f t="array" ref="C61">_xlfn.XLOOKUP(A61,'I. SIM CARD HALO'!$B$2:$B$178,'I. SIM CARD HALO'!$D$2:$D$165)</f>
        <v>#VALUE!</v>
      </c>
    </row>
    <row r="62" spans="1:3" ht="15">
      <c r="A62" s="328">
        <v>8112116759</v>
      </c>
      <c r="B62" s="327" t="s">
        <v>1214</v>
      </c>
      <c r="C62" s="329" t="e">
        <f t="array" ref="C62">_xlfn.XLOOKUP(A62,'I. SIM CARD HALO'!$B$2:$B$178,'I. SIM CARD HALO'!$D$2:$D$165)</f>
        <v>#VALUE!</v>
      </c>
    </row>
    <row r="63" spans="1:3" ht="15">
      <c r="A63" s="328">
        <v>8112119801</v>
      </c>
      <c r="B63" s="327" t="s">
        <v>1214</v>
      </c>
      <c r="C63" s="329" t="e">
        <f t="array" ref="C63">_xlfn.XLOOKUP(A63,'I. SIM CARD HALO'!$B$2:$B$178,'I. SIM CARD HALO'!$D$2:$D$165)</f>
        <v>#VALUE!</v>
      </c>
    </row>
    <row r="64" spans="1:3" ht="15">
      <c r="A64" s="328">
        <v>8112119801</v>
      </c>
      <c r="B64" s="327" t="s">
        <v>1330</v>
      </c>
      <c r="C64" s="329" t="e">
        <f t="array" ref="C64">_xlfn.XLOOKUP(A64,'I. SIM CARD HALO'!$B$2:$B$178,'I. SIM CARD HALO'!$D$2:$D$165)</f>
        <v>#VALUE!</v>
      </c>
    </row>
    <row r="65" spans="1:3" ht="15">
      <c r="A65" s="328">
        <v>8112119802</v>
      </c>
      <c r="B65" s="327" t="s">
        <v>1214</v>
      </c>
      <c r="C65" s="329" t="e">
        <f t="array" ref="C65">_xlfn.XLOOKUP(A65,'I. SIM CARD HALO'!$B$2:$B$178,'I. SIM CARD HALO'!$D$2:$D$165)</f>
        <v>#VALUE!</v>
      </c>
    </row>
    <row r="66" spans="1:3" ht="15">
      <c r="A66" s="328">
        <v>8112119803</v>
      </c>
      <c r="B66" s="327" t="s">
        <v>1214</v>
      </c>
      <c r="C66" s="329" t="e">
        <f t="array" ref="C66">_xlfn.XLOOKUP(A66,'I. SIM CARD HALO'!$B$2:$B$178,'I. SIM CARD HALO'!$D$2:$D$165)</f>
        <v>#VALUE!</v>
      </c>
    </row>
    <row r="67" spans="1:3" ht="15">
      <c r="A67" s="328">
        <v>8112119804</v>
      </c>
      <c r="B67" s="327" t="s">
        <v>1214</v>
      </c>
      <c r="C67" s="329" t="e">
        <f t="array" ref="C67">_xlfn.XLOOKUP(A67,'I. SIM CARD HALO'!$B$2:$B$178,'I. SIM CARD HALO'!$D$2:$D$165)</f>
        <v>#VALUE!</v>
      </c>
    </row>
    <row r="68" spans="1:3" ht="15">
      <c r="A68" s="328">
        <v>8112119805</v>
      </c>
      <c r="B68" s="327" t="s">
        <v>1214</v>
      </c>
      <c r="C68" s="329" t="e">
        <f t="array" ref="C68">_xlfn.XLOOKUP(A68,'I. SIM CARD HALO'!$B$2:$B$178,'I. SIM CARD HALO'!$D$2:$D$165)</f>
        <v>#VALUE!</v>
      </c>
    </row>
    <row r="69" spans="1:3" ht="15">
      <c r="A69" s="328">
        <v>8112119888</v>
      </c>
      <c r="B69" s="327" t="s">
        <v>1214</v>
      </c>
      <c r="C69" s="329" t="e">
        <f t="array" ref="C69">_xlfn.XLOOKUP(A69,'I. SIM CARD HALO'!$B$2:$B$178,'I. SIM CARD HALO'!$D$2:$D$165)</f>
        <v>#VALUE!</v>
      </c>
    </row>
    <row r="70" spans="1:3" ht="15">
      <c r="A70" s="328">
        <v>8112119888</v>
      </c>
      <c r="B70" s="327" t="s">
        <v>1335</v>
      </c>
      <c r="C70" s="329" t="e">
        <f t="array" ref="C70">_xlfn.XLOOKUP(A70,'I. SIM CARD HALO'!$B$2:$B$178,'I. SIM CARD HALO'!$D$2:$D$165)</f>
        <v>#VALUE!</v>
      </c>
    </row>
    <row r="71" spans="1:3" ht="15">
      <c r="A71" s="328">
        <v>8112123915</v>
      </c>
      <c r="B71" s="327" t="s">
        <v>1214</v>
      </c>
      <c r="C71" s="329" t="e">
        <f t="array" ref="C71">_xlfn.XLOOKUP(A71,'I. SIM CARD HALO'!$B$2:$B$178,'I. SIM CARD HALO'!$D$2:$D$165)</f>
        <v>#VALUE!</v>
      </c>
    </row>
    <row r="72" spans="1:3" ht="15">
      <c r="A72" s="328">
        <v>8112123916</v>
      </c>
      <c r="B72" s="327" t="s">
        <v>1214</v>
      </c>
      <c r="C72" s="329" t="e">
        <f t="array" ref="C72">_xlfn.XLOOKUP(A72,'I. SIM CARD HALO'!$B$2:$B$178,'I. SIM CARD HALO'!$D$2:$D$165)</f>
        <v>#VALUE!</v>
      </c>
    </row>
    <row r="73" spans="1:3" ht="15">
      <c r="A73" s="328">
        <v>8112123916</v>
      </c>
      <c r="B73" s="327" t="s">
        <v>1343</v>
      </c>
      <c r="C73" s="329" t="e">
        <f t="array" ref="C73">_xlfn.XLOOKUP(A73,'I. SIM CARD HALO'!$B$2:$B$178,'I. SIM CARD HALO'!$D$2:$D$165)</f>
        <v>#VALUE!</v>
      </c>
    </row>
    <row r="74" spans="1:3" ht="15">
      <c r="A74" s="328">
        <v>8112123918</v>
      </c>
      <c r="B74" s="327" t="s">
        <v>1214</v>
      </c>
      <c r="C74" s="329" t="e">
        <f t="array" ref="C74">_xlfn.XLOOKUP(A74,'I. SIM CARD HALO'!$B$2:$B$178,'I. SIM CARD HALO'!$D$2:$D$165)</f>
        <v>#VALUE!</v>
      </c>
    </row>
    <row r="75" spans="1:3" ht="15">
      <c r="A75" s="328">
        <v>8112123919</v>
      </c>
      <c r="B75" s="327" t="s">
        <v>1214</v>
      </c>
      <c r="C75" s="329" t="e">
        <f t="array" ref="C75">_xlfn.XLOOKUP(A75,'I. SIM CARD HALO'!$B$2:$B$178,'I. SIM CARD HALO'!$D$2:$D$165)</f>
        <v>#VALUE!</v>
      </c>
    </row>
    <row r="76" spans="1:3" ht="15">
      <c r="A76" s="328">
        <v>8112123919</v>
      </c>
      <c r="B76" s="327" t="s">
        <v>1350</v>
      </c>
      <c r="C76" s="329" t="e">
        <f t="array" ref="C76">_xlfn.XLOOKUP(A76,'I. SIM CARD HALO'!$B$2:$B$178,'I. SIM CARD HALO'!$D$2:$D$165)</f>
        <v>#VALUE!</v>
      </c>
    </row>
    <row r="77" spans="1:3" ht="15">
      <c r="A77" s="328">
        <v>8112123921</v>
      </c>
      <c r="B77" s="327" t="s">
        <v>1214</v>
      </c>
      <c r="C77" s="329" t="e">
        <f t="array" ref="C77">_xlfn.XLOOKUP(A77,'I. SIM CARD HALO'!$B$2:$B$178,'I. SIM CARD HALO'!$D$2:$D$165)</f>
        <v>#VALUE!</v>
      </c>
    </row>
    <row r="78" spans="1:3" ht="15">
      <c r="A78" s="328">
        <v>8112123923</v>
      </c>
      <c r="B78" s="327" t="s">
        <v>1214</v>
      </c>
      <c r="C78" s="329" t="e">
        <f t="array" ref="C78">_xlfn.XLOOKUP(A78,'I. SIM CARD HALO'!$B$2:$B$178,'I. SIM CARD HALO'!$D$2:$D$165)</f>
        <v>#VALUE!</v>
      </c>
    </row>
    <row r="79" spans="1:3" ht="15">
      <c r="A79" s="328">
        <v>8112123927</v>
      </c>
      <c r="B79" s="327" t="s">
        <v>1214</v>
      </c>
      <c r="C79" s="329" t="e">
        <f t="array" ref="C79">_xlfn.XLOOKUP(A79,'I. SIM CARD HALO'!$B$2:$B$178,'I. SIM CARD HALO'!$D$2:$D$165)</f>
        <v>#VALUE!</v>
      </c>
    </row>
    <row r="80" spans="1:3" ht="15">
      <c r="A80" s="328">
        <v>8112123929</v>
      </c>
      <c r="B80" s="327" t="s">
        <v>1214</v>
      </c>
      <c r="C80" s="329" t="e">
        <f t="array" ref="C80">_xlfn.XLOOKUP(A80,'I. SIM CARD HALO'!$B$2:$B$178,'I. SIM CARD HALO'!$D$2:$D$165)</f>
        <v>#VALUE!</v>
      </c>
    </row>
    <row r="81" spans="1:3" ht="15">
      <c r="A81" s="328">
        <v>8112123930</v>
      </c>
      <c r="B81" s="327" t="s">
        <v>1214</v>
      </c>
      <c r="C81" s="329" t="e">
        <f t="array" ref="C81">_xlfn.XLOOKUP(A81,'I. SIM CARD HALO'!$B$2:$B$178,'I. SIM CARD HALO'!$D$2:$D$165)</f>
        <v>#VALUE!</v>
      </c>
    </row>
    <row r="82" spans="1:3" ht="15">
      <c r="A82" s="328">
        <v>8112123931</v>
      </c>
      <c r="B82" s="327" t="s">
        <v>1214</v>
      </c>
      <c r="C82" s="329" t="e">
        <f t="array" ref="C82">_xlfn.XLOOKUP(A82,'I. SIM CARD HALO'!$B$2:$B$178,'I. SIM CARD HALO'!$D$2:$D$165)</f>
        <v>#VALUE!</v>
      </c>
    </row>
    <row r="83" spans="1:3" ht="15">
      <c r="A83" s="328">
        <v>8112123931</v>
      </c>
      <c r="B83" s="327" t="s">
        <v>1335</v>
      </c>
      <c r="C83" s="329" t="e">
        <f t="array" ref="C83">_xlfn.XLOOKUP(A83,'I. SIM CARD HALO'!$B$2:$B$178,'I. SIM CARD HALO'!$D$2:$D$165)</f>
        <v>#VALUE!</v>
      </c>
    </row>
    <row r="84" spans="1:3" ht="15">
      <c r="A84" s="328">
        <v>8112123932</v>
      </c>
      <c r="B84" s="327" t="s">
        <v>1214</v>
      </c>
      <c r="C84" s="329" t="e">
        <f t="array" ref="C84">_xlfn.XLOOKUP(A84,'I. SIM CARD HALO'!$B$2:$B$178,'I. SIM CARD HALO'!$D$2:$D$165)</f>
        <v>#VALUE!</v>
      </c>
    </row>
    <row r="85" spans="1:3" ht="15">
      <c r="A85" s="328">
        <v>8112123933</v>
      </c>
      <c r="B85" s="327" t="s">
        <v>1214</v>
      </c>
      <c r="C85" s="329" t="e">
        <f t="array" ref="C85">_xlfn.XLOOKUP(A85,'I. SIM CARD HALO'!$B$2:$B$178,'I. SIM CARD HALO'!$D$2:$D$165)</f>
        <v>#VALUE!</v>
      </c>
    </row>
    <row r="86" spans="1:3" ht="15">
      <c r="A86" s="328">
        <v>8112123934</v>
      </c>
      <c r="B86" s="327" t="s">
        <v>1214</v>
      </c>
      <c r="C86" s="329" t="e">
        <f t="array" ref="C86">_xlfn.XLOOKUP(A86,'I. SIM CARD HALO'!$B$2:$B$178,'I. SIM CARD HALO'!$D$2:$D$165)</f>
        <v>#VALUE!</v>
      </c>
    </row>
    <row r="87" spans="1:3" ht="15">
      <c r="A87" s="328">
        <v>8112123934</v>
      </c>
      <c r="B87" s="327" t="s">
        <v>1329</v>
      </c>
      <c r="C87" s="329" t="e">
        <f t="array" ref="C87">_xlfn.XLOOKUP(A87,'I. SIM CARD HALO'!$B$2:$B$178,'I. SIM CARD HALO'!$D$2:$D$165)</f>
        <v>#VALUE!</v>
      </c>
    </row>
    <row r="88" spans="1:3" ht="15">
      <c r="A88" s="328">
        <v>8112123935</v>
      </c>
      <c r="B88" s="327" t="s">
        <v>1214</v>
      </c>
      <c r="C88" s="329" t="e">
        <f t="array" ref="C88">_xlfn.XLOOKUP(A88,'I. SIM CARD HALO'!$B$2:$B$178,'I. SIM CARD HALO'!$D$2:$D$165)</f>
        <v>#VALUE!</v>
      </c>
    </row>
    <row r="89" spans="1:3" ht="15">
      <c r="A89" s="328">
        <v>8112123935</v>
      </c>
      <c r="B89" s="327" t="s">
        <v>1330</v>
      </c>
      <c r="C89" s="329" t="e">
        <f t="array" ref="C89">_xlfn.XLOOKUP(A89,'I. SIM CARD HALO'!$B$2:$B$178,'I. SIM CARD HALO'!$D$2:$D$165)</f>
        <v>#VALUE!</v>
      </c>
    </row>
    <row r="90" spans="1:3" ht="15">
      <c r="A90" s="328">
        <v>8112123936</v>
      </c>
      <c r="B90" s="327" t="s">
        <v>1214</v>
      </c>
      <c r="C90" s="329" t="e">
        <f t="array" ref="C90">_xlfn.XLOOKUP(A90,'I. SIM CARD HALO'!$B$2:$B$178,'I. SIM CARD HALO'!$D$2:$D$165)</f>
        <v>#VALUE!</v>
      </c>
    </row>
    <row r="91" spans="1:3" ht="15">
      <c r="A91" s="328">
        <v>8112123936</v>
      </c>
      <c r="B91" s="327" t="s">
        <v>1350</v>
      </c>
      <c r="C91" s="329" t="e">
        <f t="array" ref="C91">_xlfn.XLOOKUP(A91,'I. SIM CARD HALO'!$B$2:$B$178,'I. SIM CARD HALO'!$D$2:$D$165)</f>
        <v>#VALUE!</v>
      </c>
    </row>
    <row r="92" spans="1:3" ht="15">
      <c r="A92" s="328">
        <v>8112123937</v>
      </c>
      <c r="B92" s="327" t="s">
        <v>1214</v>
      </c>
      <c r="C92" s="329" t="e">
        <f t="array" ref="C92">_xlfn.XLOOKUP(A92,'I. SIM CARD HALO'!$B$2:$B$178,'I. SIM CARD HALO'!$D$2:$D$165)</f>
        <v>#VALUE!</v>
      </c>
    </row>
    <row r="93" spans="1:3" ht="15">
      <c r="A93" s="328">
        <v>8112123937</v>
      </c>
      <c r="B93" s="327" t="s">
        <v>1353</v>
      </c>
      <c r="C93" s="329" t="e">
        <f t="array" ref="C93">_xlfn.XLOOKUP(A93,'I. SIM CARD HALO'!$B$2:$B$178,'I. SIM CARD HALO'!$D$2:$D$165)</f>
        <v>#VALUE!</v>
      </c>
    </row>
    <row r="94" spans="1:3" ht="15">
      <c r="A94" s="328">
        <v>8112123939</v>
      </c>
      <c r="B94" s="327" t="s">
        <v>1338</v>
      </c>
      <c r="C94" s="329" t="e">
        <f t="array" ref="C94">_xlfn.XLOOKUP(A94,'I. SIM CARD HALO'!$B$2:$B$178,'I. SIM CARD HALO'!$D$2:$D$165)</f>
        <v>#VALUE!</v>
      </c>
    </row>
    <row r="95" spans="1:3" ht="15">
      <c r="A95" s="328">
        <v>8112123939</v>
      </c>
      <c r="B95" s="327" t="s">
        <v>695</v>
      </c>
      <c r="C95" s="329" t="e">
        <f t="array" ref="C95">_xlfn.XLOOKUP(A95,'I. SIM CARD HALO'!$B$2:$B$178,'I. SIM CARD HALO'!$D$2:$D$165)</f>
        <v>#VALUE!</v>
      </c>
    </row>
    <row r="96" spans="1:3" ht="15">
      <c r="A96" s="328">
        <v>8112123942</v>
      </c>
      <c r="B96" s="327" t="s">
        <v>1338</v>
      </c>
      <c r="C96" s="329" t="e">
        <f t="array" ref="C96">_xlfn.XLOOKUP(A96,'I. SIM CARD HALO'!$B$2:$B$178,'I. SIM CARD HALO'!$D$2:$D$165)</f>
        <v>#VALUE!</v>
      </c>
    </row>
    <row r="97" spans="1:3" ht="15">
      <c r="A97" s="328">
        <v>8112123942</v>
      </c>
      <c r="B97" s="327" t="s">
        <v>686</v>
      </c>
      <c r="C97" s="329" t="e">
        <f t="array" ref="C97">_xlfn.XLOOKUP(A97,'I. SIM CARD HALO'!$B$2:$B$178,'I. SIM CARD HALO'!$D$2:$D$165)</f>
        <v>#VALUE!</v>
      </c>
    </row>
    <row r="98" spans="1:3" ht="15">
      <c r="A98" s="328">
        <v>8112124353</v>
      </c>
      <c r="B98" s="327" t="s">
        <v>1214</v>
      </c>
      <c r="C98" s="329" t="e">
        <f t="array" ref="C98">_xlfn.XLOOKUP(A98,'I. SIM CARD HALO'!$B$2:$B$178,'I. SIM CARD HALO'!$D$2:$D$165)</f>
        <v>#VALUE!</v>
      </c>
    </row>
    <row r="99" spans="1:3" ht="15">
      <c r="A99" s="328">
        <v>8112124354</v>
      </c>
      <c r="B99" s="327" t="s">
        <v>1214</v>
      </c>
      <c r="C99" s="329" t="e">
        <f t="array" ref="C99">_xlfn.XLOOKUP(A99,'I. SIM CARD HALO'!$B$2:$B$178,'I. SIM CARD HALO'!$D$2:$D$165)</f>
        <v>#VALUE!</v>
      </c>
    </row>
    <row r="100" spans="1:3" ht="15">
      <c r="A100" s="328">
        <v>8112124356</v>
      </c>
      <c r="B100" s="327" t="s">
        <v>1344</v>
      </c>
      <c r="C100" s="329" t="e">
        <f t="array" ref="C100">_xlfn.XLOOKUP(A100,'I. SIM CARD HALO'!$B$2:$B$178,'I. SIM CARD HALO'!$D$2:$D$165)</f>
        <v>#VALUE!</v>
      </c>
    </row>
    <row r="101" spans="1:3" ht="15">
      <c r="A101" s="328">
        <v>8112124357</v>
      </c>
      <c r="B101" s="327" t="s">
        <v>1354</v>
      </c>
      <c r="C101" s="329" t="e">
        <f t="array" ref="C101">_xlfn.XLOOKUP(A101,'I. SIM CARD HALO'!$B$2:$B$178,'I. SIM CARD HALO'!$D$2:$D$165)</f>
        <v>#VALUE!</v>
      </c>
    </row>
    <row r="102" spans="1:3" ht="15">
      <c r="A102" s="328">
        <v>8112124358</v>
      </c>
      <c r="B102" s="327" t="s">
        <v>1214</v>
      </c>
      <c r="C102" s="329" t="e">
        <f t="array" ref="C102">_xlfn.XLOOKUP(A102,'I. SIM CARD HALO'!$B$2:$B$178,'I. SIM CARD HALO'!$D$2:$D$165)</f>
        <v>#VALUE!</v>
      </c>
    </row>
    <row r="103" spans="1:3" ht="15">
      <c r="A103" s="328">
        <v>8112124359</v>
      </c>
      <c r="B103" s="327" t="s">
        <v>1214</v>
      </c>
      <c r="C103" s="329" t="e">
        <f t="array" ref="C103">_xlfn.XLOOKUP(A103,'I. SIM CARD HALO'!$B$2:$B$178,'I. SIM CARD HALO'!$D$2:$D$165)</f>
        <v>#VALUE!</v>
      </c>
    </row>
    <row r="104" spans="1:3" ht="15">
      <c r="A104" s="328">
        <v>8112124359</v>
      </c>
      <c r="B104" s="327" t="s">
        <v>1335</v>
      </c>
      <c r="C104" s="329" t="e">
        <f t="array" ref="C104">_xlfn.XLOOKUP(A104,'I. SIM CARD HALO'!$B$2:$B$178,'I. SIM CARD HALO'!$D$2:$D$165)</f>
        <v>#VALUE!</v>
      </c>
    </row>
    <row r="105" spans="1:3" ht="15">
      <c r="A105" s="328">
        <v>8112127140</v>
      </c>
      <c r="B105" s="327" t="s">
        <v>1214</v>
      </c>
      <c r="C105" s="329" t="e">
        <f t="array" ref="C105">_xlfn.XLOOKUP(A105,'I. SIM CARD HALO'!$B$2:$B$178,'I. SIM CARD HALO'!$D$2:$D$165)</f>
        <v>#VALUE!</v>
      </c>
    </row>
    <row r="106" spans="1:3" ht="15">
      <c r="A106" s="328">
        <v>8112127141</v>
      </c>
      <c r="B106" s="327" t="s">
        <v>1214</v>
      </c>
      <c r="C106" s="329" t="e">
        <f t="array" ref="C106">_xlfn.XLOOKUP(A106,'I. SIM CARD HALO'!$B$2:$B$178,'I. SIM CARD HALO'!$D$2:$D$165)</f>
        <v>#VALUE!</v>
      </c>
    </row>
    <row r="107" spans="1:3" ht="15">
      <c r="A107" s="328">
        <v>8112127143</v>
      </c>
      <c r="B107" s="327" t="s">
        <v>1214</v>
      </c>
      <c r="C107" s="329" t="e">
        <f t="array" ref="C107">_xlfn.XLOOKUP(A107,'I. SIM CARD HALO'!$B$2:$B$178,'I. SIM CARD HALO'!$D$2:$D$165)</f>
        <v>#VALUE!</v>
      </c>
    </row>
    <row r="108" spans="1:3" ht="15">
      <c r="A108" s="328">
        <v>8112127145</v>
      </c>
      <c r="B108" s="327" t="s">
        <v>1214</v>
      </c>
      <c r="C108" s="329" t="e">
        <f t="array" ref="C108">_xlfn.XLOOKUP(A108,'I. SIM CARD HALO'!$B$2:$B$178,'I. SIM CARD HALO'!$D$2:$D$165)</f>
        <v>#VALUE!</v>
      </c>
    </row>
    <row r="109" spans="1:3" ht="15">
      <c r="A109" s="328">
        <v>8112127145</v>
      </c>
      <c r="B109" s="327" t="s">
        <v>1330</v>
      </c>
      <c r="C109" s="329" t="e">
        <f t="array" ref="C109">_xlfn.XLOOKUP(A109,'I. SIM CARD HALO'!$B$2:$B$178,'I. SIM CARD HALO'!$D$2:$D$165)</f>
        <v>#VALUE!</v>
      </c>
    </row>
    <row r="110" spans="1:3" ht="15">
      <c r="A110" s="328">
        <v>8112127145</v>
      </c>
      <c r="B110" s="327" t="s">
        <v>1343</v>
      </c>
      <c r="C110" s="329" t="e">
        <f t="array" ref="C110">_xlfn.XLOOKUP(A110,'I. SIM CARD HALO'!$B$2:$B$178,'I. SIM CARD HALO'!$D$2:$D$165)</f>
        <v>#VALUE!</v>
      </c>
    </row>
    <row r="111" spans="1:3" ht="15">
      <c r="A111" s="328">
        <v>8112127146</v>
      </c>
      <c r="B111" s="327" t="s">
        <v>1214</v>
      </c>
      <c r="C111" s="329" t="e">
        <f t="array" ref="C111">_xlfn.XLOOKUP(A111,'I. SIM CARD HALO'!$B$2:$B$178,'I. SIM CARD HALO'!$D$2:$D$165)</f>
        <v>#VALUE!</v>
      </c>
    </row>
    <row r="112" spans="1:3" ht="15">
      <c r="A112" s="328">
        <v>8112127147</v>
      </c>
      <c r="B112" s="327" t="s">
        <v>1214</v>
      </c>
      <c r="C112" s="329" t="e">
        <f t="array" ref="C112">_xlfn.XLOOKUP(A112,'I. SIM CARD HALO'!$B$2:$B$178,'I. SIM CARD HALO'!$D$2:$D$165)</f>
        <v>#VALUE!</v>
      </c>
    </row>
    <row r="113" spans="1:4" ht="15">
      <c r="A113" s="328">
        <v>8112127150</v>
      </c>
      <c r="B113" s="327" t="s">
        <v>1214</v>
      </c>
      <c r="C113" s="329" t="e">
        <f t="array" ref="C113">_xlfn.XLOOKUP(A113,'I. SIM CARD HALO'!$B$2:$B$178,'I. SIM CARD HALO'!$D$2:$D$165)</f>
        <v>#VALUE!</v>
      </c>
    </row>
    <row r="114" spans="1:4" ht="15">
      <c r="A114" s="328">
        <v>8112128401</v>
      </c>
      <c r="B114" s="327" t="s">
        <v>1338</v>
      </c>
      <c r="C114" s="329" t="e">
        <f t="array" ref="C114">_xlfn.XLOOKUP(A114,'I. SIM CARD HALO'!$B$2:$B$178,'I. SIM CARD HALO'!$D$2:$D$165)</f>
        <v>#VALUE!</v>
      </c>
      <c r="D114" s="327"/>
    </row>
    <row r="115" spans="1:4" ht="15">
      <c r="A115" s="328">
        <v>8112128401</v>
      </c>
      <c r="B115" s="327" t="s">
        <v>653</v>
      </c>
      <c r="C115" s="329" t="e">
        <f t="array" ref="C115">_xlfn.XLOOKUP(A115,'I. SIM CARD HALO'!$B$2:$B$178,'I. SIM CARD HALO'!$D$2:$D$165)</f>
        <v>#VALUE!</v>
      </c>
      <c r="D115" s="327"/>
    </row>
    <row r="116" spans="1:4" ht="15">
      <c r="A116" s="328">
        <v>8112128401</v>
      </c>
      <c r="B116" s="327" t="s">
        <v>1335</v>
      </c>
      <c r="C116" s="329" t="e">
        <f t="array" ref="C116">_xlfn.XLOOKUP(A116,'I. SIM CARD HALO'!$B$2:$B$178,'I. SIM CARD HALO'!$D$2:$D$165)</f>
        <v>#VALUE!</v>
      </c>
      <c r="D116" s="327"/>
    </row>
    <row r="117" spans="1:4" ht="15">
      <c r="A117" s="328">
        <v>8112128403</v>
      </c>
      <c r="B117" s="327" t="s">
        <v>1214</v>
      </c>
      <c r="C117" s="329" t="e">
        <f t="array" ref="C117">_xlfn.XLOOKUP(A117,'I. SIM CARD HALO'!$B$2:$B$178,'I. SIM CARD HALO'!$D$2:$D$165)</f>
        <v>#VALUE!</v>
      </c>
    </row>
    <row r="118" spans="1:4" ht="15">
      <c r="A118" s="328">
        <v>8112128405</v>
      </c>
      <c r="B118" s="327" t="s">
        <v>1214</v>
      </c>
      <c r="C118" s="329" t="e">
        <f t="array" ref="C118">_xlfn.XLOOKUP(A118,'I. SIM CARD HALO'!$B$2:$B$178,'I. SIM CARD HALO'!$D$2:$D$165)</f>
        <v>#VALUE!</v>
      </c>
    </row>
    <row r="119" spans="1:4" ht="15">
      <c r="A119" s="328">
        <v>8112128406</v>
      </c>
      <c r="B119" s="327" t="s">
        <v>1214</v>
      </c>
      <c r="C119" s="329" t="e">
        <f t="array" ref="C119">_xlfn.XLOOKUP(A119,'I. SIM CARD HALO'!$B$2:$B$178,'I. SIM CARD HALO'!$D$2:$D$165)</f>
        <v>#VALUE!</v>
      </c>
    </row>
    <row r="120" spans="1:4" ht="15">
      <c r="A120" s="328">
        <v>8112128407</v>
      </c>
      <c r="B120" s="327" t="s">
        <v>1214</v>
      </c>
      <c r="C120" s="329" t="e">
        <f t="array" ref="C120">_xlfn.XLOOKUP(A120,'I. SIM CARD HALO'!$B$2:$B$178,'I. SIM CARD HALO'!$D$2:$D$165)</f>
        <v>#VALUE!</v>
      </c>
    </row>
    <row r="121" spans="1:4" ht="15">
      <c r="A121" s="328">
        <v>8112128409</v>
      </c>
      <c r="B121" s="327" t="s">
        <v>1214</v>
      </c>
      <c r="C121" s="329" t="e">
        <f t="array" ref="C121">_xlfn.XLOOKUP(A121,'I. SIM CARD HALO'!$B$2:$B$178,'I. SIM CARD HALO'!$D$2:$D$165)</f>
        <v>#VALUE!</v>
      </c>
    </row>
    <row r="122" spans="1:4" ht="15">
      <c r="A122" s="328">
        <v>8112129909</v>
      </c>
      <c r="B122" s="327" t="s">
        <v>1214</v>
      </c>
      <c r="C122" s="329" t="e">
        <f t="array" ref="C122">_xlfn.XLOOKUP(A122,'I. SIM CARD HALO'!$B$2:$B$178,'I. SIM CARD HALO'!$D$2:$D$165)</f>
        <v>#VALUE!</v>
      </c>
    </row>
    <row r="123" spans="1:4" ht="15">
      <c r="A123" s="328">
        <v>8112129910</v>
      </c>
      <c r="B123" s="327" t="s">
        <v>1214</v>
      </c>
      <c r="C123" s="329" t="e">
        <f t="array" ref="C123">_xlfn.XLOOKUP(A123,'I. SIM CARD HALO'!$B$2:$B$178,'I. SIM CARD HALO'!$D$2:$D$165)</f>
        <v>#VALUE!</v>
      </c>
    </row>
    <row r="124" spans="1:4" ht="15">
      <c r="A124" s="328">
        <v>8112129911</v>
      </c>
      <c r="B124" s="327" t="s">
        <v>1214</v>
      </c>
      <c r="C124" s="329" t="e">
        <f t="array" ref="C124">_xlfn.XLOOKUP(A124,'I. SIM CARD HALO'!$B$2:$B$178,'I. SIM CARD HALO'!$D$2:$D$165)</f>
        <v>#VALUE!</v>
      </c>
    </row>
    <row r="125" spans="1:4" ht="15">
      <c r="A125" s="328">
        <v>8112129913</v>
      </c>
      <c r="B125" s="327" t="s">
        <v>1214</v>
      </c>
      <c r="C125" s="329" t="e">
        <f t="array" ref="C125">_xlfn.XLOOKUP(A125,'I. SIM CARD HALO'!$B$2:$B$178,'I. SIM CARD HALO'!$D$2:$D$165)</f>
        <v>#VALUE!</v>
      </c>
    </row>
    <row r="126" spans="1:4" ht="15">
      <c r="A126" s="328">
        <v>8112129913</v>
      </c>
      <c r="B126" s="327" t="s">
        <v>1358</v>
      </c>
      <c r="C126" s="329" t="e">
        <f t="array" ref="C126">_xlfn.XLOOKUP(A126,'I. SIM CARD HALO'!$B$2:$B$178,'I. SIM CARD HALO'!$D$2:$D$165)</f>
        <v>#VALUE!</v>
      </c>
    </row>
    <row r="127" spans="1:4" ht="15">
      <c r="A127" s="328">
        <v>8112129916</v>
      </c>
      <c r="B127" s="327" t="s">
        <v>1214</v>
      </c>
      <c r="C127" s="329" t="e">
        <f t="array" ref="C127">_xlfn.XLOOKUP(A127,'I. SIM CARD HALO'!$B$2:$B$178,'I. SIM CARD HALO'!$D$2:$D$165)</f>
        <v>#VALUE!</v>
      </c>
    </row>
    <row r="128" spans="1:4" ht="15">
      <c r="A128" s="328">
        <v>8112129916</v>
      </c>
      <c r="B128" s="327" t="s">
        <v>1343</v>
      </c>
      <c r="C128" s="329" t="e">
        <f t="array" ref="C128">_xlfn.XLOOKUP(A128,'I. SIM CARD HALO'!$B$2:$B$178,'I. SIM CARD HALO'!$D$2:$D$165)</f>
        <v>#VALUE!</v>
      </c>
    </row>
    <row r="129" spans="1:3" ht="15">
      <c r="A129" s="328">
        <v>8112129918</v>
      </c>
      <c r="B129" s="327" t="s">
        <v>1338</v>
      </c>
      <c r="C129" s="329" t="e">
        <f t="array" ref="C129">_xlfn.XLOOKUP(A129,'I. SIM CARD HALO'!$B$2:$B$178,'I. SIM CARD HALO'!$D$2:$D$165)</f>
        <v>#VALUE!</v>
      </c>
    </row>
    <row r="130" spans="1:3" ht="15">
      <c r="A130" s="328">
        <v>8112129918</v>
      </c>
      <c r="B130" s="327" t="s">
        <v>695</v>
      </c>
      <c r="C130" s="329" t="e">
        <f t="array" ref="C130">_xlfn.XLOOKUP(A130,'I. SIM CARD HALO'!$B$2:$B$178,'I. SIM CARD HALO'!$D$2:$D$165)</f>
        <v>#VALUE!</v>
      </c>
    </row>
    <row r="131" spans="1:3" ht="15">
      <c r="A131" s="328">
        <v>8112163552</v>
      </c>
      <c r="B131" s="327" t="s">
        <v>653</v>
      </c>
      <c r="C131" s="329" t="e">
        <f t="array" ref="C131">_xlfn.XLOOKUP(A131,'I. SIM CARD HALO'!$B$2:$B$178,'I. SIM CARD HALO'!$D$2:$D$165)</f>
        <v>#VALUE!</v>
      </c>
    </row>
    <row r="132" spans="1:3" ht="15">
      <c r="A132" s="328">
        <v>8112163553</v>
      </c>
      <c r="B132" s="327" t="s">
        <v>1332</v>
      </c>
      <c r="C132" s="329" t="e">
        <f t="array" ref="C132">_xlfn.XLOOKUP(A132,'I. SIM CARD HALO'!$B$2:$B$178,'I. SIM CARD HALO'!$D$2:$D$165)</f>
        <v>#VALUE!</v>
      </c>
    </row>
    <row r="133" spans="1:3" ht="15">
      <c r="A133" s="328">
        <v>8112163554</v>
      </c>
      <c r="B133" s="327" t="s">
        <v>1332</v>
      </c>
      <c r="C133" s="329" t="e">
        <f t="array" ref="C133">_xlfn.XLOOKUP(A133,'I. SIM CARD HALO'!$B$2:$B$178,'I. SIM CARD HALO'!$D$2:$D$165)</f>
        <v>#VALUE!</v>
      </c>
    </row>
    <row r="134" spans="1:3" ht="15">
      <c r="A134" s="328">
        <v>8112163555</v>
      </c>
      <c r="B134" s="327" t="s">
        <v>1332</v>
      </c>
      <c r="C134" s="329" t="e">
        <f t="array" ref="C134">_xlfn.XLOOKUP(A134,'I. SIM CARD HALO'!$B$2:$B$178,'I. SIM CARD HALO'!$D$2:$D$165)</f>
        <v>#VALUE!</v>
      </c>
    </row>
    <row r="135" spans="1:3" ht="15">
      <c r="A135" s="328">
        <v>8112163555</v>
      </c>
      <c r="B135" s="327" t="s">
        <v>1325</v>
      </c>
      <c r="C135" s="329" t="e">
        <f t="array" ref="C135">_xlfn.XLOOKUP(A135,'I. SIM CARD HALO'!$B$2:$B$178,'I. SIM CARD HALO'!$D$2:$D$165)</f>
        <v>#VALUE!</v>
      </c>
    </row>
    <row r="136" spans="1:3" ht="15">
      <c r="A136" s="328">
        <v>8112163556</v>
      </c>
      <c r="B136" s="327" t="s">
        <v>1332</v>
      </c>
      <c r="C136" s="329" t="e">
        <f t="array" ref="C136">_xlfn.XLOOKUP(A136,'I. SIM CARD HALO'!$B$2:$B$178,'I. SIM CARD HALO'!$D$2:$D$165)</f>
        <v>#VALUE!</v>
      </c>
    </row>
    <row r="137" spans="1:3" ht="15">
      <c r="A137" s="328">
        <v>8112163557</v>
      </c>
      <c r="B137" s="327" t="s">
        <v>1332</v>
      </c>
      <c r="C137" s="329" t="e">
        <f t="array" ref="C137">_xlfn.XLOOKUP(A137,'I. SIM CARD HALO'!$B$2:$B$178,'I. SIM CARD HALO'!$D$2:$D$165)</f>
        <v>#VALUE!</v>
      </c>
    </row>
    <row r="138" spans="1:3" ht="15">
      <c r="A138" s="328">
        <v>8112163558</v>
      </c>
      <c r="B138" s="327" t="s">
        <v>1332</v>
      </c>
      <c r="C138" s="329" t="e">
        <f t="array" ref="C138">_xlfn.XLOOKUP(A138,'I. SIM CARD HALO'!$B$2:$B$178,'I. SIM CARD HALO'!$D$2:$D$165)</f>
        <v>#VALUE!</v>
      </c>
    </row>
    <row r="139" spans="1:3" ht="15">
      <c r="A139" s="328">
        <v>8112163559</v>
      </c>
      <c r="B139" s="327" t="s">
        <v>1332</v>
      </c>
      <c r="C139" s="329" t="e">
        <f t="array" ref="C139">_xlfn.XLOOKUP(A139,'I. SIM CARD HALO'!$B$2:$B$178,'I. SIM CARD HALO'!$D$2:$D$165)</f>
        <v>#VALUE!</v>
      </c>
    </row>
    <row r="140" spans="1:3" ht="15">
      <c r="A140" s="328">
        <v>8112163560</v>
      </c>
      <c r="B140" s="327" t="s">
        <v>1332</v>
      </c>
      <c r="C140" s="329" t="e">
        <f t="array" ref="C140">_xlfn.XLOOKUP(A140,'I. SIM CARD HALO'!$B$2:$B$178,'I. SIM CARD HALO'!$D$2:$D$165)</f>
        <v>#VALUE!</v>
      </c>
    </row>
    <row r="141" spans="1:3" ht="15">
      <c r="A141" s="328">
        <v>8112163561</v>
      </c>
      <c r="B141" s="327" t="s">
        <v>1332</v>
      </c>
      <c r="C141" s="329" t="e">
        <f t="array" ref="C141">_xlfn.XLOOKUP(A141,'I. SIM CARD HALO'!$B$2:$B$178,'I. SIM CARD HALO'!$D$2:$D$165)</f>
        <v>#VALUE!</v>
      </c>
    </row>
    <row r="142" spans="1:3" ht="15">
      <c r="A142" s="328">
        <v>8112206701</v>
      </c>
      <c r="B142" s="327" t="s">
        <v>1214</v>
      </c>
      <c r="C142" s="329" t="e">
        <f t="array" ref="C142">_xlfn.XLOOKUP(A142,'I. SIM CARD HALO'!$B$2:$B$178,'I. SIM CARD HALO'!$D$2:$D$165)</f>
        <v>#VALUE!</v>
      </c>
    </row>
    <row r="143" spans="1:3" ht="15">
      <c r="A143" s="328">
        <v>8112206702</v>
      </c>
      <c r="B143" s="327" t="s">
        <v>1214</v>
      </c>
      <c r="C143" s="329" t="e">
        <f t="array" ref="C143">_xlfn.XLOOKUP(A143,'I. SIM CARD HALO'!$B$2:$B$178,'I. SIM CARD HALO'!$D$2:$D$165)</f>
        <v>#VALUE!</v>
      </c>
    </row>
    <row r="144" spans="1:3" ht="15">
      <c r="A144" s="328">
        <v>8112206703</v>
      </c>
      <c r="B144" s="327" t="s">
        <v>1214</v>
      </c>
      <c r="C144" s="329" t="e">
        <f t="array" ref="C144">_xlfn.XLOOKUP(A144,'I. SIM CARD HALO'!$B$2:$B$178,'I. SIM CARD HALO'!$D$2:$D$165)</f>
        <v>#VALUE!</v>
      </c>
    </row>
    <row r="145" spans="1:3" ht="15">
      <c r="A145" s="328">
        <v>8112206704</v>
      </c>
      <c r="B145" s="327" t="s">
        <v>1214</v>
      </c>
      <c r="C145" s="329" t="e">
        <f t="array" ref="C145">_xlfn.XLOOKUP(A145,'I. SIM CARD HALO'!$B$2:$B$178,'I. SIM CARD HALO'!$D$2:$D$165)</f>
        <v>#VALUE!</v>
      </c>
    </row>
    <row r="146" spans="1:3" ht="15">
      <c r="A146" s="328">
        <v>8112279611</v>
      </c>
      <c r="B146" s="327" t="s">
        <v>1214</v>
      </c>
      <c r="C146" s="329" t="e">
        <f t="array" ref="C146">_xlfn.XLOOKUP(A146,'I. SIM CARD HALO'!$B$2:$B$178,'I. SIM CARD HALO'!$D$2:$D$165)</f>
        <v>#VALUE!</v>
      </c>
    </row>
    <row r="147" spans="1:3" ht="15">
      <c r="A147" s="328">
        <v>8112279620</v>
      </c>
      <c r="B147" s="327" t="s">
        <v>1214</v>
      </c>
      <c r="C147" s="329" t="e">
        <f t="array" ref="C147">_xlfn.XLOOKUP(A147,'I. SIM CARD HALO'!$B$2:$B$178,'I. SIM CARD HALO'!$D$2:$D$165)</f>
        <v>#VALUE!</v>
      </c>
    </row>
    <row r="148" spans="1:3" ht="15">
      <c r="A148" s="328">
        <v>8112279620</v>
      </c>
      <c r="B148" s="327" t="s">
        <v>1325</v>
      </c>
      <c r="C148" s="329" t="e">
        <f t="array" ref="C148">_xlfn.XLOOKUP(A148,'I. SIM CARD HALO'!$B$2:$B$178,'I. SIM CARD HALO'!$D$2:$D$165)</f>
        <v>#VALUE!</v>
      </c>
    </row>
    <row r="149" spans="1:3" ht="15">
      <c r="A149" s="328">
        <v>8112310238</v>
      </c>
      <c r="B149" s="327" t="s">
        <v>1214</v>
      </c>
      <c r="C149" s="329" t="e">
        <f t="array" ref="C149">_xlfn.XLOOKUP(A149,'I. SIM CARD HALO'!$B$2:$B$178,'I. SIM CARD HALO'!$D$2:$D$165)</f>
        <v>#VALUE!</v>
      </c>
    </row>
    <row r="150" spans="1:3" ht="15">
      <c r="A150" s="328">
        <v>8112310239</v>
      </c>
      <c r="B150" s="327" t="s">
        <v>1354</v>
      </c>
      <c r="C150" s="329" t="e">
        <f t="array" ref="C150">_xlfn.XLOOKUP(A150,'I. SIM CARD HALO'!$B$2:$B$178,'I. SIM CARD HALO'!$D$2:$D$165)</f>
        <v>#VALUE!</v>
      </c>
    </row>
    <row r="151" spans="1:3" ht="15">
      <c r="A151" s="328">
        <v>8112310239</v>
      </c>
      <c r="B151" s="327" t="s">
        <v>1327</v>
      </c>
      <c r="C151" s="329" t="e">
        <f t="array" ref="C151">_xlfn.XLOOKUP(A151,'I. SIM CARD HALO'!$B$2:$B$178,'I. SIM CARD HALO'!$D$2:$D$165)</f>
        <v>#VALUE!</v>
      </c>
    </row>
    <row r="152" spans="1:3" ht="15">
      <c r="A152" s="328">
        <v>8112310239</v>
      </c>
      <c r="B152" s="327" t="s">
        <v>1361</v>
      </c>
      <c r="C152" s="329" t="e">
        <f t="array" ref="C152">_xlfn.XLOOKUP(A152,'I. SIM CARD HALO'!$B$2:$B$178,'I. SIM CARD HALO'!$D$2:$D$165)</f>
        <v>#VALUE!</v>
      </c>
    </row>
    <row r="153" spans="1:3" ht="15">
      <c r="A153" s="328">
        <v>8114805924</v>
      </c>
      <c r="B153" s="327" t="s">
        <v>1214</v>
      </c>
      <c r="C153" s="329" t="e">
        <f t="array" ref="C153">_xlfn.XLOOKUP(A153,'I. SIM CARD HALO'!$B$2:$B$178,'I. SIM CARD HALO'!$D$2:$D$165)</f>
        <v>#VALUE!</v>
      </c>
    </row>
    <row r="154" spans="1:3" ht="15">
      <c r="A154" s="328">
        <v>8114805925</v>
      </c>
      <c r="B154" s="327" t="s">
        <v>1214</v>
      </c>
      <c r="C154" s="329" t="e">
        <f t="array" ref="C154">_xlfn.XLOOKUP(A154,'I. SIM CARD HALO'!$B$2:$B$178,'I. SIM CARD HALO'!$D$2:$D$165)</f>
        <v>#VALUE!</v>
      </c>
    </row>
    <row r="155" spans="1:3" ht="15">
      <c r="A155" s="328">
        <v>8114805925</v>
      </c>
      <c r="B155" s="327" t="s">
        <v>1335</v>
      </c>
      <c r="C155" s="329" t="e">
        <f t="array" ref="C155">_xlfn.XLOOKUP(A155,'I. SIM CARD HALO'!$B$2:$B$178,'I. SIM CARD HALO'!$D$2:$D$165)</f>
        <v>#VALUE!</v>
      </c>
    </row>
    <row r="156" spans="1:3" ht="15">
      <c r="A156" s="328">
        <v>8114805925</v>
      </c>
      <c r="B156" s="327" t="s">
        <v>1361</v>
      </c>
      <c r="C156" s="329" t="e">
        <f t="array" ref="C156">_xlfn.XLOOKUP(A156,'I. SIM CARD HALO'!$B$2:$B$178,'I. SIM CARD HALO'!$D$2:$D$165)</f>
        <v>#VALUE!</v>
      </c>
    </row>
    <row r="157" spans="1:3" ht="15">
      <c r="A157" s="328">
        <v>8117712120</v>
      </c>
      <c r="B157" s="327" t="s">
        <v>1214</v>
      </c>
      <c r="C157" s="329" t="e">
        <f t="array" ref="C157">_xlfn.XLOOKUP(A157,'I. SIM CARD HALO'!$B$2:$B$178,'I. SIM CARD HALO'!$D$2:$D$165)</f>
        <v>#VALUE!</v>
      </c>
    </row>
    <row r="158" spans="1:3" ht="15">
      <c r="A158" s="328">
        <v>81120011913</v>
      </c>
      <c r="B158" s="327" t="s">
        <v>1214</v>
      </c>
      <c r="C158" s="329" t="e">
        <f t="array" ref="C158">_xlfn.XLOOKUP(A158,'I. SIM CARD HALO'!$B$2:$B$178,'I. SIM CARD HALO'!$D$2:$D$165)</f>
        <v>#VALUE!</v>
      </c>
    </row>
    <row r="159" spans="1:3" ht="15">
      <c r="A159" s="328">
        <v>81120011914</v>
      </c>
      <c r="B159" s="327" t="s">
        <v>1214</v>
      </c>
      <c r="C159" s="329" t="e">
        <f t="array" ref="C159">_xlfn.XLOOKUP(A159,'I. SIM CARD HALO'!$B$2:$B$178,'I. SIM CARD HALO'!$D$2:$D$165)</f>
        <v>#VALUE!</v>
      </c>
    </row>
    <row r="160" spans="1:3" ht="15">
      <c r="A160" s="328">
        <v>81120011915</v>
      </c>
      <c r="B160" s="327" t="s">
        <v>1214</v>
      </c>
      <c r="C160" s="329" t="e">
        <f t="array" ref="C160">_xlfn.XLOOKUP(A160,'I. SIM CARD HALO'!$B$2:$B$178,'I. SIM CARD HALO'!$D$2:$D$165)</f>
        <v>#VALUE!</v>
      </c>
    </row>
    <row r="161" spans="1:3" ht="15">
      <c r="A161" s="328">
        <v>81120011915</v>
      </c>
      <c r="B161" s="327" t="s">
        <v>1335</v>
      </c>
      <c r="C161" s="329" t="e">
        <f t="array" ref="C161">_xlfn.XLOOKUP(A161,'I. SIM CARD HALO'!$B$2:$B$178,'I. SIM CARD HALO'!$D$2:$D$165)</f>
        <v>#VALUE!</v>
      </c>
    </row>
    <row r="162" spans="1:3" ht="15">
      <c r="A162" s="328">
        <v>81120011916</v>
      </c>
      <c r="B162" s="327" t="s">
        <v>1214</v>
      </c>
      <c r="C162" s="329" t="e">
        <f t="array" ref="C162">_xlfn.XLOOKUP(A162,'I. SIM CARD HALO'!$B$2:$B$178,'I. SIM CARD HALO'!$D$2:$D$165)</f>
        <v>#VALUE!</v>
      </c>
    </row>
    <row r="163" spans="1:3" ht="15">
      <c r="A163" s="328">
        <v>81120011917</v>
      </c>
      <c r="B163" s="327" t="s">
        <v>1214</v>
      </c>
      <c r="C163" s="329" t="e">
        <f t="array" ref="C163">_xlfn.XLOOKUP(A163,'I. SIM CARD HALO'!$B$2:$B$178,'I. SIM CARD HALO'!$D$2:$D$165)</f>
        <v>#VALUE!</v>
      </c>
    </row>
    <row r="164" spans="1:3" ht="15">
      <c r="A164" s="328">
        <v>81120011918</v>
      </c>
      <c r="B164" s="327" t="s">
        <v>1214</v>
      </c>
      <c r="C164" s="329" t="e">
        <f t="array" ref="C164">_xlfn.XLOOKUP(A164,'I. SIM CARD HALO'!$B$2:$B$178,'I. SIM CARD HALO'!$D$2:$D$165)</f>
        <v>#VALUE!</v>
      </c>
    </row>
    <row r="165" spans="1:3" ht="15">
      <c r="A165" s="328">
        <v>81120011919</v>
      </c>
      <c r="B165" s="327" t="s">
        <v>1214</v>
      </c>
      <c r="C165" s="329" t="e">
        <f t="array" ref="C165">_xlfn.XLOOKUP(A165,'I. SIM CARD HALO'!$B$2:$B$178,'I. SIM CARD HALO'!$D$2:$D$165)</f>
        <v>#VALUE!</v>
      </c>
    </row>
    <row r="166" spans="1:3" ht="15">
      <c r="A166" s="328">
        <v>81120030863</v>
      </c>
      <c r="B166" s="327" t="s">
        <v>1354</v>
      </c>
      <c r="C166" s="329" t="e">
        <f t="array" ref="C166">_xlfn.XLOOKUP(A166,'I. SIM CARD HALO'!$B$2:$B$178,'I. SIM CARD HALO'!$D$2:$D$165)</f>
        <v>#VALUE!</v>
      </c>
    </row>
    <row r="167" spans="1:3" ht="15">
      <c r="A167" s="328">
        <v>81120030864</v>
      </c>
      <c r="B167" s="327" t="s">
        <v>1354</v>
      </c>
      <c r="C167" s="329" t="e">
        <f t="array" ref="C167">_xlfn.XLOOKUP(A167,'I. SIM CARD HALO'!$B$2:$B$178,'I. SIM CARD HALO'!$D$2:$D$165)</f>
        <v>#VALUE!</v>
      </c>
    </row>
    <row r="168" spans="1:3" ht="15">
      <c r="A168" s="328">
        <v>81120030865</v>
      </c>
      <c r="B168" s="327" t="s">
        <v>1354</v>
      </c>
      <c r="C168" s="329" t="e">
        <f t="array" ref="C168">_xlfn.XLOOKUP(A168,'I. SIM CARD HALO'!$B$2:$B$178,'I. SIM CARD HALO'!$D$2:$D$165)</f>
        <v>#VALUE!</v>
      </c>
    </row>
    <row r="169" spans="1:3" ht="15">
      <c r="A169" s="328">
        <v>81120030866</v>
      </c>
      <c r="B169" s="327" t="s">
        <v>1354</v>
      </c>
      <c r="C169" s="329" t="e">
        <f t="array" ref="C169">_xlfn.XLOOKUP(A169,'I. SIM CARD HALO'!$B$2:$B$178,'I. SIM CARD HALO'!$D$2:$D$165)</f>
        <v>#VALUE!</v>
      </c>
    </row>
    <row r="170" spans="1:3" ht="15">
      <c r="A170" s="328">
        <v>81120030867</v>
      </c>
      <c r="B170" s="327" t="s">
        <v>1354</v>
      </c>
      <c r="C170" s="329" t="e">
        <f t="array" ref="C170">_xlfn.XLOOKUP(A170,'I. SIM CARD HALO'!$B$2:$B$178,'I. SIM CARD HALO'!$D$2:$D$165)</f>
        <v>#VALUE!</v>
      </c>
    </row>
    <row r="171" spans="1:3" ht="15">
      <c r="A171" s="328">
        <v>81120030867</v>
      </c>
      <c r="B171" s="327" t="s">
        <v>1329</v>
      </c>
      <c r="C171" s="329" t="e">
        <f t="array" ref="C171">_xlfn.XLOOKUP(A171,'I. SIM CARD HALO'!$B$2:$B$178,'I. SIM CARD HALO'!$D$2:$D$165)</f>
        <v>#VALUE!</v>
      </c>
    </row>
    <row r="172" spans="1:3" ht="15">
      <c r="A172" s="328">
        <v>81120030868</v>
      </c>
      <c r="B172" s="327" t="s">
        <v>1354</v>
      </c>
      <c r="C172" s="329" t="e">
        <f t="array" ref="C172">_xlfn.XLOOKUP(A172,'I. SIM CARD HALO'!$B$2:$B$178,'I. SIM CARD HALO'!$D$2:$D$165)</f>
        <v>#VALUE!</v>
      </c>
    </row>
    <row r="173" spans="1:3" ht="15">
      <c r="A173" s="328">
        <v>81120030868</v>
      </c>
      <c r="B173" s="327" t="s">
        <v>1361</v>
      </c>
      <c r="C173" s="329" t="e">
        <f t="array" ref="C173">_xlfn.XLOOKUP(A173,'I. SIM CARD HALO'!$B$2:$B$178,'I. SIM CARD HALO'!$D$2:$D$165)</f>
        <v>#VALUE!</v>
      </c>
    </row>
    <row r="174" spans="1:3" ht="15">
      <c r="A174" s="328">
        <v>81120030869</v>
      </c>
      <c r="B174" s="327" t="s">
        <v>1354</v>
      </c>
      <c r="C174" s="329" t="e">
        <f t="array" ref="C174">_xlfn.XLOOKUP(A174,'I. SIM CARD HALO'!$B$2:$B$178,'I. SIM CARD HALO'!$D$2:$D$165)</f>
        <v>#VALUE!</v>
      </c>
    </row>
    <row r="175" spans="1:3" ht="15">
      <c r="A175" s="328">
        <v>81120030870</v>
      </c>
      <c r="B175" s="327" t="s">
        <v>1354</v>
      </c>
      <c r="C175" s="329" t="e">
        <f t="array" ref="C175">_xlfn.XLOOKUP(A175,'I. SIM CARD HALO'!$B$2:$B$178,'I. SIM CARD HALO'!$D$2:$D$165)</f>
        <v>#VALUE!</v>
      </c>
    </row>
    <row r="176" spans="1:3" ht="15">
      <c r="A176" s="328">
        <v>81120030871</v>
      </c>
      <c r="B176" s="327" t="s">
        <v>1354</v>
      </c>
      <c r="C176" s="329" t="e">
        <f t="array" ref="C176">_xlfn.XLOOKUP(A176,'I. SIM CARD HALO'!$B$2:$B$178,'I. SIM CARD HALO'!$D$2:$D$165)</f>
        <v>#VALUE!</v>
      </c>
    </row>
    <row r="177" spans="1:3" ht="15">
      <c r="A177" s="328">
        <v>81120030872</v>
      </c>
      <c r="B177" s="327" t="s">
        <v>1354</v>
      </c>
      <c r="C177" s="329" t="e">
        <f t="array" ref="C177">_xlfn.XLOOKUP(A177,'I. SIM CARD HALO'!$B$2:$B$178,'I. SIM CARD HALO'!$D$2:$D$165)</f>
        <v>#VALUE!</v>
      </c>
    </row>
    <row r="178" spans="1:3" ht="15">
      <c r="A178" s="328">
        <v>81120030872</v>
      </c>
      <c r="B178" s="327" t="s">
        <v>1343</v>
      </c>
      <c r="C178" s="329" t="e">
        <f t="array" ref="C178">_xlfn.XLOOKUP(A178,'I. SIM CARD HALO'!$B$2:$B$178,'I. SIM CARD HALO'!$D$2:$D$165)</f>
        <v>#VALUE!</v>
      </c>
    </row>
    <row r="179" spans="1:3" ht="15">
      <c r="A179" s="328">
        <v>81120031421</v>
      </c>
      <c r="B179" s="327" t="s">
        <v>1214</v>
      </c>
      <c r="C179" s="329" t="e">
        <f t="array" ref="C179">_xlfn.XLOOKUP(A179,'I. SIM CARD HALO'!$B$2:$B$178,'I. SIM CARD HALO'!$D$2:$D$165)</f>
        <v>#VALUE!</v>
      </c>
    </row>
    <row r="180" spans="1:3" ht="15">
      <c r="A180" s="328">
        <v>81120031468</v>
      </c>
      <c r="B180" s="327" t="s">
        <v>1214</v>
      </c>
      <c r="C180" s="329" t="e">
        <f t="array" ref="C180">_xlfn.XLOOKUP(A180,'I. SIM CARD HALO'!$B$2:$B$178,'I. SIM CARD HALO'!$D$2:$D$165)</f>
        <v>#VALUE!</v>
      </c>
    </row>
    <row r="181" spans="1:3" ht="15">
      <c r="A181" s="328">
        <v>81120031469</v>
      </c>
      <c r="B181" s="327" t="s">
        <v>1214</v>
      </c>
      <c r="C181" s="329" t="e">
        <f t="array" ref="C181">_xlfn.XLOOKUP(A181,'I. SIM CARD HALO'!$B$2:$B$178,'I. SIM CARD HALO'!$D$2:$D$165)</f>
        <v>#VALUE!</v>
      </c>
    </row>
    <row r="182" spans="1:3" ht="15">
      <c r="A182" s="328">
        <v>81120032026</v>
      </c>
      <c r="B182" s="327" t="s">
        <v>1214</v>
      </c>
      <c r="C182" s="329" t="e">
        <f t="array" ref="C182">_xlfn.XLOOKUP(A182,'I. SIM CARD HALO'!$B$2:$B$178,'I. SIM CARD HALO'!$D$2:$D$165)</f>
        <v>#VALUE!</v>
      </c>
    </row>
    <row r="183" spans="1:3" ht="15">
      <c r="A183" s="328">
        <v>81120032125</v>
      </c>
      <c r="B183" s="327" t="s">
        <v>1214</v>
      </c>
      <c r="C183" s="329" t="e">
        <f t="array" ref="C183">_xlfn.XLOOKUP(A183,'I. SIM CARD HALO'!$B$2:$B$178,'I. SIM CARD HALO'!$D$2:$D$165)</f>
        <v>#VALUE!</v>
      </c>
    </row>
    <row r="184" spans="1:3" ht="15">
      <c r="A184" s="328">
        <v>81120032126</v>
      </c>
      <c r="B184" s="327" t="s">
        <v>1214</v>
      </c>
      <c r="C184" s="329" t="e">
        <f t="array" ref="C184">_xlfn.XLOOKUP(A184,'I. SIM CARD HALO'!$B$2:$B$178,'I. SIM CARD HALO'!$D$2:$D$165)</f>
        <v>#VALUE!</v>
      </c>
    </row>
    <row r="185" spans="1:3" ht="15">
      <c r="A185" s="328">
        <v>81120032127</v>
      </c>
      <c r="B185" s="327" t="s">
        <v>1214</v>
      </c>
      <c r="C185" s="329" t="e">
        <f t="array" ref="C185">_xlfn.XLOOKUP(A185,'I. SIM CARD HALO'!$B$2:$B$178,'I. SIM CARD HALO'!$D$2:$D$165)</f>
        <v>#VALUE!</v>
      </c>
    </row>
    <row r="186" spans="1:3" ht="15">
      <c r="A186" s="328">
        <v>81120032127</v>
      </c>
      <c r="B186" s="327" t="s">
        <v>1343</v>
      </c>
      <c r="C186" s="329" t="e">
        <f t="array" ref="C186">_xlfn.XLOOKUP(A186,'I. SIM CARD HALO'!$B$2:$B$178,'I. SIM CARD HALO'!$D$2:$D$165)</f>
        <v>#VALUE!</v>
      </c>
    </row>
    <row r="187" spans="1:3" ht="15">
      <c r="A187" s="328">
        <v>81120040519</v>
      </c>
      <c r="B187" s="327" t="s">
        <v>1214</v>
      </c>
      <c r="C187" s="329" t="e">
        <f t="array" ref="C187">_xlfn.XLOOKUP(A187,'I. SIM CARD HALO'!$B$2:$B$178,'I. SIM CARD HALO'!$D$2:$D$165)</f>
        <v>#VALUE!</v>
      </c>
    </row>
    <row r="188" spans="1:3" ht="15">
      <c r="A188" s="328">
        <v>81120040519</v>
      </c>
      <c r="B188" s="327" t="s">
        <v>1335</v>
      </c>
      <c r="C188" s="329" t="e">
        <f t="array" ref="C188">_xlfn.XLOOKUP(A188,'I. SIM CARD HALO'!$B$2:$B$178,'I. SIM CARD HALO'!$D$2:$D$165)</f>
        <v>#VALUE!</v>
      </c>
    </row>
    <row r="189" spans="1:3" ht="15">
      <c r="A189" s="328">
        <v>81120040569</v>
      </c>
      <c r="B189" s="327" t="s">
        <v>1214</v>
      </c>
      <c r="C189" s="329" t="e">
        <f t="array" ref="C189">_xlfn.XLOOKUP(A189,'I. SIM CARD HALO'!$B$2:$B$178,'I. SIM CARD HALO'!$D$2:$D$165)</f>
        <v>#VALUE!</v>
      </c>
    </row>
    <row r="190" spans="1:3" ht="15">
      <c r="A190" s="328">
        <v>81120040570</v>
      </c>
      <c r="B190" s="327" t="s">
        <v>1214</v>
      </c>
      <c r="C190" s="329" t="e">
        <f t="array" ref="C190">_xlfn.XLOOKUP(A190,'I. SIM CARD HALO'!$B$2:$B$178,'I. SIM CARD HALO'!$D$2:$D$165)</f>
        <v>#VALUE!</v>
      </c>
    </row>
    <row r="191" spans="1:3" ht="15">
      <c r="A191" s="328">
        <v>81120041207</v>
      </c>
      <c r="B191" s="327" t="s">
        <v>1214</v>
      </c>
      <c r="C191" s="329" t="e">
        <f t="array" ref="C191">_xlfn.XLOOKUP(A191,'I. SIM CARD HALO'!$B$2:$B$178,'I. SIM CARD HALO'!$D$2:$D$165)</f>
        <v>#VALUE!</v>
      </c>
    </row>
    <row r="192" spans="1:3" ht="15">
      <c r="A192" s="328">
        <v>81120041631</v>
      </c>
      <c r="B192" s="327" t="s">
        <v>1214</v>
      </c>
      <c r="C192" s="329" t="e">
        <f t="array" ref="C192">_xlfn.XLOOKUP(A192,'I. SIM CARD HALO'!$B$2:$B$178,'I. SIM CARD HALO'!$D$2:$D$165)</f>
        <v>#VALUE!</v>
      </c>
    </row>
    <row r="193" spans="1:3" ht="15">
      <c r="A193" s="328">
        <v>81120055651</v>
      </c>
      <c r="B193" s="327" t="s">
        <v>1214</v>
      </c>
      <c r="C193" s="329" t="e">
        <f t="array" ref="C193">_xlfn.XLOOKUP(A193,'I. SIM CARD HALO'!$B$2:$B$178,'I. SIM CARD HALO'!$D$2:$D$165)</f>
        <v>#VALUE!</v>
      </c>
    </row>
    <row r="194" spans="1:3" ht="15">
      <c r="A194" s="328">
        <v>81120056275</v>
      </c>
      <c r="B194" s="327" t="s">
        <v>1214</v>
      </c>
      <c r="C194" s="329" t="e">
        <f t="array" ref="C194">_xlfn.XLOOKUP(A194,'I. SIM CARD HALO'!$B$2:$B$178,'I. SIM CARD HALO'!$D$2:$D$165)</f>
        <v>#VALUE!</v>
      </c>
    </row>
    <row r="195" spans="1:3" ht="15">
      <c r="A195" s="328">
        <v>81120056311</v>
      </c>
      <c r="B195" s="327" t="s">
        <v>1214</v>
      </c>
      <c r="C195" s="329" t="e">
        <f t="array" ref="C195">_xlfn.XLOOKUP(A195,'I. SIM CARD HALO'!$B$2:$B$178,'I. SIM CARD HALO'!$D$2:$D$165)</f>
        <v>#VALUE!</v>
      </c>
    </row>
    <row r="196" spans="1:3" ht="15">
      <c r="A196" s="328">
        <v>81120056312</v>
      </c>
      <c r="B196" s="327" t="s">
        <v>1214</v>
      </c>
      <c r="C196" s="329" t="e">
        <f t="array" ref="C196">_xlfn.XLOOKUP(A196,'I. SIM CARD HALO'!$B$2:$B$178,'I. SIM CARD HALO'!$D$2:$D$165)</f>
        <v>#VALUE!</v>
      </c>
    </row>
    <row r="197" spans="1:3" ht="15">
      <c r="A197" s="328">
        <v>81120056578</v>
      </c>
      <c r="B197" s="327" t="s">
        <v>1214</v>
      </c>
      <c r="C197" s="329" t="e">
        <f t="array" ref="C197">_xlfn.XLOOKUP(A197,'I. SIM CARD HALO'!$B$2:$B$178,'I. SIM CARD HALO'!$D$2:$D$165)</f>
        <v>#VALUE!</v>
      </c>
    </row>
    <row r="198" spans="1:3" ht="15">
      <c r="A198" s="328">
        <v>81120058823</v>
      </c>
      <c r="B198" s="327" t="s">
        <v>1214</v>
      </c>
      <c r="C198" s="329" t="e">
        <f t="array" ref="C198">_xlfn.XLOOKUP(A198,'I. SIM CARD HALO'!$B$2:$B$178,'I. SIM CARD HALO'!$D$2:$D$165)</f>
        <v>#VALUE!</v>
      </c>
    </row>
    <row r="199" spans="1:3" ht="15">
      <c r="A199" s="328">
        <v>81120059064</v>
      </c>
      <c r="B199" s="327" t="s">
        <v>1214</v>
      </c>
      <c r="C199" s="329" t="e">
        <f t="array" ref="C199">_xlfn.XLOOKUP(A199,'I. SIM CARD HALO'!$B$2:$B$178,'I. SIM CARD HALO'!$D$2:$D$165)</f>
        <v>#VALUE!</v>
      </c>
    </row>
    <row r="200" spans="1:3" ht="15">
      <c r="A200" s="328">
        <v>81120059364</v>
      </c>
      <c r="B200" s="327" t="s">
        <v>1214</v>
      </c>
      <c r="C200" s="329" t="e">
        <f t="array" ref="C200">_xlfn.XLOOKUP(A200,'I. SIM CARD HALO'!$B$2:$B$178,'I. SIM CARD HALO'!$D$2:$D$165)</f>
        <v>#VALUE!</v>
      </c>
    </row>
    <row r="201" spans="1:3" ht="15">
      <c r="A201" s="328">
        <v>81120059789</v>
      </c>
      <c r="B201" s="327" t="s">
        <v>1214</v>
      </c>
      <c r="C201" s="329" t="e">
        <f t="array" ref="C201">_xlfn.XLOOKUP(A201,'I. SIM CARD HALO'!$B$2:$B$178,'I. SIM CARD HALO'!$D$2:$D$165)</f>
        <v>#VALUE!</v>
      </c>
    </row>
    <row r="202" spans="1:3" ht="15">
      <c r="A202" s="328">
        <v>81120060629</v>
      </c>
      <c r="B202" s="327" t="s">
        <v>1214</v>
      </c>
      <c r="C202" s="329" t="e">
        <f t="array" ref="C202">_xlfn.XLOOKUP(A202,'I. SIM CARD HALO'!$B$2:$B$178,'I. SIM CARD HALO'!$D$2:$D$165)</f>
        <v>#VALUE!</v>
      </c>
    </row>
    <row r="203" spans="1:3" ht="15">
      <c r="A203" s="328">
        <v>81120060757</v>
      </c>
      <c r="B203" s="327" t="s">
        <v>1214</v>
      </c>
      <c r="C203" s="329" t="e">
        <f t="array" ref="C203">_xlfn.XLOOKUP(A203,'I. SIM CARD HALO'!$B$2:$B$178,'I. SIM CARD HALO'!$D$2:$D$165)</f>
        <v>#VALUE!</v>
      </c>
    </row>
    <row r="204" spans="1:3" ht="15">
      <c r="A204" s="328">
        <v>81120060968</v>
      </c>
      <c r="B204" s="327" t="s">
        <v>1214</v>
      </c>
      <c r="C204" s="329" t="e">
        <f t="array" ref="C204">_xlfn.XLOOKUP(A204,'I. SIM CARD HALO'!$B$2:$B$178,'I. SIM CARD HALO'!$D$2:$D$165)</f>
        <v>#VALUE!</v>
      </c>
    </row>
    <row r="205" spans="1:3" ht="15">
      <c r="A205" s="328">
        <v>81120060969</v>
      </c>
      <c r="B205" s="327" t="s">
        <v>1214</v>
      </c>
      <c r="C205" s="329" t="e">
        <f t="array" ref="C205">_xlfn.XLOOKUP(A205,'I. SIM CARD HALO'!$B$2:$B$178,'I. SIM CARD HALO'!$D$2:$D$165)</f>
        <v>#VALUE!</v>
      </c>
    </row>
    <row r="206" spans="1:3" ht="15">
      <c r="A206" s="328">
        <v>81120060970</v>
      </c>
      <c r="B206" s="327" t="s">
        <v>1214</v>
      </c>
      <c r="C206" s="329" t="e">
        <f t="array" ref="C206">_xlfn.XLOOKUP(A206,'I. SIM CARD HALO'!$B$2:$B$178,'I. SIM CARD HALO'!$D$2:$D$165)</f>
        <v>#VALUE!</v>
      </c>
    </row>
    <row r="207" spans="1:3" ht="15">
      <c r="A207" s="328">
        <v>81120061068</v>
      </c>
      <c r="B207" s="327" t="s">
        <v>1214</v>
      </c>
      <c r="C207" s="329" t="e">
        <f t="array" ref="C207">_xlfn.XLOOKUP(A207,'I. SIM CARD HALO'!$B$2:$B$178,'I. SIM CARD HALO'!$D$2:$D$165)</f>
        <v>#VALUE!</v>
      </c>
    </row>
    <row r="208" spans="1:3" ht="15">
      <c r="A208" s="328">
        <v>81120061069</v>
      </c>
      <c r="B208" s="327" t="s">
        <v>1214</v>
      </c>
      <c r="C208" s="329" t="e">
        <f t="array" ref="C208">_xlfn.XLOOKUP(A208,'I. SIM CARD HALO'!$B$2:$B$178,'I. SIM CARD HALO'!$D$2:$D$165)</f>
        <v>#VALUE!</v>
      </c>
    </row>
    <row r="209" spans="1:3" ht="15">
      <c r="A209" s="328">
        <v>81120211959</v>
      </c>
      <c r="B209" s="327" t="s">
        <v>1214</v>
      </c>
      <c r="C209" s="329" t="e">
        <f t="array" ref="C209">_xlfn.XLOOKUP(A209,'I. SIM CARD HALO'!$B$2:$B$178,'I. SIM CARD HALO'!$D$2:$D$165)</f>
        <v>#VALUE!</v>
      </c>
    </row>
    <row r="210" spans="1:3" ht="15">
      <c r="A210" s="328">
        <v>81120211959</v>
      </c>
      <c r="B210" s="327" t="s">
        <v>1343</v>
      </c>
      <c r="C210" s="329" t="e">
        <f t="array" ref="C210">_xlfn.XLOOKUP(A210,'I. SIM CARD HALO'!$B$2:$B$178,'I. SIM CARD HALO'!$D$2:$D$165)</f>
        <v>#VALUE!</v>
      </c>
    </row>
    <row r="211" spans="1:3" ht="15">
      <c r="A211" s="328">
        <v>81120213235</v>
      </c>
      <c r="B211" s="327" t="s">
        <v>1214</v>
      </c>
      <c r="C211" s="329" t="e">
        <f t="array" ref="C211">_xlfn.XLOOKUP(A211,'I. SIM CARD HALO'!$B$2:$B$178,'I. SIM CARD HALO'!$D$2:$D$165)</f>
        <v>#VALUE!</v>
      </c>
    </row>
    <row r="212" spans="1:3" ht="15">
      <c r="A212" s="328">
        <v>81120218081</v>
      </c>
      <c r="B212" s="327" t="s">
        <v>1214</v>
      </c>
      <c r="C212" s="329" t="e">
        <f t="array" ref="C212">_xlfn.XLOOKUP(A212,'I. SIM CARD HALO'!$B$2:$B$178,'I. SIM CARD HALO'!$D$2:$D$165)</f>
        <v>#VALUE!</v>
      </c>
    </row>
    <row r="213" spans="1:3" ht="15">
      <c r="A213" s="328">
        <v>81120218358</v>
      </c>
      <c r="B213" s="327" t="s">
        <v>1214</v>
      </c>
      <c r="C213" s="329" t="e">
        <f t="array" ref="C213">_xlfn.XLOOKUP(A213,'I. SIM CARD HALO'!$B$2:$B$178,'I. SIM CARD HALO'!$D$2:$D$165)</f>
        <v>#VALUE!</v>
      </c>
    </row>
    <row r="214" spans="1:3" ht="15">
      <c r="A214" s="328">
        <v>81120218359</v>
      </c>
      <c r="B214" s="327" t="s">
        <v>1214</v>
      </c>
      <c r="C214" s="329" t="e">
        <f t="array" ref="C214">_xlfn.XLOOKUP(A214,'I. SIM CARD HALO'!$B$2:$B$178,'I. SIM CARD HALO'!$D$2:$D$165)</f>
        <v>#VALUE!</v>
      </c>
    </row>
    <row r="215" spans="1:3" ht="15">
      <c r="A215" s="328">
        <v>81120224612</v>
      </c>
      <c r="B215" s="327" t="s">
        <v>1354</v>
      </c>
      <c r="C215" s="329" t="e">
        <f t="array" ref="C215">_xlfn.XLOOKUP(A215,'I. SIM CARD HALO'!$B$2:$B$178,'I. SIM CARD HALO'!$D$2:$D$165)</f>
        <v>#VALUE!</v>
      </c>
    </row>
    <row r="216" spans="1:3" ht="15">
      <c r="A216" s="328">
        <v>81120224612</v>
      </c>
      <c r="B216" s="327" t="s">
        <v>1343</v>
      </c>
      <c r="C216" s="329" t="e">
        <f t="array" ref="C216">_xlfn.XLOOKUP(A216,'I. SIM CARD HALO'!$B$2:$B$178,'I. SIM CARD HALO'!$D$2:$D$165)</f>
        <v>#VALUE!</v>
      </c>
    </row>
    <row r="217" spans="1:3" ht="15">
      <c r="A217" s="328">
        <v>81120224612</v>
      </c>
      <c r="B217" s="327" t="s">
        <v>1343</v>
      </c>
      <c r="C217" s="329" t="e">
        <f t="array" ref="C217">_xlfn.XLOOKUP(A217,'I. SIM CARD HALO'!$B$2:$B$178,'I. SIM CARD HALO'!$D$2:$D$165)</f>
        <v>#VALUE!</v>
      </c>
    </row>
    <row r="218" spans="1:3" ht="15">
      <c r="A218" s="328">
        <v>81120224612</v>
      </c>
      <c r="B218" s="327" t="s">
        <v>1366</v>
      </c>
      <c r="C218" s="329" t="e">
        <f t="array" ref="C218">_xlfn.XLOOKUP(A218,'I. SIM CARD HALO'!$B$2:$B$178,'I. SIM CARD HALO'!$D$2:$D$165)</f>
        <v>#VALUE!</v>
      </c>
    </row>
    <row r="219" spans="1:3" ht="15">
      <c r="A219" s="328">
        <v>81120224613</v>
      </c>
      <c r="B219" s="327" t="s">
        <v>1354</v>
      </c>
      <c r="C219" s="329" t="e">
        <f t="array" ref="C219">_xlfn.XLOOKUP(A219,'I. SIM CARD HALO'!$B$2:$B$178,'I. SIM CARD HALO'!$D$2:$D$165)</f>
        <v>#VALUE!</v>
      </c>
    </row>
    <row r="220" spans="1:3" ht="15">
      <c r="A220" s="328">
        <v>81120224614</v>
      </c>
      <c r="B220" s="327" t="s">
        <v>1354</v>
      </c>
      <c r="C220" s="329" t="e">
        <f t="array" ref="C220">_xlfn.XLOOKUP(A220,'I. SIM CARD HALO'!$B$2:$B$178,'I. SIM CARD HALO'!$D$2:$D$165)</f>
        <v>#VALUE!</v>
      </c>
    </row>
    <row r="221" spans="1:3" ht="15">
      <c r="A221" s="328">
        <v>81120224921</v>
      </c>
      <c r="B221" s="327" t="s">
        <v>1214</v>
      </c>
      <c r="C221" s="329" t="e">
        <f t="array" ref="C221">_xlfn.XLOOKUP(A221,'I. SIM CARD HALO'!$B$2:$B$178,'I. SIM CARD HALO'!$D$2:$D$165)</f>
        <v>#VALUE!</v>
      </c>
    </row>
    <row r="222" spans="1:3" ht="15">
      <c r="A222" s="328">
        <v>81120237649</v>
      </c>
      <c r="B222" s="327" t="s">
        <v>1214</v>
      </c>
      <c r="C222" s="329" t="e">
        <f t="array" ref="C222">_xlfn.XLOOKUP(A222,'I. SIM CARD HALO'!$B$2:$B$178,'I. SIM CARD HALO'!$D$2:$D$165)</f>
        <v>#VALUE!</v>
      </c>
    </row>
    <row r="223" spans="1:3" ht="15">
      <c r="A223" s="328">
        <v>81120237664</v>
      </c>
      <c r="B223" s="327" t="s">
        <v>1214</v>
      </c>
      <c r="C223" s="329" t="e">
        <f t="array" ref="C223">_xlfn.XLOOKUP(A223,'I. SIM CARD HALO'!$B$2:$B$178,'I. SIM CARD HALO'!$D$2:$D$165)</f>
        <v>#VALUE!</v>
      </c>
    </row>
    <row r="224" spans="1:3" ht="15">
      <c r="A224" s="328">
        <v>81122300611</v>
      </c>
      <c r="B224" s="327" t="s">
        <v>1214</v>
      </c>
      <c r="C224" s="329" t="e">
        <f t="array" ref="C224">_xlfn.XLOOKUP(A224,'I. SIM CARD HALO'!$B$2:$B$178,'I. SIM CARD HALO'!$D$2:$D$165)</f>
        <v>#VALUE!</v>
      </c>
    </row>
    <row r="225" spans="1:3" ht="15">
      <c r="A225" s="328">
        <v>81122300612</v>
      </c>
      <c r="B225" s="327" t="s">
        <v>1214</v>
      </c>
      <c r="C225" s="329" t="e">
        <f t="array" ref="C225">_xlfn.XLOOKUP(A225,'I. SIM CARD HALO'!$B$2:$B$178,'I. SIM CARD HALO'!$D$2:$D$165)</f>
        <v>#VALUE!</v>
      </c>
    </row>
    <row r="226" spans="1:3" ht="15">
      <c r="A226" s="328">
        <v>81122300613</v>
      </c>
      <c r="B226" s="327" t="s">
        <v>1214</v>
      </c>
      <c r="C226" s="329" t="e">
        <f t="array" ref="C226">_xlfn.XLOOKUP(A226,'I. SIM CARD HALO'!$B$2:$B$178,'I. SIM CARD HALO'!$D$2:$D$165)</f>
        <v>#VALUE!</v>
      </c>
    </row>
    <row r="227" spans="1:3" ht="15">
      <c r="A227" s="328">
        <v>81122300614</v>
      </c>
      <c r="B227" s="327" t="s">
        <v>1214</v>
      </c>
      <c r="C227" s="329" t="e">
        <f t="array" ref="C227">_xlfn.XLOOKUP(A227,'I. SIM CARD HALO'!$B$2:$B$178,'I. SIM CARD HALO'!$D$2:$D$165)</f>
        <v>#VALUE!</v>
      </c>
    </row>
    <row r="228" spans="1:3" ht="15">
      <c r="A228" s="328">
        <v>81122300615</v>
      </c>
      <c r="B228" s="327" t="s">
        <v>1214</v>
      </c>
      <c r="C228" s="329" t="e">
        <f t="array" ref="C228">_xlfn.XLOOKUP(A228,'I. SIM CARD HALO'!$B$2:$B$178,'I. SIM CARD HALO'!$D$2:$D$165)</f>
        <v>#VALUE!</v>
      </c>
    </row>
    <row r="229" spans="1:3" ht="15">
      <c r="A229" s="328">
        <v>81122300616</v>
      </c>
      <c r="B229" s="327" t="s">
        <v>1214</v>
      </c>
      <c r="C229" s="329" t="e">
        <f t="array" ref="C229">_xlfn.XLOOKUP(A229,'I. SIM CARD HALO'!$B$2:$B$178,'I. SIM CARD HALO'!$D$2:$D$165)</f>
        <v>#VALUE!</v>
      </c>
    </row>
    <row r="230" spans="1:3" ht="15">
      <c r="A230" s="328">
        <v>81122300617</v>
      </c>
      <c r="B230" s="327" t="s">
        <v>1214</v>
      </c>
      <c r="C230" s="329" t="e">
        <f t="array" ref="C230">_xlfn.XLOOKUP(A230,'I. SIM CARD HALO'!$B$2:$B$178,'I. SIM CARD HALO'!$D$2:$D$165)</f>
        <v>#VALUE!</v>
      </c>
    </row>
    <row r="231" spans="1:3" ht="15">
      <c r="A231" s="328">
        <v>81122300618</v>
      </c>
      <c r="B231" s="327" t="s">
        <v>1214</v>
      </c>
      <c r="C231" s="329" t="e">
        <f t="array" ref="C231">_xlfn.XLOOKUP(A231,'I. SIM CARD HALO'!$B$2:$B$178,'I. SIM CARD HALO'!$D$2:$D$165)</f>
        <v>#VALUE!</v>
      </c>
    </row>
    <row r="232" spans="1:3" ht="15">
      <c r="A232" s="31">
        <v>81323010898</v>
      </c>
      <c r="B232" s="31" t="s">
        <v>1368</v>
      </c>
      <c r="C232" s="14" t="e">
        <f t="array" ref="C232">_xlfn.XLOOKUP(A232,'I. SIM CARD HALO'!$B$2:$B$178,'I. SIM CARD HALO'!$D$2:$D$165)</f>
        <v>#VALUE!</v>
      </c>
    </row>
    <row r="233" spans="1:3" ht="15">
      <c r="A233" s="327">
        <v>82267438787</v>
      </c>
      <c r="B233" s="327" t="s">
        <v>1214</v>
      </c>
      <c r="C233" s="329" t="e">
        <f t="array" ref="C233">_xlfn.XLOOKUP(A233,'I. SIM CARD HALO'!$B$2:$B$178,'I. SIM CARD HALO'!$D$2:$D$165)</f>
        <v>#VALUE!</v>
      </c>
    </row>
    <row r="234" spans="1:3" ht="15">
      <c r="A234" s="327">
        <v>628122283174</v>
      </c>
      <c r="B234" s="327" t="s">
        <v>1214</v>
      </c>
      <c r="C234" s="329" t="e">
        <f t="array" ref="C234">_xlfn.XLOOKUP(A234,'I. SIM CARD HALO'!$B$2:$B$178,'I. SIM CARD HALO'!$D$2:$D$165)</f>
        <v>#VALUE!</v>
      </c>
    </row>
    <row r="235" spans="1:3" ht="15">
      <c r="A235" s="327">
        <v>6281323010898</v>
      </c>
      <c r="B235" s="327" t="s">
        <v>1325</v>
      </c>
      <c r="C235" s="329" t="e">
        <f t="array" ref="C235">_xlfn.XLOOKUP(A235,'I. SIM CARD HALO'!$B$2:$B$178,'I. SIM CARD HALO'!$D$2:$D$165)</f>
        <v>#VALUE!</v>
      </c>
    </row>
  </sheetData>
  <autoFilter ref="A1:C235" xr:uid="{00000000-0009-0000-0000-00000F000000}"/>
  <conditionalFormatting sqref="A2:C936 D114:D116">
    <cfRule type="expression" dxfId="56" priority="1">
      <formula>COUNTIF($A$2:A1000, $A2) &gt; 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23"/>
  <sheetViews>
    <sheetView workbookViewId="0"/>
  </sheetViews>
  <sheetFormatPr defaultColWidth="12.5703125" defaultRowHeight="15.75" customHeight="1"/>
  <cols>
    <col min="1" max="1" width="4.140625" customWidth="1"/>
    <col min="2" max="2" width="22.85546875" customWidth="1"/>
    <col min="3" max="3" width="18.42578125" customWidth="1"/>
    <col min="4" max="4" width="22.28515625" customWidth="1"/>
    <col min="5" max="5" width="20.140625" customWidth="1"/>
  </cols>
  <sheetData>
    <row r="1" spans="1:5">
      <c r="A1" s="339" t="s">
        <v>581</v>
      </c>
      <c r="B1" s="339" t="s">
        <v>1372</v>
      </c>
      <c r="C1" s="339" t="s">
        <v>1373</v>
      </c>
      <c r="D1" s="339" t="s">
        <v>1374</v>
      </c>
      <c r="E1" s="339" t="s">
        <v>1375</v>
      </c>
    </row>
    <row r="2" spans="1:5">
      <c r="A2" s="53">
        <v>1</v>
      </c>
      <c r="B2" s="53" t="s">
        <v>23</v>
      </c>
      <c r="C2" s="52"/>
      <c r="D2" s="52"/>
      <c r="E2" s="52"/>
    </row>
    <row r="3" spans="1:5">
      <c r="A3" s="53">
        <v>2</v>
      </c>
      <c r="B3" s="53" t="s">
        <v>23</v>
      </c>
      <c r="C3" s="52"/>
      <c r="D3" s="52"/>
      <c r="E3" s="52"/>
    </row>
    <row r="4" spans="1:5">
      <c r="A4" s="53">
        <v>3</v>
      </c>
      <c r="B4" s="53" t="s">
        <v>23</v>
      </c>
      <c r="C4" s="52"/>
      <c r="D4" s="52"/>
      <c r="E4" s="52"/>
    </row>
    <row r="5" spans="1:5">
      <c r="A5" s="53">
        <v>4</v>
      </c>
      <c r="B5" s="53" t="s">
        <v>23</v>
      </c>
      <c r="C5" s="52"/>
      <c r="D5" s="52"/>
      <c r="E5" s="52"/>
    </row>
    <row r="6" spans="1:5">
      <c r="A6" s="53">
        <v>5</v>
      </c>
      <c r="B6" s="53" t="s">
        <v>23</v>
      </c>
      <c r="C6" s="52"/>
      <c r="D6" s="52"/>
      <c r="E6" s="52"/>
    </row>
    <row r="7" spans="1:5">
      <c r="A7" s="53">
        <v>6</v>
      </c>
      <c r="B7" s="53" t="s">
        <v>23</v>
      </c>
      <c r="C7" s="52"/>
      <c r="D7" s="52"/>
      <c r="E7" s="52"/>
    </row>
    <row r="8" spans="1:5">
      <c r="A8" s="53">
        <v>7</v>
      </c>
      <c r="B8" s="53" t="s">
        <v>23</v>
      </c>
      <c r="C8" s="52"/>
      <c r="D8" s="52"/>
      <c r="E8" s="52"/>
    </row>
    <row r="9" spans="1:5">
      <c r="A9" s="53">
        <v>8</v>
      </c>
      <c r="B9" s="53" t="s">
        <v>23</v>
      </c>
      <c r="C9" s="52"/>
      <c r="D9" s="52"/>
      <c r="E9" s="52"/>
    </row>
    <row r="10" spans="1:5">
      <c r="A10" s="53">
        <v>9</v>
      </c>
      <c r="B10" s="53" t="s">
        <v>23</v>
      </c>
      <c r="C10" s="52"/>
      <c r="D10" s="52"/>
      <c r="E10" s="52"/>
    </row>
    <row r="11" spans="1:5">
      <c r="A11" s="53">
        <v>10</v>
      </c>
      <c r="B11" s="52"/>
      <c r="C11" s="52"/>
      <c r="D11" s="52"/>
      <c r="E11" s="52"/>
    </row>
    <row r="12" spans="1:5">
      <c r="A12" s="53">
        <v>11</v>
      </c>
      <c r="B12" s="52"/>
      <c r="C12" s="52"/>
      <c r="D12" s="52"/>
      <c r="E12" s="52"/>
    </row>
    <row r="13" spans="1:5">
      <c r="A13" s="53">
        <v>12</v>
      </c>
      <c r="B13" s="52"/>
      <c r="C13" s="52"/>
      <c r="D13" s="52"/>
      <c r="E13" s="52"/>
    </row>
    <row r="14" spans="1:5">
      <c r="A14" s="53">
        <v>13</v>
      </c>
      <c r="B14" s="52"/>
      <c r="C14" s="52"/>
      <c r="D14" s="52"/>
      <c r="E14" s="52"/>
    </row>
    <row r="15" spans="1:5">
      <c r="A15" s="53">
        <v>14</v>
      </c>
      <c r="B15" s="52"/>
      <c r="C15" s="52"/>
      <c r="D15" s="52"/>
      <c r="E15" s="52"/>
    </row>
    <row r="16" spans="1:5">
      <c r="A16" s="53">
        <v>15</v>
      </c>
      <c r="B16" s="52"/>
      <c r="C16" s="52"/>
      <c r="D16" s="52"/>
      <c r="E16" s="52"/>
    </row>
    <row r="17" spans="1:5">
      <c r="A17" s="53">
        <v>16</v>
      </c>
      <c r="B17" s="52"/>
      <c r="C17" s="52"/>
      <c r="D17" s="52"/>
      <c r="E17" s="52"/>
    </row>
    <row r="18" spans="1:5">
      <c r="A18" s="53">
        <v>17</v>
      </c>
      <c r="B18" s="52"/>
      <c r="C18" s="52"/>
      <c r="D18" s="52"/>
      <c r="E18" s="52"/>
    </row>
    <row r="19" spans="1:5">
      <c r="A19" s="53">
        <v>18</v>
      </c>
      <c r="B19" s="52"/>
      <c r="C19" s="52"/>
      <c r="D19" s="52"/>
      <c r="E19" s="52"/>
    </row>
    <row r="20" spans="1:5">
      <c r="A20" s="53">
        <v>19</v>
      </c>
      <c r="B20" s="52"/>
      <c r="C20" s="52"/>
      <c r="D20" s="52"/>
      <c r="E20" s="52"/>
    </row>
    <row r="21" spans="1:5">
      <c r="A21" s="53">
        <v>20</v>
      </c>
      <c r="B21" s="52"/>
      <c r="C21" s="52"/>
      <c r="D21" s="52"/>
      <c r="E21" s="52"/>
    </row>
    <row r="22" spans="1:5">
      <c r="A22" s="53">
        <v>21</v>
      </c>
      <c r="B22" s="52"/>
      <c r="C22" s="52"/>
      <c r="D22" s="52"/>
      <c r="E22" s="52"/>
    </row>
    <row r="23" spans="1:5">
      <c r="A23" s="53">
        <v>22</v>
      </c>
      <c r="B23" s="52"/>
      <c r="C23" s="52"/>
      <c r="D23" s="52"/>
      <c r="E23" s="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D24"/>
  <sheetViews>
    <sheetView workbookViewId="0"/>
  </sheetViews>
  <sheetFormatPr defaultColWidth="12.5703125" defaultRowHeight="15.75" customHeight="1"/>
  <sheetData>
    <row r="1" spans="1:30" ht="27.75" customHeight="1">
      <c r="A1" s="1" t="s">
        <v>0</v>
      </c>
      <c r="B1" s="1" t="s">
        <v>9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1266</v>
      </c>
      <c r="H1" s="1" t="s">
        <v>6</v>
      </c>
      <c r="I1" s="1" t="s">
        <v>8</v>
      </c>
      <c r="J1" s="1" t="s">
        <v>10</v>
      </c>
      <c r="K1" s="3" t="s">
        <v>11</v>
      </c>
      <c r="L1" s="1" t="s">
        <v>12</v>
      </c>
      <c r="M1" s="1" t="s">
        <v>14</v>
      </c>
      <c r="N1" s="1" t="s">
        <v>16</v>
      </c>
      <c r="O1" s="1" t="s">
        <v>17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2.75">
      <c r="A2" s="340">
        <v>1</v>
      </c>
      <c r="B2" s="341" t="s">
        <v>1378</v>
      </c>
      <c r="C2" s="342" t="s">
        <v>1379</v>
      </c>
      <c r="D2" s="124" t="s">
        <v>1380</v>
      </c>
      <c r="E2" s="341" t="s">
        <v>1381</v>
      </c>
      <c r="F2" s="341"/>
      <c r="G2" s="342"/>
      <c r="H2" s="341"/>
      <c r="I2" s="341"/>
      <c r="J2" s="341"/>
      <c r="K2" s="343"/>
      <c r="L2" s="344">
        <v>45066.469286215273</v>
      </c>
      <c r="M2" s="345"/>
      <c r="N2" s="345" t="s">
        <v>1382</v>
      </c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2.75">
      <c r="A3" s="346">
        <v>2</v>
      </c>
      <c r="B3" s="12" t="s">
        <v>1378</v>
      </c>
      <c r="C3" s="153" t="s">
        <v>1383</v>
      </c>
      <c r="D3" s="347" t="s">
        <v>1384</v>
      </c>
      <c r="E3" s="12" t="s">
        <v>1381</v>
      </c>
      <c r="F3" s="348"/>
      <c r="G3" s="349"/>
      <c r="H3" s="348"/>
      <c r="I3" s="12"/>
      <c r="J3" s="12"/>
      <c r="K3" s="152"/>
      <c r="L3" s="350">
        <v>45066.479151284722</v>
      </c>
      <c r="M3" s="351"/>
      <c r="N3" s="318" t="s">
        <v>1382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12.75">
      <c r="A4" s="346">
        <v>3</v>
      </c>
      <c r="B4" s="12" t="s">
        <v>1385</v>
      </c>
      <c r="C4" s="153" t="s">
        <v>57</v>
      </c>
      <c r="D4" s="12" t="s">
        <v>1386</v>
      </c>
      <c r="E4" s="12" t="s">
        <v>1381</v>
      </c>
      <c r="F4" s="348"/>
      <c r="G4" s="349"/>
      <c r="H4" s="348"/>
      <c r="I4" s="12"/>
      <c r="J4" s="12"/>
      <c r="K4" s="353"/>
      <c r="L4" s="350">
        <v>45066.457402847227</v>
      </c>
      <c r="M4" s="351"/>
      <c r="N4" s="318" t="s">
        <v>1382</v>
      </c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 ht="12.75">
      <c r="A5" s="41">
        <v>4</v>
      </c>
      <c r="B5" s="154" t="s">
        <v>1388</v>
      </c>
      <c r="C5" s="165" t="s">
        <v>1389</v>
      </c>
      <c r="D5" s="30" t="s">
        <v>1390</v>
      </c>
      <c r="E5" s="154"/>
      <c r="F5" s="99"/>
      <c r="G5" s="164"/>
      <c r="H5" s="9" t="s">
        <v>254</v>
      </c>
      <c r="I5" s="155"/>
      <c r="J5" s="155"/>
      <c r="K5" s="333"/>
      <c r="L5" s="96">
        <v>45066.468522754629</v>
      </c>
      <c r="M5" s="96"/>
      <c r="N5" s="56" t="s">
        <v>1391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2.75">
      <c r="A6" s="157">
        <v>5</v>
      </c>
      <c r="B6" s="12" t="s">
        <v>1392</v>
      </c>
      <c r="C6" s="153" t="s">
        <v>1393</v>
      </c>
      <c r="D6" s="12"/>
      <c r="E6" s="12" t="s">
        <v>867</v>
      </c>
      <c r="F6" s="13"/>
      <c r="G6" s="151"/>
      <c r="H6" s="98"/>
      <c r="I6" s="13"/>
      <c r="J6" s="13"/>
      <c r="K6" s="158">
        <v>43955</v>
      </c>
      <c r="L6" s="158">
        <v>45066.600511076387</v>
      </c>
      <c r="M6" s="315" t="s">
        <v>255</v>
      </c>
      <c r="N6" s="33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 ht="12.75">
      <c r="A7" s="157">
        <v>6</v>
      </c>
      <c r="B7" s="12" t="s">
        <v>1394</v>
      </c>
      <c r="C7" s="153" t="s">
        <v>1395</v>
      </c>
      <c r="D7" s="12"/>
      <c r="E7" s="12" t="s">
        <v>1396</v>
      </c>
      <c r="F7" s="13"/>
      <c r="G7" s="151"/>
      <c r="H7" s="98"/>
      <c r="I7" s="13"/>
      <c r="J7" s="13"/>
      <c r="K7" s="158">
        <v>43956</v>
      </c>
      <c r="L7" s="158">
        <v>45066.468020428241</v>
      </c>
      <c r="M7" s="315" t="s">
        <v>255</v>
      </c>
      <c r="N7" s="33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 ht="12.75">
      <c r="A8" s="157">
        <v>7</v>
      </c>
      <c r="B8" s="12" t="s">
        <v>1385</v>
      </c>
      <c r="C8" s="153" t="s">
        <v>1397</v>
      </c>
      <c r="D8" s="13" t="s">
        <v>1398</v>
      </c>
      <c r="E8" s="12" t="s">
        <v>740</v>
      </c>
      <c r="F8" s="13" t="s">
        <v>1399</v>
      </c>
      <c r="G8" s="151"/>
      <c r="H8" s="98"/>
      <c r="I8" s="13"/>
      <c r="J8" s="13"/>
      <c r="K8" s="321"/>
      <c r="L8" s="158">
        <v>45066.474305706019</v>
      </c>
      <c r="M8" s="315" t="s">
        <v>255</v>
      </c>
      <c r="N8" s="33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11" spans="1:30" ht="12.75">
      <c r="A11" s="354">
        <v>1</v>
      </c>
      <c r="B11" s="355" t="s">
        <v>25</v>
      </c>
      <c r="C11" s="356"/>
      <c r="D11" s="357"/>
      <c r="E11" s="357" t="s">
        <v>46</v>
      </c>
      <c r="F11" s="357"/>
      <c r="G11" s="355"/>
      <c r="H11" s="355"/>
      <c r="I11" s="358"/>
      <c r="J11" s="358"/>
      <c r="K11" s="356"/>
      <c r="L11" s="356"/>
      <c r="M11" s="356"/>
      <c r="N11" s="356"/>
      <c r="O11" s="355" t="s">
        <v>1291</v>
      </c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</row>
    <row r="12" spans="1:30" ht="12.75">
      <c r="A12" s="360">
        <v>2</v>
      </c>
      <c r="B12" s="361" t="s">
        <v>25</v>
      </c>
      <c r="C12" s="362"/>
      <c r="D12" s="361"/>
      <c r="E12" s="361" t="s">
        <v>46</v>
      </c>
      <c r="F12" s="361"/>
      <c r="G12" s="361"/>
      <c r="H12" s="361"/>
      <c r="I12" s="361"/>
      <c r="J12" s="361"/>
      <c r="K12" s="363"/>
      <c r="L12" s="363"/>
      <c r="M12" s="363"/>
      <c r="N12" s="363"/>
      <c r="O12" s="326"/>
      <c r="P12" s="364"/>
      <c r="Q12" s="359"/>
      <c r="R12" s="359"/>
      <c r="S12" s="359"/>
      <c r="T12" s="359"/>
      <c r="U12" s="359"/>
      <c r="V12" s="359"/>
      <c r="W12" s="359"/>
      <c r="X12" s="359"/>
      <c r="Y12" s="359"/>
      <c r="Z12" s="359"/>
      <c r="AA12" s="359"/>
      <c r="AB12" s="359"/>
      <c r="AC12" s="359"/>
      <c r="AD12" s="359"/>
    </row>
    <row r="13" spans="1:30" ht="12.75">
      <c r="A13" s="360">
        <v>3</v>
      </c>
      <c r="B13" s="361" t="s">
        <v>62</v>
      </c>
      <c r="C13" s="362"/>
      <c r="D13" s="361"/>
      <c r="E13" s="361" t="s">
        <v>46</v>
      </c>
      <c r="F13" s="361"/>
      <c r="G13" s="361"/>
      <c r="H13" s="361"/>
      <c r="I13" s="361"/>
      <c r="J13" s="361"/>
      <c r="K13" s="362"/>
      <c r="L13" s="362"/>
      <c r="M13" s="362"/>
      <c r="N13" s="362"/>
      <c r="O13" s="361"/>
      <c r="P13" s="364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59"/>
      <c r="AC13" s="359"/>
      <c r="AD13" s="359"/>
    </row>
    <row r="14" spans="1:30" ht="12.75">
      <c r="A14" s="354">
        <v>4</v>
      </c>
      <c r="B14" s="361" t="s">
        <v>62</v>
      </c>
      <c r="C14" s="362"/>
      <c r="D14" s="361"/>
      <c r="E14" s="361" t="s">
        <v>46</v>
      </c>
      <c r="F14" s="361"/>
      <c r="G14" s="361"/>
      <c r="H14" s="361"/>
      <c r="I14" s="361"/>
      <c r="J14" s="361"/>
      <c r="K14" s="362"/>
      <c r="L14" s="362"/>
      <c r="M14" s="362"/>
      <c r="N14" s="362"/>
      <c r="O14" s="361"/>
      <c r="P14" s="364"/>
      <c r="Q14" s="359"/>
      <c r="R14" s="359"/>
      <c r="S14" s="359"/>
      <c r="T14" s="359"/>
      <c r="U14" s="359"/>
      <c r="V14" s="359"/>
      <c r="W14" s="359"/>
      <c r="X14" s="359"/>
      <c r="Y14" s="359"/>
      <c r="Z14" s="359"/>
      <c r="AA14" s="359"/>
      <c r="AB14" s="359"/>
      <c r="AC14" s="359"/>
      <c r="AD14" s="359"/>
    </row>
    <row r="15" spans="1:30" ht="12.75">
      <c r="A15" s="360">
        <v>5</v>
      </c>
      <c r="B15" s="361" t="s">
        <v>62</v>
      </c>
      <c r="C15" s="362"/>
      <c r="D15" s="361"/>
      <c r="E15" s="361" t="s">
        <v>46</v>
      </c>
      <c r="F15" s="361"/>
      <c r="G15" s="361"/>
      <c r="H15" s="361"/>
      <c r="I15" s="361"/>
      <c r="J15" s="361"/>
      <c r="K15" s="362"/>
      <c r="L15" s="362"/>
      <c r="M15" s="362"/>
      <c r="N15" s="362"/>
      <c r="O15" s="361"/>
      <c r="P15" s="364"/>
      <c r="Q15" s="359"/>
      <c r="R15" s="359"/>
      <c r="S15" s="359"/>
      <c r="T15" s="359"/>
      <c r="U15" s="359"/>
      <c r="V15" s="359"/>
      <c r="W15" s="359"/>
      <c r="X15" s="359"/>
      <c r="Y15" s="359"/>
      <c r="Z15" s="359"/>
      <c r="AA15" s="359"/>
      <c r="AB15" s="359"/>
      <c r="AC15" s="359"/>
      <c r="AD15" s="359"/>
    </row>
    <row r="16" spans="1:30" ht="12.75">
      <c r="A16" s="360">
        <v>6</v>
      </c>
      <c r="B16" s="361" t="s">
        <v>62</v>
      </c>
      <c r="C16" s="362"/>
      <c r="D16" s="361"/>
      <c r="E16" s="361" t="s">
        <v>46</v>
      </c>
      <c r="F16" s="361"/>
      <c r="G16" s="361"/>
      <c r="H16" s="361"/>
      <c r="I16" s="361"/>
      <c r="J16" s="361"/>
      <c r="K16" s="362"/>
      <c r="L16" s="362"/>
      <c r="M16" s="362"/>
      <c r="N16" s="362"/>
      <c r="O16" s="361"/>
      <c r="P16" s="364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  <c r="AB16" s="359"/>
      <c r="AC16" s="359"/>
      <c r="AD16" s="359"/>
    </row>
    <row r="17" spans="1:30" ht="12.75">
      <c r="A17" s="354">
        <v>7</v>
      </c>
      <c r="B17" s="361" t="s">
        <v>1400</v>
      </c>
      <c r="C17" s="362"/>
      <c r="D17" s="361"/>
      <c r="E17" s="361" t="s">
        <v>46</v>
      </c>
      <c r="F17" s="361"/>
      <c r="G17" s="361"/>
      <c r="H17" s="361"/>
      <c r="I17" s="361"/>
      <c r="J17" s="361"/>
      <c r="K17" s="362"/>
      <c r="L17" s="362"/>
      <c r="M17" s="362"/>
      <c r="N17" s="362"/>
      <c r="O17" s="361"/>
      <c r="P17" s="364"/>
      <c r="Q17" s="359"/>
      <c r="R17" s="359"/>
      <c r="S17" s="359"/>
      <c r="T17" s="359"/>
      <c r="U17" s="359"/>
      <c r="V17" s="359"/>
      <c r="W17" s="359"/>
      <c r="X17" s="359"/>
      <c r="Y17" s="359"/>
      <c r="Z17" s="359"/>
      <c r="AA17" s="359"/>
      <c r="AB17" s="359"/>
      <c r="AC17" s="359"/>
      <c r="AD17" s="359"/>
    </row>
    <row r="18" spans="1:30" ht="12.75">
      <c r="A18" s="360">
        <v>8</v>
      </c>
      <c r="B18" s="361" t="s">
        <v>90</v>
      </c>
      <c r="C18" s="365" t="s">
        <v>572</v>
      </c>
      <c r="D18" s="361"/>
      <c r="E18" s="361" t="s">
        <v>1401</v>
      </c>
      <c r="F18" s="361"/>
      <c r="G18" s="361"/>
      <c r="H18" s="361"/>
      <c r="I18" s="366"/>
      <c r="J18" s="366"/>
      <c r="K18" s="363"/>
      <c r="L18" s="363"/>
      <c r="M18" s="363"/>
      <c r="N18" s="363"/>
      <c r="O18" s="326" t="s">
        <v>1402</v>
      </c>
      <c r="P18" s="367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59"/>
    </row>
    <row r="19" spans="1:30" ht="12.75">
      <c r="A19" s="360">
        <v>9</v>
      </c>
      <c r="B19" s="361" t="s">
        <v>96</v>
      </c>
      <c r="C19" s="362"/>
      <c r="D19" s="326"/>
      <c r="E19" s="326" t="s">
        <v>403</v>
      </c>
      <c r="F19" s="361"/>
      <c r="G19" s="361"/>
      <c r="H19" s="361"/>
      <c r="I19" s="361"/>
      <c r="J19" s="361"/>
      <c r="K19" s="363"/>
      <c r="L19" s="363"/>
      <c r="M19" s="363"/>
      <c r="N19" s="363"/>
      <c r="O19" s="326" t="s">
        <v>1403</v>
      </c>
      <c r="P19" s="367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359"/>
      <c r="AB19" s="359"/>
      <c r="AC19" s="359"/>
      <c r="AD19" s="359"/>
    </row>
    <row r="20" spans="1:30" ht="12.75">
      <c r="A20" s="360">
        <v>11</v>
      </c>
      <c r="B20" s="368" t="s">
        <v>25</v>
      </c>
      <c r="C20" s="369"/>
      <c r="D20" s="368"/>
      <c r="E20" s="368" t="s">
        <v>1404</v>
      </c>
      <c r="F20" s="368"/>
      <c r="G20" s="55"/>
      <c r="H20" s="55"/>
      <c r="I20" s="370"/>
      <c r="J20" s="370"/>
      <c r="K20" s="55"/>
      <c r="L20" s="55"/>
      <c r="M20" s="55"/>
      <c r="N20" s="55"/>
      <c r="O20" s="371" t="s">
        <v>1291</v>
      </c>
      <c r="P20" s="37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ht="12.75">
      <c r="A21" s="360">
        <v>12</v>
      </c>
      <c r="B21" s="368" t="s">
        <v>1400</v>
      </c>
      <c r="C21" s="369"/>
      <c r="D21" s="368"/>
      <c r="E21" s="368" t="s">
        <v>1405</v>
      </c>
      <c r="F21" s="368"/>
      <c r="G21" s="55"/>
      <c r="H21" s="55"/>
      <c r="I21" s="55"/>
      <c r="J21" s="55"/>
      <c r="K21" s="55"/>
      <c r="L21" s="55"/>
      <c r="M21" s="55"/>
      <c r="N21" s="55"/>
      <c r="O21" s="371" t="s">
        <v>1406</v>
      </c>
      <c r="P21" s="373"/>
    </row>
    <row r="22" spans="1:30" ht="12.75">
      <c r="A22" s="374">
        <v>5</v>
      </c>
      <c r="B22" s="375" t="s">
        <v>1267</v>
      </c>
      <c r="C22" s="376"/>
      <c r="D22" s="375"/>
      <c r="E22" s="375" t="s">
        <v>1407</v>
      </c>
      <c r="F22" s="375"/>
      <c r="G22" s="375"/>
      <c r="H22" s="375"/>
      <c r="I22" s="377"/>
      <c r="J22" s="377"/>
      <c r="K22" s="376"/>
      <c r="L22" s="376"/>
      <c r="M22" s="376"/>
      <c r="N22" s="376"/>
      <c r="O22" s="375" t="s">
        <v>1408</v>
      </c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</row>
    <row r="23" spans="1:30" ht="12.75">
      <c r="A23" s="378">
        <v>13</v>
      </c>
      <c r="B23" s="379" t="s">
        <v>62</v>
      </c>
      <c r="C23" s="380"/>
      <c r="D23" s="379"/>
      <c r="E23" s="379" t="s">
        <v>1409</v>
      </c>
      <c r="F23" s="379"/>
      <c r="G23" s="379"/>
      <c r="H23" s="379"/>
      <c r="I23" s="379"/>
      <c r="J23" s="379"/>
      <c r="K23" s="380"/>
      <c r="L23" s="380"/>
      <c r="M23" s="380"/>
      <c r="N23" s="380"/>
      <c r="O23" s="379" t="s">
        <v>1408</v>
      </c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338"/>
      <c r="AB23" s="338"/>
      <c r="AC23" s="338"/>
      <c r="AD23" s="338"/>
    </row>
    <row r="24" spans="1:30" ht="12.75">
      <c r="A24" s="6">
        <v>57</v>
      </c>
      <c r="B24" s="36" t="s">
        <v>296</v>
      </c>
      <c r="C24" s="10" t="s">
        <v>1410</v>
      </c>
      <c r="D24" s="36" t="s">
        <v>1411</v>
      </c>
      <c r="E24" s="12"/>
      <c r="F24" s="12" t="s">
        <v>1080</v>
      </c>
      <c r="G24" s="9" t="s">
        <v>307</v>
      </c>
      <c r="H24" s="9" t="s">
        <v>581</v>
      </c>
      <c r="I24" s="25">
        <v>45152.324344918983</v>
      </c>
      <c r="J24" s="61" t="s">
        <v>1412</v>
      </c>
      <c r="K24" s="9"/>
      <c r="L24" s="20" t="s">
        <v>289</v>
      </c>
      <c r="M24" s="20"/>
      <c r="N24" s="9"/>
      <c r="O24" s="39"/>
      <c r="P24" s="21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</sheetData>
  <dataValidations count="3">
    <dataValidation type="list" allowBlank="1" showErrorMessage="1" sqref="H2:H4 H6:H8" xr:uid="{00000000-0002-0000-1200-000000000000}">
      <formula1>"ON,OFF,Need Repaired"</formula1>
    </dataValidation>
    <dataValidation type="list" allowBlank="1" showErrorMessage="1" sqref="H5 G24" xr:uid="{00000000-0002-0000-1200-000001000000}">
      <formula1>"ON,OFF,NEED REPAIR"</formula1>
    </dataValidation>
    <dataValidation type="list" allowBlank="1" showErrorMessage="1" sqref="H24" xr:uid="{00000000-0002-0000-1200-000002000000}">
      <formula1>"YES,NO"</formula1>
    </dataValidation>
  </dataValidations>
  <hyperlinks>
    <hyperlink ref="J24" r:id="rId1" xr:uid="{00000000-0004-0000-12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11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11" ht="12.75">
      <c r="A2" s="178">
        <v>1</v>
      </c>
      <c r="B2" s="194" t="s">
        <v>1414</v>
      </c>
      <c r="C2" s="195"/>
      <c r="D2" s="194" t="s">
        <v>1415</v>
      </c>
      <c r="E2" s="169" t="s">
        <v>579</v>
      </c>
      <c r="F2" s="170" t="s">
        <v>307</v>
      </c>
      <c r="G2" s="170" t="s">
        <v>434</v>
      </c>
      <c r="H2" s="163" t="s">
        <v>263</v>
      </c>
      <c r="I2" s="170" t="s">
        <v>1416</v>
      </c>
      <c r="J2" s="170" t="s">
        <v>255</v>
      </c>
      <c r="K2" s="173"/>
    </row>
    <row r="3" spans="1:11" ht="12.75">
      <c r="A3" s="178">
        <v>2</v>
      </c>
      <c r="B3" s="194" t="s">
        <v>1414</v>
      </c>
      <c r="C3" s="198"/>
      <c r="D3" s="192" t="s">
        <v>1417</v>
      </c>
      <c r="E3" s="169" t="s">
        <v>322</v>
      </c>
      <c r="F3" s="170" t="s">
        <v>307</v>
      </c>
      <c r="G3" s="170" t="s">
        <v>434</v>
      </c>
      <c r="H3" s="182" t="s">
        <v>598</v>
      </c>
      <c r="I3" s="170" t="s">
        <v>1416</v>
      </c>
      <c r="J3" s="170" t="s">
        <v>255</v>
      </c>
      <c r="K3" s="173"/>
    </row>
    <row r="4" spans="1:11" ht="15">
      <c r="A4" s="178">
        <v>3</v>
      </c>
      <c r="B4" s="382" t="s">
        <v>1418</v>
      </c>
      <c r="C4" s="195"/>
      <c r="D4" s="53" t="s">
        <v>1417</v>
      </c>
      <c r="E4" s="327" t="s">
        <v>79</v>
      </c>
      <c r="F4" s="170" t="s">
        <v>307</v>
      </c>
      <c r="G4" s="170" t="s">
        <v>434</v>
      </c>
      <c r="H4" s="182" t="s">
        <v>263</v>
      </c>
      <c r="I4" s="170" t="s">
        <v>1416</v>
      </c>
      <c r="J4" s="170" t="s">
        <v>255</v>
      </c>
      <c r="K4" s="173"/>
    </row>
    <row r="5" spans="1:11" ht="15">
      <c r="A5" s="178">
        <v>4</v>
      </c>
      <c r="B5" s="53" t="s">
        <v>182</v>
      </c>
      <c r="C5" s="147"/>
      <c r="D5" s="383" t="s">
        <v>1417</v>
      </c>
      <c r="E5" s="327" t="s">
        <v>183</v>
      </c>
      <c r="F5" s="170" t="s">
        <v>307</v>
      </c>
      <c r="G5" s="170" t="s">
        <v>434</v>
      </c>
      <c r="H5" s="384" t="s">
        <v>263</v>
      </c>
      <c r="I5" s="170" t="s">
        <v>1416</v>
      </c>
      <c r="J5" s="170" t="s">
        <v>255</v>
      </c>
      <c r="K5" s="52"/>
    </row>
    <row r="6" spans="1:11" ht="12.75">
      <c r="A6" s="178">
        <v>5</v>
      </c>
      <c r="B6" s="53" t="s">
        <v>383</v>
      </c>
      <c r="C6" s="147"/>
      <c r="D6" s="192" t="s">
        <v>386</v>
      </c>
      <c r="E6" s="192" t="s">
        <v>384</v>
      </c>
      <c r="F6" s="170" t="s">
        <v>307</v>
      </c>
      <c r="G6" s="170" t="s">
        <v>434</v>
      </c>
      <c r="H6" s="163" t="s">
        <v>263</v>
      </c>
      <c r="I6" s="170" t="s">
        <v>1416</v>
      </c>
      <c r="J6" s="170" t="s">
        <v>255</v>
      </c>
      <c r="K6" s="53"/>
    </row>
    <row r="7" spans="1:11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11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11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11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11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11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11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11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11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11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55" priority="1" operator="equal">
      <formula>"ON"</formula>
    </cfRule>
  </conditionalFormatting>
  <conditionalFormatting sqref="E1:H986">
    <cfRule type="cellIs" dxfId="54" priority="2" operator="equal">
      <formula>"OFF"</formula>
    </cfRule>
  </conditionalFormatting>
  <conditionalFormatting sqref="I82 I87:I88">
    <cfRule type="notContainsBlanks" dxfId="53" priority="3">
      <formula>LEN(TRIM(I82))&gt;0</formula>
    </cfRule>
  </conditionalFormatting>
  <conditionalFormatting sqref="I83">
    <cfRule type="notContainsBlanks" dxfId="52" priority="4">
      <formula>LEN(TRIM(I83))&gt;0</formula>
    </cfRule>
  </conditionalFormatting>
  <dataValidations count="2">
    <dataValidation type="list" allowBlank="1" showErrorMessage="1" sqref="F2:F986" xr:uid="{00000000-0002-0000-1300-000000000000}">
      <formula1>"ON,OFF,Need Repaired"</formula1>
    </dataValidation>
    <dataValidation type="list" allowBlank="1" showErrorMessage="1" sqref="G2:G986" xr:uid="{00000000-0002-0000-1300-000001000000}">
      <formula1>"YES,NO"</formula1>
    </dataValidation>
  </dataValidations>
  <hyperlinks>
    <hyperlink ref="H2" r:id="rId1" xr:uid="{00000000-0004-0000-1300-000000000000}"/>
    <hyperlink ref="H3" r:id="rId2" xr:uid="{00000000-0004-0000-1300-000001000000}"/>
    <hyperlink ref="H4" r:id="rId3" xr:uid="{00000000-0004-0000-1300-000002000000}"/>
    <hyperlink ref="H5" r:id="rId4" xr:uid="{00000000-0004-0000-1300-000003000000}"/>
    <hyperlink ref="H6" r:id="rId5" xr:uid="{00000000-0004-0000-1300-00000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9138"/>
    <outlinePr summaryBelow="0" summaryRight="0"/>
    <pageSetUpPr fitToPage="1"/>
  </sheetPr>
  <dimension ref="A1:S986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6" customWidth="1"/>
    <col min="2" max="2" width="28.5703125" customWidth="1"/>
    <col min="3" max="3" width="25.85546875" customWidth="1"/>
    <col min="4" max="4" width="17.85546875" customWidth="1"/>
    <col min="5" max="5" width="8.42578125" customWidth="1"/>
    <col min="6" max="6" width="19.42578125" customWidth="1"/>
    <col min="7" max="7" width="17.42578125" customWidth="1"/>
    <col min="8" max="8" width="12.5703125" hidden="1"/>
    <col min="9" max="9" width="27.140625" customWidth="1"/>
  </cols>
  <sheetData>
    <row r="1" spans="1:19" ht="55.5" customHeight="1">
      <c r="A1" s="516" t="s">
        <v>1419</v>
      </c>
      <c r="B1" s="503"/>
      <c r="C1" s="503"/>
      <c r="D1" s="503"/>
      <c r="E1" s="503"/>
      <c r="F1" s="503"/>
      <c r="G1" s="503"/>
    </row>
    <row r="2" spans="1:19" ht="27.75" customHeight="1">
      <c r="A2" s="1" t="s">
        <v>0</v>
      </c>
      <c r="B2" s="1" t="s">
        <v>4</v>
      </c>
      <c r="C2" s="2" t="s">
        <v>1420</v>
      </c>
      <c r="D2" s="1" t="s">
        <v>1421</v>
      </c>
      <c r="E2" s="1" t="s">
        <v>1422</v>
      </c>
      <c r="F2" s="1" t="s">
        <v>1423</v>
      </c>
      <c r="G2" s="1" t="s">
        <v>20</v>
      </c>
      <c r="I2" s="1" t="s">
        <v>16</v>
      </c>
    </row>
    <row r="3" spans="1:19" ht="12.75">
      <c r="A3" s="511">
        <v>1</v>
      </c>
      <c r="B3" s="512" t="s">
        <v>1424</v>
      </c>
      <c r="C3" s="518" t="s">
        <v>1425</v>
      </c>
      <c r="D3" s="388" t="s">
        <v>1426</v>
      </c>
      <c r="E3" s="389">
        <v>1</v>
      </c>
      <c r="F3" s="390" t="s">
        <v>1427</v>
      </c>
      <c r="G3" s="508" t="s">
        <v>1428</v>
      </c>
      <c r="H3" s="14"/>
      <c r="I3" s="23" t="s">
        <v>1429</v>
      </c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12.75">
      <c r="A4" s="509"/>
      <c r="B4" s="517"/>
      <c r="C4" s="509"/>
      <c r="D4" s="391" t="s">
        <v>1430</v>
      </c>
      <c r="E4" s="392">
        <v>1</v>
      </c>
      <c r="F4" s="393" t="s">
        <v>1431</v>
      </c>
      <c r="G4" s="509"/>
      <c r="H4" s="14"/>
      <c r="I4" s="23" t="s">
        <v>1432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2.75">
      <c r="A5" s="509"/>
      <c r="B5" s="517"/>
      <c r="C5" s="509"/>
      <c r="D5" s="388" t="s">
        <v>15</v>
      </c>
      <c r="E5" s="392">
        <v>1</v>
      </c>
      <c r="F5" s="393" t="s">
        <v>1431</v>
      </c>
      <c r="G5" s="509"/>
      <c r="H5" s="14"/>
      <c r="I5" s="23" t="s">
        <v>1433</v>
      </c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ht="12.75">
      <c r="A6" s="510"/>
      <c r="B6" s="513"/>
      <c r="C6" s="510"/>
      <c r="D6" s="388" t="s">
        <v>1369</v>
      </c>
      <c r="E6" s="394">
        <v>1</v>
      </c>
      <c r="F6" s="395" t="s">
        <v>1434</v>
      </c>
      <c r="G6" s="510"/>
      <c r="I6" s="53" t="s">
        <v>1435</v>
      </c>
    </row>
    <row r="7" spans="1:19" ht="12.75">
      <c r="A7" s="511">
        <v>2</v>
      </c>
      <c r="B7" s="512" t="s">
        <v>191</v>
      </c>
      <c r="C7" s="512" t="s">
        <v>1436</v>
      </c>
      <c r="D7" s="388" t="s">
        <v>1437</v>
      </c>
      <c r="E7" s="389">
        <v>1</v>
      </c>
      <c r="F7" s="390" t="s">
        <v>1438</v>
      </c>
      <c r="G7" s="508" t="s">
        <v>1439</v>
      </c>
      <c r="I7" s="52"/>
    </row>
    <row r="8" spans="1:19" ht="12.75">
      <c r="A8" s="510"/>
      <c r="B8" s="513"/>
      <c r="C8" s="513"/>
      <c r="D8" s="388" t="s">
        <v>1440</v>
      </c>
      <c r="E8" s="389">
        <v>1</v>
      </c>
      <c r="F8" s="390" t="s">
        <v>1438</v>
      </c>
      <c r="G8" s="510"/>
      <c r="I8" s="52"/>
    </row>
    <row r="9" spans="1:19" ht="12.75">
      <c r="A9" s="4">
        <v>3</v>
      </c>
      <c r="B9" s="93" t="s">
        <v>1441</v>
      </c>
      <c r="C9" s="395" t="s">
        <v>1442</v>
      </c>
      <c r="D9" s="391" t="s">
        <v>1430</v>
      </c>
      <c r="E9" s="396">
        <v>1</v>
      </c>
      <c r="F9" s="395" t="s">
        <v>1443</v>
      </c>
      <c r="G9" s="97" t="s">
        <v>1439</v>
      </c>
      <c r="I9" s="53" t="s">
        <v>1432</v>
      </c>
    </row>
    <row r="10" spans="1:19" ht="12.75">
      <c r="A10" s="511">
        <v>4</v>
      </c>
      <c r="B10" s="512" t="s">
        <v>1316</v>
      </c>
      <c r="C10" s="514" t="s">
        <v>1444</v>
      </c>
      <c r="D10" s="388" t="s">
        <v>1430</v>
      </c>
      <c r="E10" s="397">
        <v>1</v>
      </c>
      <c r="F10" s="398" t="s">
        <v>1446</v>
      </c>
      <c r="G10" s="508" t="s">
        <v>1447</v>
      </c>
      <c r="I10" s="53" t="s">
        <v>1432</v>
      </c>
    </row>
    <row r="11" spans="1:19" ht="12.75">
      <c r="A11" s="510"/>
      <c r="B11" s="513"/>
      <c r="C11" s="510"/>
      <c r="D11" s="391" t="s">
        <v>15</v>
      </c>
      <c r="E11" s="97">
        <v>1</v>
      </c>
      <c r="F11" s="148" t="s">
        <v>1446</v>
      </c>
      <c r="G11" s="510"/>
      <c r="I11" s="52"/>
    </row>
    <row r="12" spans="1:19" ht="12.75">
      <c r="A12" s="41">
        <v>5</v>
      </c>
      <c r="B12" s="154" t="s">
        <v>191</v>
      </c>
      <c r="C12" s="154" t="s">
        <v>1436</v>
      </c>
      <c r="D12" s="399" t="s">
        <v>1451</v>
      </c>
      <c r="E12" s="400">
        <v>1</v>
      </c>
      <c r="F12" s="29" t="s">
        <v>1454</v>
      </c>
      <c r="G12" s="156">
        <v>45113</v>
      </c>
      <c r="H12" s="373"/>
      <c r="I12" s="53" t="s">
        <v>1456</v>
      </c>
    </row>
    <row r="13" spans="1:19" ht="12.75">
      <c r="A13" s="41">
        <v>7</v>
      </c>
      <c r="B13" s="154" t="s">
        <v>1316</v>
      </c>
      <c r="C13" s="154" t="s">
        <v>1444</v>
      </c>
      <c r="D13" s="399" t="s">
        <v>1426</v>
      </c>
      <c r="E13" s="401">
        <v>1</v>
      </c>
      <c r="F13" s="162" t="s">
        <v>1459</v>
      </c>
      <c r="G13" s="44" t="s">
        <v>1461</v>
      </c>
      <c r="H13" s="373">
        <v>45107.775464328704</v>
      </c>
      <c r="I13" s="53" t="s">
        <v>1456</v>
      </c>
    </row>
    <row r="14" spans="1:19" ht="12.75">
      <c r="A14" s="41">
        <v>8</v>
      </c>
      <c r="B14" s="515" t="s">
        <v>1463</v>
      </c>
      <c r="C14" s="515" t="s">
        <v>1464</v>
      </c>
      <c r="D14" s="399" t="s">
        <v>1430</v>
      </c>
      <c r="E14" s="401">
        <v>2</v>
      </c>
      <c r="F14" s="162" t="s">
        <v>1466</v>
      </c>
      <c r="G14" s="44" t="s">
        <v>1467</v>
      </c>
      <c r="H14" s="373">
        <v>45107.775304479168</v>
      </c>
      <c r="I14" s="53" t="s">
        <v>1456</v>
      </c>
    </row>
    <row r="15" spans="1:19" ht="12.75">
      <c r="A15" s="41">
        <v>9</v>
      </c>
      <c r="B15" s="513"/>
      <c r="C15" s="513"/>
      <c r="D15" s="399" t="s">
        <v>15</v>
      </c>
      <c r="E15" s="401">
        <v>2</v>
      </c>
      <c r="F15" s="162" t="s">
        <v>1466</v>
      </c>
      <c r="G15" s="44" t="s">
        <v>1467</v>
      </c>
      <c r="H15" s="373">
        <v>45107.775328761578</v>
      </c>
      <c r="I15" s="53" t="s">
        <v>1456</v>
      </c>
    </row>
    <row r="16" spans="1:19" ht="12.75">
      <c r="A16" s="41">
        <v>10</v>
      </c>
      <c r="B16" s="154" t="s">
        <v>1441</v>
      </c>
      <c r="C16" s="395" t="s">
        <v>1442</v>
      </c>
      <c r="D16" s="399" t="s">
        <v>1469</v>
      </c>
      <c r="E16" s="401">
        <v>1</v>
      </c>
      <c r="F16" s="162" t="s">
        <v>1470</v>
      </c>
      <c r="G16" s="96">
        <v>44992</v>
      </c>
      <c r="H16" s="373">
        <v>45110.56166230324</v>
      </c>
      <c r="I16" s="53" t="s">
        <v>1471</v>
      </c>
    </row>
    <row r="17" spans="1:9" ht="12.75">
      <c r="A17" s="41">
        <v>11</v>
      </c>
      <c r="B17" s="154" t="s">
        <v>1472</v>
      </c>
      <c r="C17" s="154" t="s">
        <v>1473</v>
      </c>
      <c r="D17" s="399" t="s">
        <v>1474</v>
      </c>
      <c r="E17" s="401">
        <v>1</v>
      </c>
      <c r="F17" s="162" t="s">
        <v>346</v>
      </c>
      <c r="G17" s="156">
        <v>45084</v>
      </c>
      <c r="H17" s="373">
        <v>45117.328570254627</v>
      </c>
      <c r="I17" s="53" t="s">
        <v>1456</v>
      </c>
    </row>
    <row r="18" spans="1:9" ht="12.75">
      <c r="A18" s="41">
        <v>12</v>
      </c>
      <c r="B18" s="154" t="s">
        <v>22</v>
      </c>
      <c r="C18" s="154" t="s">
        <v>1425</v>
      </c>
      <c r="D18" s="399" t="s">
        <v>1476</v>
      </c>
      <c r="E18" s="401">
        <v>1</v>
      </c>
      <c r="F18" s="162" t="s">
        <v>1478</v>
      </c>
      <c r="G18" s="44" t="s">
        <v>1479</v>
      </c>
      <c r="H18" s="373">
        <v>45125.422795486113</v>
      </c>
      <c r="I18" s="53" t="s">
        <v>1456</v>
      </c>
    </row>
    <row r="19" spans="1:9" ht="12.75">
      <c r="A19" s="41">
        <v>13</v>
      </c>
      <c r="B19" s="154" t="s">
        <v>191</v>
      </c>
      <c r="C19" s="154" t="s">
        <v>1436</v>
      </c>
      <c r="D19" s="399" t="s">
        <v>1480</v>
      </c>
      <c r="E19" s="401">
        <v>2</v>
      </c>
      <c r="F19" s="162" t="s">
        <v>1481</v>
      </c>
      <c r="G19" s="45"/>
      <c r="H19" s="373">
        <v>45125.42353388889</v>
      </c>
      <c r="I19" s="53" t="s">
        <v>1456</v>
      </c>
    </row>
    <row r="20" spans="1:9" ht="12.75">
      <c r="A20" s="41">
        <v>14</v>
      </c>
      <c r="B20" s="154" t="s">
        <v>191</v>
      </c>
      <c r="C20" s="154" t="s">
        <v>1436</v>
      </c>
      <c r="D20" s="399" t="s">
        <v>1426</v>
      </c>
      <c r="E20" s="401">
        <v>6</v>
      </c>
      <c r="F20" s="162" t="s">
        <v>46</v>
      </c>
      <c r="G20" s="45"/>
      <c r="H20" s="373">
        <v>45125.424182002316</v>
      </c>
      <c r="I20" s="53" t="s">
        <v>1456</v>
      </c>
    </row>
    <row r="21" spans="1:9" ht="12.75">
      <c r="A21" s="41">
        <v>15</v>
      </c>
      <c r="B21" s="154"/>
      <c r="C21" s="154" t="s">
        <v>672</v>
      </c>
      <c r="D21" s="399" t="s">
        <v>1482</v>
      </c>
      <c r="E21" s="401">
        <v>12</v>
      </c>
      <c r="F21" s="162" t="s">
        <v>1483</v>
      </c>
      <c r="G21" s="44" t="s">
        <v>1484</v>
      </c>
      <c r="H21" s="373">
        <v>45126.383667083333</v>
      </c>
      <c r="I21" s="53" t="s">
        <v>1456</v>
      </c>
    </row>
    <row r="22" spans="1:9" ht="12.75">
      <c r="A22" s="41">
        <v>16</v>
      </c>
      <c r="B22" s="53"/>
      <c r="C22" s="53" t="s">
        <v>1485</v>
      </c>
      <c r="D22" s="132" t="s">
        <v>1426</v>
      </c>
      <c r="E22" s="147">
        <v>1</v>
      </c>
      <c r="F22" s="53" t="s">
        <v>204</v>
      </c>
      <c r="G22" s="147" t="s">
        <v>1486</v>
      </c>
      <c r="H22" s="373">
        <v>45148.557955474535</v>
      </c>
      <c r="I22" s="53" t="s">
        <v>1487</v>
      </c>
    </row>
    <row r="23" spans="1:9" ht="12.75">
      <c r="A23" s="41">
        <v>17</v>
      </c>
      <c r="B23" s="53"/>
      <c r="C23" s="53" t="s">
        <v>1485</v>
      </c>
      <c r="D23" s="132" t="s">
        <v>1426</v>
      </c>
      <c r="E23" s="147">
        <v>2</v>
      </c>
      <c r="F23" s="53" t="s">
        <v>105</v>
      </c>
      <c r="G23" s="147" t="s">
        <v>289</v>
      </c>
      <c r="H23" s="373">
        <v>45148.55835392361</v>
      </c>
      <c r="I23" s="52"/>
    </row>
    <row r="24" spans="1:9" ht="12.75">
      <c r="A24" s="41">
        <v>18</v>
      </c>
      <c r="B24" s="154" t="s">
        <v>1488</v>
      </c>
      <c r="C24" s="154" t="s">
        <v>1489</v>
      </c>
      <c r="D24" s="399" t="s">
        <v>1469</v>
      </c>
      <c r="E24" s="401">
        <v>1</v>
      </c>
      <c r="F24" s="162" t="s">
        <v>118</v>
      </c>
      <c r="G24" s="44" t="s">
        <v>1490</v>
      </c>
      <c r="H24" s="373">
        <v>45148.618341469904</v>
      </c>
      <c r="I24" s="52"/>
    </row>
    <row r="25" spans="1:9" ht="12.75">
      <c r="A25" s="41">
        <v>19</v>
      </c>
      <c r="B25" s="154" t="s">
        <v>191</v>
      </c>
      <c r="C25" s="154" t="s">
        <v>1436</v>
      </c>
      <c r="D25" s="399" t="s">
        <v>1491</v>
      </c>
      <c r="E25" s="401">
        <v>1</v>
      </c>
      <c r="F25" s="162" t="s">
        <v>75</v>
      </c>
      <c r="G25" s="156">
        <v>45207</v>
      </c>
      <c r="H25" s="373">
        <v>45148.566436759254</v>
      </c>
      <c r="I25" s="52"/>
    </row>
    <row r="26" spans="1:9" ht="12.75">
      <c r="A26" s="41">
        <v>20</v>
      </c>
      <c r="B26" s="154" t="s">
        <v>191</v>
      </c>
      <c r="C26" s="154" t="s">
        <v>1436</v>
      </c>
      <c r="D26" s="399" t="s">
        <v>1492</v>
      </c>
      <c r="E26" s="401">
        <v>4</v>
      </c>
      <c r="F26" s="162" t="s">
        <v>75</v>
      </c>
      <c r="G26" s="156">
        <v>45207</v>
      </c>
      <c r="H26" s="373">
        <v>45148.566469328704</v>
      </c>
      <c r="I26" s="52"/>
    </row>
    <row r="27" spans="1:9" ht="12.75">
      <c r="A27" s="41">
        <v>21</v>
      </c>
      <c r="B27" s="154" t="s">
        <v>191</v>
      </c>
      <c r="C27" s="154" t="s">
        <v>1436</v>
      </c>
      <c r="D27" s="399" t="s">
        <v>1493</v>
      </c>
      <c r="E27" s="401">
        <v>3</v>
      </c>
      <c r="F27" s="162" t="s">
        <v>1494</v>
      </c>
      <c r="G27" s="156">
        <v>45207</v>
      </c>
      <c r="H27" s="373">
        <v>45148.566460173606</v>
      </c>
      <c r="I27" s="52"/>
    </row>
    <row r="28" spans="1:9" ht="12.75">
      <c r="A28" s="41">
        <v>22</v>
      </c>
      <c r="B28" s="53" t="s">
        <v>325</v>
      </c>
      <c r="C28" s="154" t="s">
        <v>1495</v>
      </c>
      <c r="D28" s="154" t="s">
        <v>1430</v>
      </c>
      <c r="E28" s="401">
        <v>1</v>
      </c>
      <c r="F28" s="154" t="s">
        <v>1495</v>
      </c>
      <c r="G28" s="45"/>
      <c r="H28" s="373">
        <v>45152.328249525468</v>
      </c>
      <c r="I28" s="52"/>
    </row>
    <row r="29" spans="1:9" ht="12.75">
      <c r="A29" s="41">
        <v>23</v>
      </c>
      <c r="B29" s="154" t="s">
        <v>239</v>
      </c>
      <c r="C29" s="154"/>
      <c r="D29" s="154" t="s">
        <v>1369</v>
      </c>
      <c r="E29" s="401">
        <v>1</v>
      </c>
      <c r="F29" s="162" t="s">
        <v>1496</v>
      </c>
      <c r="G29" s="44"/>
      <c r="H29" s="373">
        <v>45152.328410879629</v>
      </c>
    </row>
    <row r="30" spans="1:9" ht="12.75">
      <c r="A30" s="41">
        <v>24</v>
      </c>
      <c r="B30" s="154" t="s">
        <v>29</v>
      </c>
      <c r="C30" s="154" t="s">
        <v>1497</v>
      </c>
      <c r="D30" s="154" t="s">
        <v>1498</v>
      </c>
      <c r="E30" s="401">
        <v>1</v>
      </c>
      <c r="F30" s="162"/>
      <c r="G30" s="44"/>
    </row>
    <row r="31" spans="1:9" ht="12.75">
      <c r="A31" s="41">
        <v>25</v>
      </c>
      <c r="B31" s="154" t="s">
        <v>1499</v>
      </c>
      <c r="C31" s="154" t="s">
        <v>1500</v>
      </c>
      <c r="D31" s="154" t="s">
        <v>1501</v>
      </c>
      <c r="E31" s="401">
        <v>1</v>
      </c>
      <c r="F31" s="162"/>
      <c r="G31" s="44"/>
    </row>
    <row r="32" spans="1:9" ht="12.75">
      <c r="A32" s="41">
        <v>26</v>
      </c>
      <c r="B32" s="154" t="s">
        <v>191</v>
      </c>
      <c r="C32" s="154" t="s">
        <v>1436</v>
      </c>
      <c r="D32" s="154" t="s">
        <v>1501</v>
      </c>
      <c r="E32" s="401">
        <v>5</v>
      </c>
      <c r="F32" s="162" t="s">
        <v>1502</v>
      </c>
      <c r="G32" s="44"/>
      <c r="H32" s="373">
        <v>45174.375476539353</v>
      </c>
    </row>
    <row r="33" spans="1:7" ht="12.75">
      <c r="A33" s="41">
        <v>27</v>
      </c>
      <c r="B33" s="154"/>
      <c r="C33" s="154"/>
      <c r="D33" s="154"/>
      <c r="E33" s="401"/>
      <c r="F33" s="162"/>
      <c r="G33" s="44"/>
    </row>
    <row r="34" spans="1:7" ht="12.75">
      <c r="A34" s="41">
        <v>28</v>
      </c>
      <c r="B34" s="154"/>
      <c r="C34" s="154"/>
      <c r="D34" s="154"/>
      <c r="E34" s="401"/>
      <c r="F34" s="162"/>
      <c r="G34" s="44"/>
    </row>
    <row r="35" spans="1:7" ht="12.75">
      <c r="A35" s="41">
        <v>29</v>
      </c>
      <c r="B35" s="154"/>
      <c r="C35" s="154"/>
      <c r="D35" s="154"/>
      <c r="E35" s="401"/>
      <c r="F35" s="162"/>
      <c r="G35" s="44"/>
    </row>
    <row r="36" spans="1:7" ht="12.75">
      <c r="A36" s="41">
        <v>30</v>
      </c>
      <c r="B36" s="154"/>
      <c r="C36" s="154"/>
      <c r="D36" s="154"/>
      <c r="E36" s="401"/>
      <c r="F36" s="162"/>
      <c r="G36" s="44"/>
    </row>
    <row r="37" spans="1:7" ht="12.75">
      <c r="A37" s="41">
        <v>31</v>
      </c>
      <c r="B37" s="154"/>
      <c r="C37" s="154"/>
      <c r="D37" s="154"/>
      <c r="E37" s="401"/>
      <c r="F37" s="162"/>
      <c r="G37" s="44"/>
    </row>
    <row r="38" spans="1:7" ht="12.75">
      <c r="A38" s="41">
        <v>32</v>
      </c>
      <c r="B38" s="154"/>
      <c r="C38" s="154"/>
      <c r="D38" s="154"/>
      <c r="E38" s="401"/>
      <c r="F38" s="162"/>
      <c r="G38" s="45"/>
    </row>
    <row r="39" spans="1:7" ht="12.75">
      <c r="A39" s="41">
        <v>33</v>
      </c>
      <c r="B39" s="154"/>
      <c r="C39" s="154"/>
      <c r="D39" s="154"/>
      <c r="E39" s="401"/>
      <c r="F39" s="162"/>
      <c r="G39" s="44"/>
    </row>
    <row r="40" spans="1:7" ht="12.75">
      <c r="A40" s="41">
        <v>34</v>
      </c>
      <c r="B40" s="154"/>
      <c r="C40" s="154"/>
      <c r="D40" s="154"/>
      <c r="E40" s="401"/>
      <c r="F40" s="162"/>
      <c r="G40" s="45"/>
    </row>
    <row r="41" spans="1:7" ht="12.75">
      <c r="A41" s="41">
        <v>35</v>
      </c>
      <c r="B41" s="154"/>
      <c r="C41" s="154"/>
      <c r="D41" s="154"/>
      <c r="E41" s="401"/>
      <c r="F41" s="162"/>
      <c r="G41" s="96"/>
    </row>
    <row r="42" spans="1:7" ht="12.75">
      <c r="A42" s="41">
        <v>36</v>
      </c>
      <c r="B42" s="154"/>
      <c r="C42" s="154"/>
      <c r="D42" s="154"/>
      <c r="E42" s="401"/>
      <c r="F42" s="162"/>
      <c r="G42" s="45"/>
    </row>
    <row r="43" spans="1:7" ht="12.75">
      <c r="A43" s="41">
        <v>37</v>
      </c>
      <c r="B43" s="154"/>
      <c r="C43" s="154"/>
      <c r="D43" s="154"/>
      <c r="E43" s="401"/>
      <c r="F43" s="162"/>
      <c r="G43" s="45"/>
    </row>
    <row r="44" spans="1:7" ht="12.75">
      <c r="A44" s="41">
        <v>38</v>
      </c>
      <c r="B44" s="42"/>
      <c r="C44" s="42"/>
      <c r="D44" s="154"/>
      <c r="E44" s="401"/>
      <c r="F44" s="162"/>
      <c r="G44" s="45"/>
    </row>
    <row r="45" spans="1:7" ht="12.75">
      <c r="A45" s="41">
        <v>39</v>
      </c>
      <c r="B45" s="42"/>
      <c r="C45" s="42"/>
      <c r="D45" s="154"/>
      <c r="E45" s="401"/>
      <c r="F45" s="162"/>
      <c r="G45" s="45"/>
    </row>
    <row r="46" spans="1:7" ht="12.75">
      <c r="A46" s="41">
        <v>40</v>
      </c>
      <c r="B46" s="42"/>
      <c r="C46" s="42"/>
      <c r="D46" s="154"/>
      <c r="E46" s="401"/>
      <c r="F46" s="162"/>
      <c r="G46" s="45"/>
    </row>
    <row r="47" spans="1:7" ht="12.75">
      <c r="A47" s="41">
        <v>41</v>
      </c>
      <c r="B47" s="42"/>
      <c r="C47" s="42"/>
      <c r="D47" s="42"/>
      <c r="E47" s="403"/>
      <c r="F47" s="43"/>
      <c r="G47" s="45"/>
    </row>
    <row r="48" spans="1:7" ht="12.75">
      <c r="A48" s="41">
        <v>42</v>
      </c>
      <c r="B48" s="42"/>
      <c r="C48" s="42"/>
      <c r="D48" s="154"/>
      <c r="E48" s="401"/>
      <c r="F48" s="162"/>
      <c r="G48" s="45"/>
    </row>
    <row r="49" spans="1:7" ht="12.75">
      <c r="A49" s="41">
        <v>43</v>
      </c>
      <c r="B49" s="42"/>
      <c r="C49" s="42"/>
      <c r="D49" s="42"/>
      <c r="E49" s="403"/>
      <c r="F49" s="43"/>
      <c r="G49" s="404"/>
    </row>
    <row r="50" spans="1:7" ht="12.75">
      <c r="A50" s="41">
        <v>44</v>
      </c>
      <c r="B50" s="42"/>
      <c r="C50" s="42"/>
      <c r="D50" s="42"/>
      <c r="E50" s="63"/>
      <c r="F50" s="7"/>
      <c r="G50" s="156"/>
    </row>
    <row r="51" spans="1:7" ht="12.75">
      <c r="A51" s="41">
        <v>45</v>
      </c>
      <c r="B51" s="42"/>
      <c r="C51" s="42"/>
      <c r="D51" s="42"/>
      <c r="E51" s="403"/>
      <c r="F51" s="43"/>
      <c r="G51" s="156"/>
    </row>
    <row r="52" spans="1:7" ht="12.75">
      <c r="A52" s="41">
        <v>46</v>
      </c>
      <c r="B52" s="42"/>
      <c r="C52" s="42"/>
      <c r="D52" s="42"/>
      <c r="E52" s="403"/>
      <c r="F52" s="43"/>
      <c r="G52" s="96"/>
    </row>
    <row r="53" spans="1:7" ht="12.75">
      <c r="A53" s="41">
        <v>47</v>
      </c>
      <c r="B53" s="42"/>
      <c r="C53" s="42"/>
      <c r="D53" s="42"/>
      <c r="E53" s="403"/>
      <c r="F53" s="43"/>
      <c r="G53" s="96"/>
    </row>
    <row r="54" spans="1:7" ht="12.75">
      <c r="A54" s="41">
        <v>48</v>
      </c>
      <c r="B54" s="42"/>
      <c r="C54" s="42"/>
      <c r="D54" s="42"/>
      <c r="E54" s="403"/>
      <c r="F54" s="43"/>
      <c r="G54" s="45"/>
    </row>
    <row r="55" spans="1:7" ht="12.75">
      <c r="A55" s="41">
        <v>49</v>
      </c>
      <c r="B55" s="42"/>
      <c r="C55" s="42"/>
      <c r="D55" s="42"/>
      <c r="E55" s="403"/>
      <c r="F55" s="43"/>
      <c r="G55" s="45"/>
    </row>
    <row r="56" spans="1:7" ht="12.75">
      <c r="A56" s="41">
        <v>50</v>
      </c>
      <c r="B56" s="42"/>
      <c r="C56" s="42"/>
      <c r="D56" s="42"/>
      <c r="E56" s="403"/>
      <c r="F56" s="43"/>
      <c r="G56" s="45"/>
    </row>
    <row r="57" spans="1:7" ht="12.75">
      <c r="A57" s="41">
        <v>51</v>
      </c>
      <c r="B57" s="42"/>
      <c r="C57" s="42"/>
      <c r="D57" s="42"/>
      <c r="E57" s="403"/>
      <c r="F57" s="43"/>
      <c r="G57" s="96"/>
    </row>
    <row r="58" spans="1:7" ht="12.75">
      <c r="A58" s="41">
        <v>52</v>
      </c>
      <c r="B58" s="42"/>
      <c r="C58" s="42"/>
      <c r="D58" s="42"/>
      <c r="E58" s="403"/>
      <c r="F58" s="43"/>
      <c r="G58" s="45"/>
    </row>
    <row r="59" spans="1:7" ht="12.75">
      <c r="A59" s="41">
        <v>53</v>
      </c>
      <c r="B59" s="42"/>
      <c r="C59" s="42"/>
      <c r="D59" s="42"/>
      <c r="E59" s="403"/>
      <c r="F59" s="43"/>
      <c r="G59" s="96"/>
    </row>
    <row r="60" spans="1:7" ht="12.75">
      <c r="A60" s="41">
        <v>54</v>
      </c>
      <c r="B60" s="42"/>
      <c r="C60" s="42"/>
      <c r="D60" s="42"/>
      <c r="E60" s="403"/>
      <c r="F60" s="43"/>
      <c r="G60" s="45"/>
    </row>
    <row r="61" spans="1:7" ht="12.75">
      <c r="A61" s="41">
        <v>55</v>
      </c>
      <c r="B61" s="42"/>
      <c r="C61" s="42"/>
      <c r="D61" s="42"/>
      <c r="E61" s="403"/>
      <c r="F61" s="43"/>
      <c r="G61" s="45"/>
    </row>
    <row r="62" spans="1:7" ht="12.75">
      <c r="A62" s="41">
        <v>56</v>
      </c>
      <c r="B62" s="42"/>
      <c r="C62" s="42"/>
      <c r="D62" s="154"/>
      <c r="E62" s="401"/>
      <c r="F62" s="162"/>
      <c r="G62" s="45"/>
    </row>
    <row r="63" spans="1:7" ht="12.75">
      <c r="A63" s="41">
        <v>57</v>
      </c>
      <c r="B63" s="42"/>
      <c r="C63" s="42"/>
      <c r="D63" s="42"/>
      <c r="E63" s="403"/>
      <c r="F63" s="43"/>
      <c r="G63" s="96"/>
    </row>
    <row r="64" spans="1:7" ht="12.75">
      <c r="A64" s="41">
        <v>58</v>
      </c>
      <c r="B64" s="42"/>
      <c r="C64" s="42"/>
      <c r="D64" s="42"/>
      <c r="E64" s="403"/>
      <c r="F64" s="43"/>
      <c r="G64" s="96"/>
    </row>
    <row r="65" spans="1:7" ht="12.75">
      <c r="A65" s="41">
        <v>59</v>
      </c>
      <c r="B65" s="42"/>
      <c r="C65" s="42"/>
      <c r="D65" s="42"/>
      <c r="E65" s="403"/>
      <c r="F65" s="43"/>
      <c r="G65" s="44"/>
    </row>
    <row r="66" spans="1:7" ht="12.75">
      <c r="A66" s="41">
        <v>60</v>
      </c>
      <c r="B66" s="42"/>
      <c r="C66" s="42"/>
      <c r="D66" s="42"/>
      <c r="E66" s="403"/>
      <c r="F66" s="43"/>
      <c r="G66" s="44"/>
    </row>
    <row r="67" spans="1:7" ht="12.75">
      <c r="A67" s="41">
        <v>61</v>
      </c>
      <c r="B67" s="42"/>
      <c r="C67" s="42"/>
      <c r="D67" s="42"/>
      <c r="E67" s="403"/>
      <c r="F67" s="43"/>
      <c r="G67" s="45"/>
    </row>
    <row r="68" spans="1:7" ht="12.75">
      <c r="A68" s="41">
        <v>62</v>
      </c>
      <c r="B68" s="42"/>
      <c r="C68" s="42"/>
      <c r="D68" s="42"/>
      <c r="E68" s="403"/>
      <c r="F68" s="43"/>
      <c r="G68" s="44"/>
    </row>
    <row r="69" spans="1:7" ht="12.75">
      <c r="A69" s="41">
        <v>63</v>
      </c>
      <c r="B69" s="42"/>
      <c r="C69" s="42"/>
      <c r="D69" s="42"/>
      <c r="E69" s="403"/>
      <c r="F69" s="43"/>
      <c r="G69" s="45"/>
    </row>
    <row r="70" spans="1:7" ht="12.75">
      <c r="A70" s="41">
        <v>64</v>
      </c>
      <c r="B70" s="42"/>
      <c r="C70" s="42"/>
      <c r="D70" s="42"/>
      <c r="E70" s="403"/>
      <c r="F70" s="43"/>
      <c r="G70" s="96"/>
    </row>
    <row r="71" spans="1:7" ht="12.75">
      <c r="A71" s="41">
        <v>65</v>
      </c>
      <c r="B71" s="42"/>
      <c r="C71" s="42"/>
      <c r="D71" s="42"/>
      <c r="E71" s="403"/>
      <c r="F71" s="43"/>
      <c r="G71" s="96"/>
    </row>
    <row r="72" spans="1:7" ht="12.75">
      <c r="A72" s="41">
        <v>66</v>
      </c>
      <c r="B72" s="42"/>
      <c r="C72" s="42"/>
      <c r="D72" s="42"/>
      <c r="E72" s="403"/>
      <c r="F72" s="43"/>
      <c r="G72" s="45"/>
    </row>
    <row r="73" spans="1:7" ht="12.75">
      <c r="A73" s="41">
        <v>67</v>
      </c>
      <c r="B73" s="42"/>
      <c r="C73" s="42"/>
      <c r="D73" s="42"/>
      <c r="E73" s="403"/>
      <c r="F73" s="43"/>
      <c r="G73" s="45"/>
    </row>
    <row r="74" spans="1:7" ht="12.75">
      <c r="A74" s="41">
        <v>68</v>
      </c>
      <c r="B74" s="42"/>
      <c r="C74" s="42"/>
      <c r="D74" s="42"/>
      <c r="E74" s="403"/>
      <c r="F74" s="43"/>
      <c r="G74" s="45"/>
    </row>
    <row r="75" spans="1:7" ht="12.75">
      <c r="A75" s="41">
        <v>69</v>
      </c>
      <c r="B75" s="42"/>
      <c r="C75" s="42"/>
      <c r="D75" s="42"/>
      <c r="E75" s="403"/>
      <c r="F75" s="43"/>
      <c r="G75" s="45"/>
    </row>
    <row r="76" spans="1:7" ht="12.75">
      <c r="A76" s="41">
        <v>70</v>
      </c>
      <c r="B76" s="154"/>
      <c r="C76" s="154"/>
      <c r="D76" s="42"/>
      <c r="E76" s="403"/>
      <c r="F76" s="43"/>
      <c r="G76" s="44"/>
    </row>
    <row r="77" spans="1:7" ht="12.75">
      <c r="A77" s="41">
        <v>71</v>
      </c>
      <c r="B77" s="42"/>
      <c r="C77" s="42"/>
      <c r="D77" s="42"/>
      <c r="E77" s="403"/>
      <c r="F77" s="43"/>
      <c r="G77" s="45"/>
    </row>
    <row r="78" spans="1:7" ht="12.75">
      <c r="A78" s="41">
        <v>72</v>
      </c>
      <c r="B78" s="42"/>
      <c r="C78" s="42"/>
      <c r="D78" s="42"/>
      <c r="E78" s="403"/>
      <c r="F78" s="43"/>
      <c r="G78" s="96"/>
    </row>
    <row r="79" spans="1:7" ht="12.75">
      <c r="A79" s="41">
        <v>73</v>
      </c>
      <c r="B79" s="42"/>
      <c r="C79" s="42"/>
      <c r="D79" s="42"/>
      <c r="E79" s="403"/>
      <c r="F79" s="43"/>
      <c r="G79" s="44"/>
    </row>
    <row r="80" spans="1:7" ht="12.75">
      <c r="A80" s="41">
        <v>74</v>
      </c>
      <c r="B80" s="42"/>
      <c r="C80" s="42"/>
      <c r="D80" s="42"/>
      <c r="E80" s="403"/>
      <c r="F80" s="43"/>
      <c r="G80" s="96"/>
    </row>
    <row r="81" spans="1:7" ht="12.75">
      <c r="A81" s="41">
        <v>75</v>
      </c>
      <c r="B81" s="42"/>
      <c r="C81" s="42"/>
      <c r="D81" s="42"/>
      <c r="E81" s="403"/>
      <c r="F81" s="43"/>
      <c r="G81" s="44"/>
    </row>
    <row r="82" spans="1:7" ht="12.75">
      <c r="A82" s="41">
        <v>76</v>
      </c>
      <c r="B82" s="42"/>
      <c r="C82" s="42"/>
      <c r="D82" s="42"/>
      <c r="E82" s="403"/>
      <c r="F82" s="43"/>
      <c r="G82" s="96"/>
    </row>
    <row r="83" spans="1:7" ht="12.75">
      <c r="A83" s="41">
        <v>77</v>
      </c>
      <c r="B83" s="42"/>
      <c r="C83" s="42"/>
      <c r="D83" s="42"/>
      <c r="E83" s="403"/>
      <c r="F83" s="43"/>
      <c r="G83" s="96"/>
    </row>
    <row r="84" spans="1:7" ht="12.75">
      <c r="A84" s="41">
        <v>78</v>
      </c>
      <c r="B84" s="42"/>
      <c r="C84" s="42"/>
      <c r="D84" s="42"/>
      <c r="E84" s="403"/>
      <c r="F84" s="43"/>
      <c r="G84" s="407"/>
    </row>
    <row r="85" spans="1:7" ht="12.75">
      <c r="A85" s="41">
        <v>79</v>
      </c>
      <c r="B85" s="42"/>
      <c r="C85" s="42"/>
      <c r="D85" s="42"/>
      <c r="E85" s="403"/>
      <c r="F85" s="43"/>
      <c r="G85" s="45"/>
    </row>
    <row r="86" spans="1:7" ht="12.75">
      <c r="A86" s="41">
        <v>80</v>
      </c>
      <c r="B86" s="42"/>
      <c r="C86" s="42"/>
      <c r="D86" s="42"/>
      <c r="E86" s="403"/>
      <c r="F86" s="43"/>
      <c r="G86" s="45"/>
    </row>
    <row r="87" spans="1:7" ht="12.75">
      <c r="A87" s="41">
        <v>81</v>
      </c>
      <c r="B87" s="75"/>
      <c r="C87" s="75"/>
      <c r="D87" s="75"/>
      <c r="E87" s="44"/>
      <c r="F87" s="75"/>
      <c r="G87" s="96"/>
    </row>
    <row r="88" spans="1:7" ht="12.75">
      <c r="A88" s="41">
        <v>82</v>
      </c>
      <c r="B88" s="75"/>
      <c r="C88" s="75"/>
      <c r="D88" s="75"/>
      <c r="E88" s="44"/>
      <c r="F88" s="75"/>
      <c r="G88" s="96"/>
    </row>
    <row r="89" spans="1:7" ht="12.75">
      <c r="A89" s="41">
        <v>83</v>
      </c>
      <c r="B89" s="169"/>
      <c r="C89" s="169"/>
      <c r="D89" s="169"/>
      <c r="E89" s="170"/>
      <c r="F89" s="169"/>
      <c r="G89" s="176"/>
    </row>
    <row r="90" spans="1:7" ht="12.75">
      <c r="A90" s="41">
        <v>84</v>
      </c>
      <c r="B90" s="169"/>
      <c r="C90" s="169"/>
      <c r="D90" s="169"/>
      <c r="E90" s="170"/>
      <c r="F90" s="169"/>
      <c r="G90" s="176"/>
    </row>
    <row r="91" spans="1:7" ht="12.75">
      <c r="A91" s="41">
        <v>85</v>
      </c>
      <c r="B91" s="169"/>
      <c r="C91" s="169"/>
      <c r="D91" s="169"/>
      <c r="E91" s="170"/>
      <c r="F91" s="169"/>
      <c r="G91" s="408"/>
    </row>
    <row r="92" spans="1:7" ht="12.75">
      <c r="A92" s="41">
        <v>86</v>
      </c>
      <c r="B92" s="169"/>
      <c r="C92" s="169"/>
      <c r="D92" s="169"/>
      <c r="E92" s="170"/>
      <c r="F92" s="169"/>
      <c r="G92" s="408"/>
    </row>
    <row r="93" spans="1:7" ht="12.75">
      <c r="A93" s="41">
        <v>87</v>
      </c>
      <c r="B93" s="169"/>
      <c r="C93" s="169"/>
      <c r="D93" s="169"/>
      <c r="E93" s="170"/>
      <c r="F93" s="169"/>
      <c r="G93" s="408"/>
    </row>
    <row r="94" spans="1:7" ht="12.75">
      <c r="A94" s="41">
        <v>88</v>
      </c>
      <c r="B94" s="169"/>
      <c r="C94" s="169"/>
      <c r="D94" s="169"/>
      <c r="E94" s="170"/>
      <c r="F94" s="169"/>
      <c r="G94" s="408"/>
    </row>
    <row r="95" spans="1:7" ht="12.75">
      <c r="A95" s="41">
        <v>89</v>
      </c>
      <c r="B95" s="169"/>
      <c r="C95" s="169"/>
      <c r="D95" s="169"/>
      <c r="E95" s="170"/>
      <c r="F95" s="169"/>
      <c r="G95" s="408"/>
    </row>
    <row r="96" spans="1:7" ht="12.75">
      <c r="A96" s="168"/>
      <c r="B96" s="169"/>
      <c r="C96" s="169"/>
      <c r="D96" s="169"/>
      <c r="E96" s="170"/>
      <c r="F96" s="169"/>
      <c r="G96" s="408"/>
    </row>
    <row r="97" spans="1:7" ht="12.75">
      <c r="A97" s="168"/>
      <c r="B97" s="169"/>
      <c r="C97" s="169"/>
      <c r="D97" s="169"/>
      <c r="E97" s="170"/>
      <c r="F97" s="169"/>
      <c r="G97" s="408"/>
    </row>
    <row r="98" spans="1:7" ht="12.75">
      <c r="A98" s="168"/>
      <c r="B98" s="169"/>
      <c r="C98" s="169"/>
      <c r="D98" s="169"/>
      <c r="E98" s="170"/>
      <c r="F98" s="169"/>
      <c r="G98" s="408"/>
    </row>
    <row r="99" spans="1:7" ht="12.75">
      <c r="A99" s="168"/>
      <c r="B99" s="169"/>
      <c r="C99" s="169"/>
      <c r="D99" s="169"/>
      <c r="E99" s="170"/>
      <c r="F99" s="169"/>
      <c r="G99" s="408"/>
    </row>
    <row r="100" spans="1:7" ht="12.75">
      <c r="A100" s="168"/>
      <c r="B100" s="169"/>
      <c r="C100" s="169"/>
      <c r="D100" s="169"/>
      <c r="E100" s="170"/>
      <c r="F100" s="169"/>
      <c r="G100" s="408"/>
    </row>
    <row r="101" spans="1:7" ht="12.75">
      <c r="A101" s="168"/>
      <c r="B101" s="169"/>
      <c r="C101" s="169"/>
      <c r="D101" s="169"/>
      <c r="E101" s="170"/>
      <c r="F101" s="169"/>
      <c r="G101" s="170"/>
    </row>
    <row r="102" spans="1:7" ht="12.75">
      <c r="A102" s="168"/>
      <c r="B102" s="169"/>
      <c r="C102" s="169"/>
      <c r="D102" s="169"/>
      <c r="E102" s="170"/>
      <c r="F102" s="169"/>
      <c r="G102" s="408"/>
    </row>
    <row r="103" spans="1:7" ht="12.75">
      <c r="A103" s="168"/>
      <c r="B103" s="169"/>
      <c r="C103" s="169"/>
      <c r="D103" s="169"/>
      <c r="E103" s="170"/>
      <c r="F103" s="169"/>
      <c r="G103" s="408"/>
    </row>
    <row r="104" spans="1:7" ht="12.75">
      <c r="A104" s="168"/>
      <c r="B104" s="169"/>
      <c r="C104" s="169"/>
      <c r="D104" s="169"/>
      <c r="E104" s="170"/>
      <c r="F104" s="169"/>
      <c r="G104" s="170"/>
    </row>
    <row r="105" spans="1:7" ht="12.75">
      <c r="A105" s="168"/>
      <c r="B105" s="169"/>
      <c r="C105" s="169"/>
      <c r="D105" s="169"/>
      <c r="E105" s="170"/>
      <c r="F105" s="169"/>
      <c r="G105" s="408"/>
    </row>
    <row r="106" spans="1:7" ht="12.75">
      <c r="A106" s="168"/>
      <c r="B106" s="169"/>
      <c r="C106" s="169"/>
      <c r="D106" s="169"/>
      <c r="E106" s="170"/>
      <c r="F106" s="169"/>
      <c r="G106" s="170"/>
    </row>
    <row r="107" spans="1:7" ht="12.75">
      <c r="A107" s="168"/>
      <c r="B107" s="169"/>
      <c r="C107" s="169"/>
      <c r="D107" s="169"/>
      <c r="E107" s="170"/>
      <c r="F107" s="169"/>
      <c r="G107" s="408"/>
    </row>
    <row r="108" spans="1:7" ht="12.75">
      <c r="A108" s="168"/>
      <c r="B108" s="169"/>
      <c r="C108" s="169"/>
      <c r="D108" s="169"/>
      <c r="E108" s="170"/>
      <c r="F108" s="169"/>
      <c r="G108" s="408"/>
    </row>
    <row r="109" spans="1:7" ht="12.75">
      <c r="A109" s="168"/>
      <c r="B109" s="169"/>
      <c r="C109" s="169"/>
      <c r="D109" s="169"/>
      <c r="E109" s="170"/>
      <c r="F109" s="169"/>
      <c r="G109" s="408"/>
    </row>
    <row r="110" spans="1:7" ht="12.75">
      <c r="A110" s="168"/>
      <c r="B110" s="169"/>
      <c r="C110" s="169"/>
      <c r="D110" s="169"/>
      <c r="E110" s="170"/>
      <c r="F110" s="169"/>
      <c r="G110" s="408"/>
    </row>
    <row r="111" spans="1:7" ht="12.75">
      <c r="A111" s="168"/>
      <c r="B111" s="169"/>
      <c r="C111" s="169"/>
      <c r="D111" s="169"/>
      <c r="E111" s="170"/>
      <c r="F111" s="169"/>
      <c r="G111" s="408"/>
    </row>
    <row r="112" spans="1:7" ht="12.75">
      <c r="A112" s="168"/>
      <c r="B112" s="169"/>
      <c r="C112" s="169"/>
      <c r="D112" s="169"/>
      <c r="E112" s="170"/>
      <c r="F112" s="169"/>
      <c r="G112" s="408"/>
    </row>
    <row r="113" spans="1:7" ht="12.75">
      <c r="A113" s="168"/>
      <c r="B113" s="169"/>
      <c r="C113" s="169"/>
      <c r="D113" s="169"/>
      <c r="E113" s="170"/>
      <c r="F113" s="169"/>
      <c r="G113" s="408"/>
    </row>
    <row r="114" spans="1:7" ht="12.75">
      <c r="A114" s="168"/>
      <c r="B114" s="169"/>
      <c r="C114" s="169"/>
      <c r="D114" s="169"/>
      <c r="E114" s="170"/>
      <c r="F114" s="169"/>
      <c r="G114" s="408"/>
    </row>
    <row r="115" spans="1:7" ht="12.75">
      <c r="A115" s="168"/>
      <c r="B115" s="169"/>
      <c r="C115" s="169"/>
      <c r="D115" s="169"/>
      <c r="E115" s="170"/>
      <c r="F115" s="169"/>
      <c r="G115" s="408"/>
    </row>
    <row r="116" spans="1:7" ht="12.75">
      <c r="A116" s="168"/>
      <c r="B116" s="169"/>
      <c r="C116" s="169"/>
      <c r="D116" s="169"/>
      <c r="E116" s="170"/>
      <c r="F116" s="169"/>
      <c r="G116" s="408"/>
    </row>
    <row r="117" spans="1:7" ht="12.75">
      <c r="A117" s="168"/>
      <c r="B117" s="169"/>
      <c r="C117" s="169"/>
      <c r="D117" s="169"/>
      <c r="E117" s="170"/>
      <c r="F117" s="169"/>
      <c r="G117" s="408"/>
    </row>
    <row r="118" spans="1:7" ht="12.75">
      <c r="A118" s="168"/>
      <c r="B118" s="169"/>
      <c r="C118" s="169"/>
      <c r="D118" s="169"/>
      <c r="E118" s="170"/>
      <c r="F118" s="169"/>
      <c r="G118" s="176"/>
    </row>
    <row r="119" spans="1:7" ht="12.75">
      <c r="A119" s="168" t="e">
        <f t="shared" ref="A119:A986" si="0">IF(#REF!="","",A118+1)</f>
        <v>#REF!</v>
      </c>
      <c r="B119" s="175"/>
      <c r="C119" s="175"/>
      <c r="D119" s="175"/>
      <c r="E119" s="170"/>
      <c r="F119" s="169"/>
      <c r="G119" s="176"/>
    </row>
    <row r="120" spans="1:7" ht="12.75">
      <c r="A120" s="168" t="e">
        <f t="shared" si="0"/>
        <v>#REF!</v>
      </c>
      <c r="B120" s="175"/>
      <c r="C120" s="175"/>
      <c r="D120" s="175"/>
      <c r="E120" s="170"/>
      <c r="F120" s="169"/>
      <c r="G120" s="176"/>
    </row>
    <row r="121" spans="1:7" ht="12.75">
      <c r="A121" s="168" t="e">
        <f t="shared" si="0"/>
        <v>#REF!</v>
      </c>
      <c r="B121" s="175"/>
      <c r="C121" s="175"/>
      <c r="D121" s="175"/>
      <c r="E121" s="170"/>
      <c r="F121" s="169"/>
      <c r="G121" s="176"/>
    </row>
    <row r="122" spans="1:7" ht="12.75">
      <c r="A122" s="168" t="e">
        <f t="shared" si="0"/>
        <v>#REF!</v>
      </c>
      <c r="B122" s="175"/>
      <c r="C122" s="175"/>
      <c r="D122" s="175"/>
      <c r="E122" s="170"/>
      <c r="F122" s="169"/>
      <c r="G122" s="176"/>
    </row>
    <row r="123" spans="1:7" ht="12.75">
      <c r="A123" s="168" t="e">
        <f t="shared" si="0"/>
        <v>#REF!</v>
      </c>
      <c r="B123" s="175"/>
      <c r="C123" s="175"/>
      <c r="D123" s="175"/>
      <c r="E123" s="170"/>
      <c r="F123" s="169"/>
      <c r="G123" s="176"/>
    </row>
    <row r="124" spans="1:7" ht="12.75">
      <c r="A124" s="168" t="e">
        <f t="shared" si="0"/>
        <v>#REF!</v>
      </c>
      <c r="B124" s="175"/>
      <c r="C124" s="175"/>
      <c r="D124" s="175"/>
      <c r="E124" s="170"/>
      <c r="F124" s="169"/>
      <c r="G124" s="176"/>
    </row>
    <row r="125" spans="1:7" ht="12.75">
      <c r="A125" s="168" t="e">
        <f t="shared" si="0"/>
        <v>#REF!</v>
      </c>
      <c r="B125" s="175"/>
      <c r="C125" s="175"/>
      <c r="D125" s="175"/>
      <c r="E125" s="170"/>
      <c r="F125" s="169"/>
      <c r="G125" s="176"/>
    </row>
    <row r="126" spans="1:7" ht="12.75">
      <c r="A126" s="168" t="e">
        <f t="shared" si="0"/>
        <v>#REF!</v>
      </c>
      <c r="B126" s="175"/>
      <c r="C126" s="175"/>
      <c r="D126" s="175"/>
      <c r="E126" s="170"/>
      <c r="F126" s="169"/>
      <c r="G126" s="176"/>
    </row>
    <row r="127" spans="1:7" ht="12.75">
      <c r="A127" s="168" t="e">
        <f t="shared" si="0"/>
        <v>#REF!</v>
      </c>
      <c r="B127" s="175"/>
      <c r="C127" s="175"/>
      <c r="D127" s="175"/>
      <c r="E127" s="170"/>
      <c r="F127" s="169"/>
      <c r="G127" s="176"/>
    </row>
    <row r="128" spans="1:7" ht="12.75">
      <c r="A128" s="168" t="e">
        <f t="shared" si="0"/>
        <v>#REF!</v>
      </c>
      <c r="B128" s="175"/>
      <c r="C128" s="175"/>
      <c r="D128" s="175"/>
      <c r="E128" s="170"/>
      <c r="F128" s="169"/>
      <c r="G128" s="176"/>
    </row>
    <row r="129" spans="1:7" ht="12.75">
      <c r="A129" s="168" t="e">
        <f t="shared" si="0"/>
        <v>#REF!</v>
      </c>
      <c r="B129" s="175"/>
      <c r="C129" s="175"/>
      <c r="D129" s="175"/>
      <c r="E129" s="170"/>
      <c r="F129" s="169"/>
      <c r="G129" s="176"/>
    </row>
    <row r="130" spans="1:7" ht="12.75">
      <c r="A130" s="168" t="e">
        <f t="shared" si="0"/>
        <v>#REF!</v>
      </c>
      <c r="B130" s="175"/>
      <c r="C130" s="175"/>
      <c r="D130" s="175"/>
      <c r="E130" s="170"/>
      <c r="F130" s="169"/>
      <c r="G130" s="176"/>
    </row>
    <row r="131" spans="1:7" ht="12.75">
      <c r="A131" s="168" t="e">
        <f t="shared" si="0"/>
        <v>#REF!</v>
      </c>
      <c r="B131" s="175"/>
      <c r="C131" s="175"/>
      <c r="D131" s="175"/>
      <c r="E131" s="170"/>
      <c r="F131" s="169"/>
      <c r="G131" s="176"/>
    </row>
    <row r="132" spans="1:7" ht="12.75">
      <c r="A132" s="168" t="e">
        <f t="shared" si="0"/>
        <v>#REF!</v>
      </c>
      <c r="B132" s="175"/>
      <c r="C132" s="175"/>
      <c r="D132" s="175"/>
      <c r="E132" s="170"/>
      <c r="F132" s="169"/>
      <c r="G132" s="176"/>
    </row>
    <row r="133" spans="1:7" ht="12.75">
      <c r="A133" s="168" t="e">
        <f t="shared" si="0"/>
        <v>#REF!</v>
      </c>
      <c r="B133" s="175"/>
      <c r="C133" s="175"/>
      <c r="D133" s="175"/>
      <c r="E133" s="170"/>
      <c r="F133" s="169"/>
      <c r="G133" s="176"/>
    </row>
    <row r="134" spans="1:7" ht="12.75">
      <c r="A134" s="168" t="e">
        <f t="shared" si="0"/>
        <v>#REF!</v>
      </c>
      <c r="B134" s="175"/>
      <c r="C134" s="175"/>
      <c r="D134" s="175"/>
      <c r="E134" s="170"/>
      <c r="F134" s="169"/>
      <c r="G134" s="176"/>
    </row>
    <row r="135" spans="1:7" ht="12.75">
      <c r="A135" s="168" t="e">
        <f t="shared" si="0"/>
        <v>#REF!</v>
      </c>
      <c r="B135" s="175"/>
      <c r="C135" s="175"/>
      <c r="D135" s="175"/>
      <c r="E135" s="170"/>
      <c r="F135" s="169"/>
      <c r="G135" s="176"/>
    </row>
    <row r="136" spans="1:7" ht="12.75">
      <c r="A136" s="168" t="e">
        <f t="shared" si="0"/>
        <v>#REF!</v>
      </c>
      <c r="B136" s="175"/>
      <c r="C136" s="175"/>
      <c r="D136" s="175"/>
      <c r="E136" s="170"/>
      <c r="F136" s="169"/>
      <c r="G136" s="176"/>
    </row>
    <row r="137" spans="1:7" ht="12.75">
      <c r="A137" s="168" t="e">
        <f t="shared" si="0"/>
        <v>#REF!</v>
      </c>
      <c r="B137" s="175"/>
      <c r="C137" s="175"/>
      <c r="D137" s="175"/>
      <c r="E137" s="170"/>
      <c r="F137" s="169"/>
      <c r="G137" s="176"/>
    </row>
    <row r="138" spans="1:7" ht="12.75">
      <c r="A138" s="168" t="e">
        <f t="shared" si="0"/>
        <v>#REF!</v>
      </c>
      <c r="B138" s="175"/>
      <c r="C138" s="175"/>
      <c r="D138" s="175"/>
      <c r="E138" s="170"/>
      <c r="F138" s="169"/>
      <c r="G138" s="176"/>
    </row>
    <row r="139" spans="1:7" ht="12.75">
      <c r="A139" s="168" t="e">
        <f t="shared" si="0"/>
        <v>#REF!</v>
      </c>
      <c r="B139" s="175"/>
      <c r="C139" s="175"/>
      <c r="D139" s="175"/>
      <c r="E139" s="170"/>
      <c r="F139" s="169"/>
      <c r="G139" s="176"/>
    </row>
    <row r="140" spans="1:7" ht="12.75">
      <c r="A140" s="168" t="e">
        <f t="shared" si="0"/>
        <v>#REF!</v>
      </c>
      <c r="B140" s="175"/>
      <c r="C140" s="175"/>
      <c r="D140" s="175"/>
      <c r="E140" s="170"/>
      <c r="F140" s="169"/>
      <c r="G140" s="176"/>
    </row>
    <row r="141" spans="1:7" ht="12.75">
      <c r="A141" s="168" t="e">
        <f t="shared" si="0"/>
        <v>#REF!</v>
      </c>
      <c r="B141" s="175"/>
      <c r="C141" s="175"/>
      <c r="D141" s="175"/>
      <c r="E141" s="170"/>
      <c r="F141" s="169"/>
      <c r="G141" s="176"/>
    </row>
    <row r="142" spans="1:7" ht="12.75">
      <c r="A142" s="168" t="e">
        <f t="shared" si="0"/>
        <v>#REF!</v>
      </c>
      <c r="B142" s="175"/>
      <c r="C142" s="175"/>
      <c r="D142" s="175"/>
      <c r="E142" s="170"/>
      <c r="F142" s="169"/>
      <c r="G142" s="176"/>
    </row>
    <row r="143" spans="1:7" ht="12.75">
      <c r="A143" s="168" t="e">
        <f t="shared" si="0"/>
        <v>#REF!</v>
      </c>
      <c r="B143" s="175"/>
      <c r="C143" s="175"/>
      <c r="D143" s="175"/>
      <c r="E143" s="170"/>
      <c r="F143" s="169"/>
      <c r="G143" s="176"/>
    </row>
    <row r="144" spans="1:7" ht="12.75">
      <c r="A144" s="168" t="e">
        <f t="shared" si="0"/>
        <v>#REF!</v>
      </c>
      <c r="B144" s="175"/>
      <c r="C144" s="175"/>
      <c r="D144" s="175"/>
      <c r="E144" s="170"/>
      <c r="F144" s="169"/>
      <c r="G144" s="176"/>
    </row>
    <row r="145" spans="1:7" ht="12.75">
      <c r="A145" s="168" t="e">
        <f t="shared" si="0"/>
        <v>#REF!</v>
      </c>
      <c r="B145" s="175"/>
      <c r="C145" s="175"/>
      <c r="D145" s="175"/>
      <c r="E145" s="170"/>
      <c r="F145" s="169"/>
      <c r="G145" s="176"/>
    </row>
    <row r="146" spans="1:7" ht="12.75">
      <c r="A146" s="168" t="e">
        <f t="shared" si="0"/>
        <v>#REF!</v>
      </c>
      <c r="B146" s="175"/>
      <c r="C146" s="175"/>
      <c r="D146" s="175"/>
      <c r="E146" s="170"/>
      <c r="F146" s="169"/>
      <c r="G146" s="176"/>
    </row>
    <row r="147" spans="1:7" ht="12.75">
      <c r="A147" s="168" t="e">
        <f t="shared" si="0"/>
        <v>#REF!</v>
      </c>
      <c r="B147" s="175"/>
      <c r="C147" s="175"/>
      <c r="D147" s="175"/>
      <c r="E147" s="170"/>
      <c r="F147" s="169"/>
      <c r="G147" s="176"/>
    </row>
    <row r="148" spans="1:7" ht="12.75">
      <c r="A148" s="168" t="e">
        <f t="shared" si="0"/>
        <v>#REF!</v>
      </c>
      <c r="B148" s="175"/>
      <c r="C148" s="175"/>
      <c r="D148" s="175"/>
      <c r="E148" s="170"/>
      <c r="F148" s="169"/>
      <c r="G148" s="176"/>
    </row>
    <row r="149" spans="1:7" ht="12.75">
      <c r="A149" s="168" t="e">
        <f t="shared" si="0"/>
        <v>#REF!</v>
      </c>
      <c r="B149" s="175"/>
      <c r="C149" s="175"/>
      <c r="D149" s="175"/>
      <c r="E149" s="170"/>
      <c r="F149" s="169"/>
      <c r="G149" s="176"/>
    </row>
    <row r="150" spans="1:7" ht="12.75">
      <c r="A150" s="168" t="e">
        <f t="shared" si="0"/>
        <v>#REF!</v>
      </c>
      <c r="B150" s="175"/>
      <c r="C150" s="175"/>
      <c r="D150" s="175"/>
      <c r="E150" s="170"/>
      <c r="F150" s="169"/>
      <c r="G150" s="176"/>
    </row>
    <row r="151" spans="1:7" ht="12.75">
      <c r="A151" s="168" t="e">
        <f t="shared" si="0"/>
        <v>#REF!</v>
      </c>
      <c r="B151" s="175"/>
      <c r="C151" s="175"/>
      <c r="D151" s="175"/>
      <c r="E151" s="170"/>
      <c r="F151" s="169"/>
      <c r="G151" s="176"/>
    </row>
    <row r="152" spans="1:7" ht="12.75">
      <c r="A152" s="168" t="e">
        <f t="shared" si="0"/>
        <v>#REF!</v>
      </c>
      <c r="B152" s="175"/>
      <c r="C152" s="175"/>
      <c r="D152" s="175"/>
      <c r="E152" s="170"/>
      <c r="F152" s="169"/>
      <c r="G152" s="176"/>
    </row>
    <row r="153" spans="1:7" ht="12.75">
      <c r="A153" s="168" t="e">
        <f t="shared" si="0"/>
        <v>#REF!</v>
      </c>
      <c r="B153" s="175"/>
      <c r="C153" s="175"/>
      <c r="D153" s="175"/>
      <c r="E153" s="170"/>
      <c r="F153" s="169"/>
      <c r="G153" s="176"/>
    </row>
    <row r="154" spans="1:7" ht="12.75">
      <c r="A154" s="168" t="e">
        <f t="shared" si="0"/>
        <v>#REF!</v>
      </c>
      <c r="B154" s="175"/>
      <c r="C154" s="175"/>
      <c r="D154" s="175"/>
      <c r="E154" s="170"/>
      <c r="F154" s="169"/>
      <c r="G154" s="176"/>
    </row>
    <row r="155" spans="1:7" ht="12.75">
      <c r="A155" s="168" t="e">
        <f t="shared" si="0"/>
        <v>#REF!</v>
      </c>
      <c r="B155" s="175"/>
      <c r="C155" s="175"/>
      <c r="D155" s="175"/>
      <c r="E155" s="170"/>
      <c r="F155" s="169"/>
      <c r="G155" s="176"/>
    </row>
    <row r="156" spans="1:7" ht="12.75">
      <c r="A156" s="168" t="e">
        <f t="shared" si="0"/>
        <v>#REF!</v>
      </c>
      <c r="B156" s="175"/>
      <c r="C156" s="175"/>
      <c r="D156" s="175"/>
      <c r="E156" s="170"/>
      <c r="F156" s="169"/>
      <c r="G156" s="176"/>
    </row>
    <row r="157" spans="1:7" ht="12.75">
      <c r="A157" s="168" t="e">
        <f t="shared" si="0"/>
        <v>#REF!</v>
      </c>
      <c r="B157" s="175"/>
      <c r="C157" s="175"/>
      <c r="D157" s="175"/>
      <c r="E157" s="170"/>
      <c r="F157" s="169"/>
      <c r="G157" s="176"/>
    </row>
    <row r="158" spans="1:7" ht="12.75">
      <c r="A158" s="168" t="e">
        <f t="shared" si="0"/>
        <v>#REF!</v>
      </c>
      <c r="B158" s="175"/>
      <c r="C158" s="175"/>
      <c r="D158" s="175"/>
      <c r="E158" s="170"/>
      <c r="F158" s="169"/>
      <c r="G158" s="176"/>
    </row>
    <row r="159" spans="1:7" ht="12.75">
      <c r="A159" s="168" t="e">
        <f t="shared" si="0"/>
        <v>#REF!</v>
      </c>
      <c r="B159" s="175"/>
      <c r="C159" s="175"/>
      <c r="D159" s="175"/>
      <c r="E159" s="170"/>
      <c r="F159" s="169"/>
      <c r="G159" s="176"/>
    </row>
    <row r="160" spans="1:7" ht="12.75">
      <c r="A160" s="168" t="e">
        <f t="shared" si="0"/>
        <v>#REF!</v>
      </c>
      <c r="B160" s="175"/>
      <c r="C160" s="175"/>
      <c r="D160" s="175"/>
      <c r="E160" s="170"/>
      <c r="F160" s="169"/>
      <c r="G160" s="176"/>
    </row>
    <row r="161" spans="1:7" ht="12.75">
      <c r="A161" s="168" t="e">
        <f t="shared" si="0"/>
        <v>#REF!</v>
      </c>
      <c r="B161" s="175"/>
      <c r="C161" s="175"/>
      <c r="D161" s="175"/>
      <c r="E161" s="170"/>
      <c r="F161" s="169"/>
      <c r="G161" s="176"/>
    </row>
    <row r="162" spans="1:7" ht="12.75">
      <c r="A162" s="168" t="e">
        <f t="shared" si="0"/>
        <v>#REF!</v>
      </c>
      <c r="B162" s="175"/>
      <c r="C162" s="175"/>
      <c r="D162" s="175"/>
      <c r="E162" s="170"/>
      <c r="F162" s="169"/>
      <c r="G162" s="176"/>
    </row>
    <row r="163" spans="1:7" ht="12.75">
      <c r="A163" s="168" t="e">
        <f t="shared" si="0"/>
        <v>#REF!</v>
      </c>
      <c r="B163" s="175"/>
      <c r="C163" s="175"/>
      <c r="D163" s="175"/>
      <c r="E163" s="170"/>
      <c r="F163" s="169"/>
      <c r="G163" s="176"/>
    </row>
    <row r="164" spans="1:7" ht="12.75">
      <c r="A164" s="168" t="e">
        <f t="shared" si="0"/>
        <v>#REF!</v>
      </c>
      <c r="B164" s="175"/>
      <c r="C164" s="175"/>
      <c r="D164" s="175"/>
      <c r="E164" s="170"/>
      <c r="F164" s="169"/>
      <c r="G164" s="176"/>
    </row>
    <row r="165" spans="1:7" ht="12.75">
      <c r="A165" s="168" t="e">
        <f t="shared" si="0"/>
        <v>#REF!</v>
      </c>
      <c r="B165" s="175"/>
      <c r="C165" s="175"/>
      <c r="D165" s="175"/>
      <c r="E165" s="170"/>
      <c r="F165" s="169"/>
      <c r="G165" s="176"/>
    </row>
    <row r="166" spans="1:7" ht="12.75">
      <c r="A166" s="168" t="e">
        <f t="shared" si="0"/>
        <v>#REF!</v>
      </c>
      <c r="B166" s="175"/>
      <c r="C166" s="175"/>
      <c r="D166" s="175"/>
      <c r="E166" s="170"/>
      <c r="F166" s="169"/>
      <c r="G166" s="176"/>
    </row>
    <row r="167" spans="1:7" ht="12.75">
      <c r="A167" s="168" t="e">
        <f t="shared" si="0"/>
        <v>#REF!</v>
      </c>
      <c r="B167" s="175"/>
      <c r="C167" s="175"/>
      <c r="D167" s="175"/>
      <c r="E167" s="170"/>
      <c r="F167" s="169"/>
      <c r="G167" s="176"/>
    </row>
    <row r="168" spans="1:7" ht="12.75">
      <c r="A168" s="168" t="e">
        <f t="shared" si="0"/>
        <v>#REF!</v>
      </c>
      <c r="B168" s="175"/>
      <c r="C168" s="175"/>
      <c r="D168" s="175"/>
      <c r="E168" s="170"/>
      <c r="F168" s="169"/>
      <c r="G168" s="176"/>
    </row>
    <row r="169" spans="1:7" ht="12.75">
      <c r="A169" s="168" t="e">
        <f t="shared" si="0"/>
        <v>#REF!</v>
      </c>
      <c r="B169" s="175"/>
      <c r="C169" s="175"/>
      <c r="D169" s="175"/>
      <c r="E169" s="170"/>
      <c r="F169" s="169"/>
      <c r="G169" s="176"/>
    </row>
    <row r="170" spans="1:7" ht="12.75">
      <c r="A170" s="168" t="e">
        <f t="shared" si="0"/>
        <v>#REF!</v>
      </c>
      <c r="B170" s="175"/>
      <c r="C170" s="175"/>
      <c r="D170" s="175"/>
      <c r="E170" s="170"/>
      <c r="F170" s="169"/>
      <c r="G170" s="176"/>
    </row>
    <row r="171" spans="1:7" ht="12.75">
      <c r="A171" s="168" t="e">
        <f t="shared" si="0"/>
        <v>#REF!</v>
      </c>
      <c r="B171" s="175"/>
      <c r="C171" s="175"/>
      <c r="D171" s="175"/>
      <c r="E171" s="170"/>
      <c r="F171" s="169"/>
      <c r="G171" s="176"/>
    </row>
    <row r="172" spans="1:7" ht="12.75">
      <c r="A172" s="168" t="e">
        <f t="shared" si="0"/>
        <v>#REF!</v>
      </c>
      <c r="B172" s="175"/>
      <c r="C172" s="175"/>
      <c r="D172" s="175"/>
      <c r="E172" s="170"/>
      <c r="F172" s="169"/>
      <c r="G172" s="176"/>
    </row>
    <row r="173" spans="1:7" ht="12.75">
      <c r="A173" s="168" t="e">
        <f t="shared" si="0"/>
        <v>#REF!</v>
      </c>
      <c r="B173" s="175"/>
      <c r="C173" s="175"/>
      <c r="D173" s="175"/>
      <c r="E173" s="170"/>
      <c r="F173" s="169"/>
      <c r="G173" s="176"/>
    </row>
    <row r="174" spans="1:7" ht="12.75">
      <c r="A174" s="168" t="e">
        <f t="shared" si="0"/>
        <v>#REF!</v>
      </c>
      <c r="B174" s="175"/>
      <c r="C174" s="175"/>
      <c r="D174" s="175"/>
      <c r="E174" s="170"/>
      <c r="F174" s="169"/>
      <c r="G174" s="176"/>
    </row>
    <row r="175" spans="1:7" ht="12.75">
      <c r="A175" s="168" t="e">
        <f t="shared" si="0"/>
        <v>#REF!</v>
      </c>
      <c r="B175" s="175"/>
      <c r="C175" s="175"/>
      <c r="D175" s="175"/>
      <c r="E175" s="170"/>
      <c r="F175" s="169"/>
      <c r="G175" s="176"/>
    </row>
    <row r="176" spans="1:7" ht="12.75">
      <c r="A176" s="168" t="e">
        <f t="shared" si="0"/>
        <v>#REF!</v>
      </c>
      <c r="B176" s="175"/>
      <c r="C176" s="175"/>
      <c r="D176" s="175"/>
      <c r="E176" s="170"/>
      <c r="F176" s="169"/>
      <c r="G176" s="176"/>
    </row>
    <row r="177" spans="1:7" ht="12.75">
      <c r="A177" s="168" t="e">
        <f t="shared" si="0"/>
        <v>#REF!</v>
      </c>
      <c r="B177" s="175"/>
      <c r="C177" s="175"/>
      <c r="D177" s="175"/>
      <c r="E177" s="170"/>
      <c r="F177" s="169"/>
      <c r="G177" s="176"/>
    </row>
    <row r="178" spans="1:7" ht="12.75">
      <c r="A178" s="168" t="e">
        <f t="shared" si="0"/>
        <v>#REF!</v>
      </c>
      <c r="B178" s="175"/>
      <c r="C178" s="175"/>
      <c r="D178" s="175"/>
      <c r="E178" s="170"/>
      <c r="F178" s="169"/>
      <c r="G178" s="176"/>
    </row>
    <row r="179" spans="1:7" ht="12.75">
      <c r="A179" s="168" t="e">
        <f t="shared" si="0"/>
        <v>#REF!</v>
      </c>
      <c r="B179" s="175"/>
      <c r="C179" s="175"/>
      <c r="D179" s="175"/>
      <c r="E179" s="170"/>
      <c r="F179" s="169"/>
      <c r="G179" s="176"/>
    </row>
    <row r="180" spans="1:7" ht="12.75">
      <c r="A180" s="168" t="e">
        <f t="shared" si="0"/>
        <v>#REF!</v>
      </c>
      <c r="B180" s="175"/>
      <c r="C180" s="175"/>
      <c r="D180" s="175"/>
      <c r="E180" s="170"/>
      <c r="F180" s="169"/>
      <c r="G180" s="176"/>
    </row>
    <row r="181" spans="1:7" ht="12.75">
      <c r="A181" s="168" t="e">
        <f t="shared" si="0"/>
        <v>#REF!</v>
      </c>
      <c r="B181" s="175"/>
      <c r="C181" s="175"/>
      <c r="D181" s="175"/>
      <c r="E181" s="170"/>
      <c r="F181" s="169"/>
      <c r="G181" s="176"/>
    </row>
    <row r="182" spans="1:7" ht="12.75">
      <c r="A182" s="168" t="e">
        <f t="shared" si="0"/>
        <v>#REF!</v>
      </c>
      <c r="B182" s="175"/>
      <c r="C182" s="175"/>
      <c r="D182" s="175"/>
      <c r="E182" s="170"/>
      <c r="F182" s="169"/>
      <c r="G182" s="176"/>
    </row>
    <row r="183" spans="1:7" ht="12.75">
      <c r="A183" s="168" t="e">
        <f t="shared" si="0"/>
        <v>#REF!</v>
      </c>
      <c r="B183" s="175"/>
      <c r="C183" s="175"/>
      <c r="D183" s="175"/>
      <c r="E183" s="170"/>
      <c r="F183" s="169"/>
      <c r="G183" s="176"/>
    </row>
    <row r="184" spans="1:7" ht="12.75">
      <c r="A184" s="168" t="e">
        <f t="shared" si="0"/>
        <v>#REF!</v>
      </c>
      <c r="B184" s="175"/>
      <c r="C184" s="175"/>
      <c r="D184" s="175"/>
      <c r="E184" s="170"/>
      <c r="F184" s="169"/>
      <c r="G184" s="176"/>
    </row>
    <row r="185" spans="1:7" ht="12.75">
      <c r="A185" s="168" t="e">
        <f t="shared" si="0"/>
        <v>#REF!</v>
      </c>
      <c r="B185" s="175"/>
      <c r="C185" s="175"/>
      <c r="D185" s="175"/>
      <c r="E185" s="170"/>
      <c r="F185" s="169"/>
      <c r="G185" s="176"/>
    </row>
    <row r="186" spans="1:7" ht="12.75">
      <c r="A186" s="168" t="e">
        <f t="shared" si="0"/>
        <v>#REF!</v>
      </c>
      <c r="B186" s="175"/>
      <c r="C186" s="175"/>
      <c r="D186" s="175"/>
      <c r="E186" s="170"/>
      <c r="F186" s="169"/>
      <c r="G186" s="176"/>
    </row>
    <row r="187" spans="1:7" ht="12.75">
      <c r="A187" s="168" t="e">
        <f t="shared" si="0"/>
        <v>#REF!</v>
      </c>
      <c r="B187" s="175"/>
      <c r="C187" s="175"/>
      <c r="D187" s="175"/>
      <c r="E187" s="170"/>
      <c r="F187" s="169"/>
      <c r="G187" s="176"/>
    </row>
    <row r="188" spans="1:7" ht="12.75">
      <c r="A188" s="168" t="e">
        <f t="shared" si="0"/>
        <v>#REF!</v>
      </c>
      <c r="B188" s="175"/>
      <c r="C188" s="175"/>
      <c r="D188" s="175"/>
      <c r="E188" s="170"/>
      <c r="F188" s="169"/>
      <c r="G188" s="176"/>
    </row>
    <row r="189" spans="1:7" ht="12.75">
      <c r="A189" s="168" t="e">
        <f t="shared" si="0"/>
        <v>#REF!</v>
      </c>
      <c r="B189" s="175"/>
      <c r="C189" s="175"/>
      <c r="D189" s="175"/>
      <c r="E189" s="170"/>
      <c r="F189" s="169"/>
      <c r="G189" s="176"/>
    </row>
    <row r="190" spans="1:7" ht="12.75">
      <c r="A190" s="168" t="e">
        <f t="shared" si="0"/>
        <v>#REF!</v>
      </c>
      <c r="B190" s="175"/>
      <c r="C190" s="175"/>
      <c r="D190" s="175"/>
      <c r="E190" s="170"/>
      <c r="F190" s="169"/>
      <c r="G190" s="176"/>
    </row>
    <row r="191" spans="1:7" ht="12.75">
      <c r="A191" s="168" t="e">
        <f t="shared" si="0"/>
        <v>#REF!</v>
      </c>
      <c r="B191" s="175"/>
      <c r="C191" s="175"/>
      <c r="D191" s="175"/>
      <c r="E191" s="170"/>
      <c r="F191" s="169"/>
      <c r="G191" s="176"/>
    </row>
    <row r="192" spans="1:7" ht="12.75">
      <c r="A192" s="168" t="e">
        <f t="shared" si="0"/>
        <v>#REF!</v>
      </c>
      <c r="B192" s="175"/>
      <c r="C192" s="175"/>
      <c r="D192" s="175"/>
      <c r="E192" s="170"/>
      <c r="F192" s="169"/>
      <c r="G192" s="176"/>
    </row>
    <row r="193" spans="1:7" ht="12.75">
      <c r="A193" s="168" t="e">
        <f t="shared" si="0"/>
        <v>#REF!</v>
      </c>
      <c r="B193" s="175"/>
      <c r="C193" s="175"/>
      <c r="D193" s="175"/>
      <c r="E193" s="170"/>
      <c r="F193" s="169"/>
      <c r="G193" s="176"/>
    </row>
    <row r="194" spans="1:7" ht="12.75">
      <c r="A194" s="168" t="e">
        <f t="shared" si="0"/>
        <v>#REF!</v>
      </c>
      <c r="B194" s="175"/>
      <c r="C194" s="175"/>
      <c r="D194" s="175"/>
      <c r="E194" s="170"/>
      <c r="F194" s="169"/>
      <c r="G194" s="176"/>
    </row>
    <row r="195" spans="1:7" ht="12.75">
      <c r="A195" s="168" t="e">
        <f t="shared" si="0"/>
        <v>#REF!</v>
      </c>
      <c r="B195" s="175"/>
      <c r="C195" s="175"/>
      <c r="D195" s="175"/>
      <c r="E195" s="170"/>
      <c r="F195" s="169"/>
      <c r="G195" s="176"/>
    </row>
    <row r="196" spans="1:7" ht="12.75">
      <c r="A196" s="168" t="e">
        <f t="shared" si="0"/>
        <v>#REF!</v>
      </c>
      <c r="B196" s="175"/>
      <c r="C196" s="175"/>
      <c r="D196" s="175"/>
      <c r="E196" s="170"/>
      <c r="F196" s="169"/>
      <c r="G196" s="176"/>
    </row>
    <row r="197" spans="1:7" ht="12.75">
      <c r="A197" s="168" t="e">
        <f t="shared" si="0"/>
        <v>#REF!</v>
      </c>
      <c r="B197" s="175"/>
      <c r="C197" s="175"/>
      <c r="D197" s="175"/>
      <c r="E197" s="170"/>
      <c r="F197" s="169"/>
      <c r="G197" s="176"/>
    </row>
    <row r="198" spans="1:7" ht="12.75">
      <c r="A198" s="168" t="e">
        <f t="shared" si="0"/>
        <v>#REF!</v>
      </c>
      <c r="B198" s="175"/>
      <c r="C198" s="175"/>
      <c r="D198" s="175"/>
      <c r="E198" s="170"/>
      <c r="F198" s="169"/>
      <c r="G198" s="176"/>
    </row>
    <row r="199" spans="1:7" ht="12.75">
      <c r="A199" s="168" t="e">
        <f t="shared" si="0"/>
        <v>#REF!</v>
      </c>
      <c r="B199" s="175"/>
      <c r="C199" s="175"/>
      <c r="D199" s="175"/>
      <c r="E199" s="170"/>
      <c r="F199" s="169"/>
      <c r="G199" s="176"/>
    </row>
    <row r="200" spans="1:7" ht="12.75">
      <c r="A200" s="168" t="e">
        <f t="shared" si="0"/>
        <v>#REF!</v>
      </c>
      <c r="B200" s="175"/>
      <c r="C200" s="175"/>
      <c r="D200" s="175"/>
      <c r="E200" s="170"/>
      <c r="F200" s="169"/>
      <c r="G200" s="176"/>
    </row>
    <row r="201" spans="1:7" ht="12.75">
      <c r="A201" s="168" t="e">
        <f t="shared" si="0"/>
        <v>#REF!</v>
      </c>
      <c r="B201" s="175"/>
      <c r="C201" s="175"/>
      <c r="D201" s="175"/>
      <c r="E201" s="170"/>
      <c r="F201" s="169"/>
      <c r="G201" s="176"/>
    </row>
    <row r="202" spans="1:7" ht="12.75">
      <c r="A202" s="168" t="e">
        <f t="shared" si="0"/>
        <v>#REF!</v>
      </c>
      <c r="B202" s="175"/>
      <c r="C202" s="175"/>
      <c r="D202" s="175"/>
      <c r="E202" s="170"/>
      <c r="F202" s="169"/>
      <c r="G202" s="176"/>
    </row>
    <row r="203" spans="1:7" ht="12.75">
      <c r="A203" s="168" t="e">
        <f t="shared" si="0"/>
        <v>#REF!</v>
      </c>
      <c r="B203" s="175"/>
      <c r="C203" s="175"/>
      <c r="D203" s="175"/>
      <c r="E203" s="170"/>
      <c r="F203" s="169"/>
      <c r="G203" s="176"/>
    </row>
    <row r="204" spans="1:7" ht="12.75">
      <c r="A204" s="168" t="e">
        <f t="shared" si="0"/>
        <v>#REF!</v>
      </c>
      <c r="B204" s="175"/>
      <c r="C204" s="175"/>
      <c r="D204" s="175"/>
      <c r="E204" s="170"/>
      <c r="F204" s="169"/>
      <c r="G204" s="176"/>
    </row>
    <row r="205" spans="1:7" ht="12.75">
      <c r="A205" s="168" t="e">
        <f t="shared" si="0"/>
        <v>#REF!</v>
      </c>
      <c r="B205" s="175"/>
      <c r="C205" s="175"/>
      <c r="D205" s="175"/>
      <c r="E205" s="170"/>
      <c r="F205" s="169"/>
      <c r="G205" s="176"/>
    </row>
    <row r="206" spans="1:7" ht="12.75">
      <c r="A206" s="168" t="e">
        <f t="shared" si="0"/>
        <v>#REF!</v>
      </c>
      <c r="B206" s="175"/>
      <c r="C206" s="175"/>
      <c r="D206" s="175"/>
      <c r="E206" s="170"/>
      <c r="F206" s="169"/>
      <c r="G206" s="176"/>
    </row>
    <row r="207" spans="1:7" ht="12.75">
      <c r="A207" s="168" t="e">
        <f t="shared" si="0"/>
        <v>#REF!</v>
      </c>
      <c r="B207" s="175"/>
      <c r="C207" s="175"/>
      <c r="D207" s="175"/>
      <c r="E207" s="170"/>
      <c r="F207" s="169"/>
      <c r="G207" s="176"/>
    </row>
    <row r="208" spans="1:7" ht="12.75">
      <c r="A208" s="168" t="e">
        <f t="shared" si="0"/>
        <v>#REF!</v>
      </c>
      <c r="B208" s="175"/>
      <c r="C208" s="175"/>
      <c r="D208" s="175"/>
      <c r="E208" s="170"/>
      <c r="F208" s="169"/>
      <c r="G208" s="176"/>
    </row>
    <row r="209" spans="1:7" ht="12.75">
      <c r="A209" s="168" t="e">
        <f t="shared" si="0"/>
        <v>#REF!</v>
      </c>
      <c r="B209" s="175"/>
      <c r="C209" s="175"/>
      <c r="D209" s="175"/>
      <c r="E209" s="170"/>
      <c r="F209" s="169"/>
      <c r="G209" s="176"/>
    </row>
    <row r="210" spans="1:7" ht="12.75">
      <c r="A210" s="168" t="e">
        <f t="shared" si="0"/>
        <v>#REF!</v>
      </c>
      <c r="B210" s="175"/>
      <c r="C210" s="175"/>
      <c r="D210" s="175"/>
      <c r="E210" s="170"/>
      <c r="F210" s="169"/>
      <c r="G210" s="176"/>
    </row>
    <row r="211" spans="1:7" ht="12.75">
      <c r="A211" s="168" t="e">
        <f t="shared" si="0"/>
        <v>#REF!</v>
      </c>
      <c r="B211" s="175"/>
      <c r="C211" s="175"/>
      <c r="D211" s="175"/>
      <c r="E211" s="170"/>
      <c r="F211" s="169"/>
      <c r="G211" s="176"/>
    </row>
    <row r="212" spans="1:7" ht="12.75">
      <c r="A212" s="168" t="e">
        <f t="shared" si="0"/>
        <v>#REF!</v>
      </c>
      <c r="B212" s="175"/>
      <c r="C212" s="175"/>
      <c r="D212" s="175"/>
      <c r="E212" s="170"/>
      <c r="F212" s="169"/>
      <c r="G212" s="176"/>
    </row>
    <row r="213" spans="1:7" ht="12.75">
      <c r="A213" s="168" t="e">
        <f t="shared" si="0"/>
        <v>#REF!</v>
      </c>
      <c r="B213" s="175"/>
      <c r="C213" s="175"/>
      <c r="D213" s="175"/>
      <c r="E213" s="170"/>
      <c r="F213" s="169"/>
      <c r="G213" s="176"/>
    </row>
    <row r="214" spans="1:7" ht="12.75">
      <c r="A214" s="168" t="e">
        <f t="shared" si="0"/>
        <v>#REF!</v>
      </c>
      <c r="B214" s="175"/>
      <c r="C214" s="175"/>
      <c r="D214" s="175"/>
      <c r="E214" s="170"/>
      <c r="F214" s="169"/>
      <c r="G214" s="176"/>
    </row>
    <row r="215" spans="1:7" ht="12.75">
      <c r="A215" s="168" t="e">
        <f t="shared" si="0"/>
        <v>#REF!</v>
      </c>
      <c r="B215" s="175"/>
      <c r="C215" s="175"/>
      <c r="D215" s="175"/>
      <c r="E215" s="170"/>
      <c r="F215" s="169"/>
      <c r="G215" s="176"/>
    </row>
    <row r="216" spans="1:7" ht="12.75">
      <c r="A216" s="168" t="e">
        <f t="shared" si="0"/>
        <v>#REF!</v>
      </c>
      <c r="B216" s="175"/>
      <c r="C216" s="175"/>
      <c r="D216" s="175"/>
      <c r="E216" s="170"/>
      <c r="F216" s="169"/>
      <c r="G216" s="176"/>
    </row>
    <row r="217" spans="1:7" ht="12.75">
      <c r="A217" s="168" t="e">
        <f t="shared" si="0"/>
        <v>#REF!</v>
      </c>
      <c r="B217" s="175"/>
      <c r="C217" s="175"/>
      <c r="D217" s="175"/>
      <c r="E217" s="170"/>
      <c r="F217" s="169"/>
      <c r="G217" s="176"/>
    </row>
    <row r="218" spans="1:7" ht="12.75">
      <c r="A218" s="168" t="e">
        <f t="shared" si="0"/>
        <v>#REF!</v>
      </c>
      <c r="B218" s="175"/>
      <c r="C218" s="175"/>
      <c r="D218" s="175"/>
      <c r="E218" s="170"/>
      <c r="F218" s="169"/>
      <c r="G218" s="176"/>
    </row>
    <row r="219" spans="1:7" ht="12.75">
      <c r="A219" s="168" t="e">
        <f t="shared" si="0"/>
        <v>#REF!</v>
      </c>
      <c r="B219" s="175"/>
      <c r="C219" s="175"/>
      <c r="D219" s="175"/>
      <c r="E219" s="170"/>
      <c r="F219" s="169"/>
      <c r="G219" s="176"/>
    </row>
    <row r="220" spans="1:7" ht="12.75">
      <c r="A220" s="168" t="e">
        <f t="shared" si="0"/>
        <v>#REF!</v>
      </c>
      <c r="B220" s="175"/>
      <c r="C220" s="175"/>
      <c r="D220" s="175"/>
      <c r="E220" s="170"/>
      <c r="F220" s="169"/>
      <c r="G220" s="176"/>
    </row>
    <row r="221" spans="1:7" ht="12.75">
      <c r="A221" s="168" t="e">
        <f t="shared" si="0"/>
        <v>#REF!</v>
      </c>
      <c r="B221" s="175"/>
      <c r="C221" s="175"/>
      <c r="D221" s="175"/>
      <c r="E221" s="170"/>
      <c r="F221" s="169"/>
      <c r="G221" s="176"/>
    </row>
    <row r="222" spans="1:7" ht="12.75">
      <c r="A222" s="168" t="e">
        <f t="shared" si="0"/>
        <v>#REF!</v>
      </c>
      <c r="B222" s="175"/>
      <c r="C222" s="175"/>
      <c r="D222" s="175"/>
      <c r="E222" s="170"/>
      <c r="F222" s="169"/>
      <c r="G222" s="176"/>
    </row>
    <row r="223" spans="1:7" ht="12.75">
      <c r="A223" s="168" t="e">
        <f t="shared" si="0"/>
        <v>#REF!</v>
      </c>
      <c r="B223" s="175"/>
      <c r="C223" s="175"/>
      <c r="D223" s="175"/>
      <c r="E223" s="170"/>
      <c r="F223" s="169"/>
      <c r="G223" s="176"/>
    </row>
    <row r="224" spans="1:7" ht="12.75">
      <c r="A224" s="168" t="e">
        <f t="shared" si="0"/>
        <v>#REF!</v>
      </c>
      <c r="B224" s="175"/>
      <c r="C224" s="175"/>
      <c r="D224" s="175"/>
      <c r="E224" s="170"/>
      <c r="F224" s="169"/>
      <c r="G224" s="176"/>
    </row>
    <row r="225" spans="1:7" ht="12.75">
      <c r="A225" s="168" t="e">
        <f t="shared" si="0"/>
        <v>#REF!</v>
      </c>
      <c r="B225" s="175"/>
      <c r="C225" s="175"/>
      <c r="D225" s="175"/>
      <c r="E225" s="170"/>
      <c r="F225" s="169"/>
      <c r="G225" s="176"/>
    </row>
    <row r="226" spans="1:7" ht="12.75">
      <c r="A226" s="168" t="e">
        <f t="shared" si="0"/>
        <v>#REF!</v>
      </c>
      <c r="B226" s="175"/>
      <c r="C226" s="175"/>
      <c r="D226" s="175"/>
      <c r="E226" s="170"/>
      <c r="F226" s="169"/>
      <c r="G226" s="176"/>
    </row>
    <row r="227" spans="1:7" ht="12.75">
      <c r="A227" s="168" t="e">
        <f t="shared" si="0"/>
        <v>#REF!</v>
      </c>
      <c r="B227" s="175"/>
      <c r="C227" s="175"/>
      <c r="D227" s="175"/>
      <c r="E227" s="170"/>
      <c r="F227" s="169"/>
      <c r="G227" s="176"/>
    </row>
    <row r="228" spans="1:7" ht="12.75">
      <c r="A228" s="168" t="e">
        <f t="shared" si="0"/>
        <v>#REF!</v>
      </c>
      <c r="B228" s="175"/>
      <c r="C228" s="175"/>
      <c r="D228" s="175"/>
      <c r="E228" s="170"/>
      <c r="F228" s="169"/>
      <c r="G228" s="176"/>
    </row>
    <row r="229" spans="1:7" ht="12.75">
      <c r="A229" s="168" t="e">
        <f t="shared" si="0"/>
        <v>#REF!</v>
      </c>
      <c r="B229" s="175"/>
      <c r="C229" s="175"/>
      <c r="D229" s="175"/>
      <c r="E229" s="170"/>
      <c r="F229" s="169"/>
      <c r="G229" s="176"/>
    </row>
    <row r="230" spans="1:7" ht="12.75">
      <c r="A230" s="168" t="e">
        <f t="shared" si="0"/>
        <v>#REF!</v>
      </c>
      <c r="B230" s="175"/>
      <c r="C230" s="175"/>
      <c r="D230" s="175"/>
      <c r="E230" s="170"/>
      <c r="F230" s="169"/>
      <c r="G230" s="176"/>
    </row>
    <row r="231" spans="1:7" ht="12.75">
      <c r="A231" s="168" t="e">
        <f t="shared" si="0"/>
        <v>#REF!</v>
      </c>
      <c r="B231" s="175"/>
      <c r="C231" s="175"/>
      <c r="D231" s="175"/>
      <c r="E231" s="170"/>
      <c r="F231" s="169"/>
      <c r="G231" s="176"/>
    </row>
    <row r="232" spans="1:7" ht="12.75">
      <c r="A232" s="168" t="e">
        <f t="shared" si="0"/>
        <v>#REF!</v>
      </c>
      <c r="B232" s="175"/>
      <c r="C232" s="175"/>
      <c r="D232" s="175"/>
      <c r="E232" s="170"/>
      <c r="F232" s="169"/>
      <c r="G232" s="176"/>
    </row>
    <row r="233" spans="1:7" ht="12.75">
      <c r="A233" s="168" t="e">
        <f t="shared" si="0"/>
        <v>#REF!</v>
      </c>
      <c r="B233" s="175"/>
      <c r="C233" s="175"/>
      <c r="D233" s="175"/>
      <c r="E233" s="170"/>
      <c r="F233" s="169"/>
      <c r="G233" s="176"/>
    </row>
    <row r="234" spans="1:7" ht="12.75">
      <c r="A234" s="168" t="e">
        <f t="shared" si="0"/>
        <v>#REF!</v>
      </c>
      <c r="B234" s="175"/>
      <c r="C234" s="175"/>
      <c r="D234" s="175"/>
      <c r="E234" s="170"/>
      <c r="F234" s="169"/>
      <c r="G234" s="176"/>
    </row>
    <row r="235" spans="1:7" ht="12.75">
      <c r="A235" s="168" t="e">
        <f t="shared" si="0"/>
        <v>#REF!</v>
      </c>
      <c r="B235" s="175"/>
      <c r="C235" s="175"/>
      <c r="D235" s="175"/>
      <c r="E235" s="170"/>
      <c r="F235" s="169"/>
      <c r="G235" s="176"/>
    </row>
    <row r="236" spans="1:7" ht="12.75">
      <c r="A236" s="168" t="e">
        <f t="shared" si="0"/>
        <v>#REF!</v>
      </c>
      <c r="B236" s="175"/>
      <c r="C236" s="175"/>
      <c r="D236" s="175"/>
      <c r="E236" s="170"/>
      <c r="F236" s="169"/>
      <c r="G236" s="176"/>
    </row>
    <row r="237" spans="1:7" ht="12.75">
      <c r="A237" s="168" t="e">
        <f t="shared" si="0"/>
        <v>#REF!</v>
      </c>
      <c r="B237" s="175"/>
      <c r="C237" s="175"/>
      <c r="D237" s="175"/>
      <c r="E237" s="170"/>
      <c r="F237" s="169"/>
      <c r="G237" s="176"/>
    </row>
    <row r="238" spans="1:7" ht="12.75">
      <c r="A238" s="168" t="e">
        <f t="shared" si="0"/>
        <v>#REF!</v>
      </c>
      <c r="B238" s="175"/>
      <c r="C238" s="175"/>
      <c r="D238" s="175"/>
      <c r="E238" s="170"/>
      <c r="F238" s="169"/>
      <c r="G238" s="176"/>
    </row>
    <row r="239" spans="1:7" ht="12.75">
      <c r="A239" s="168" t="e">
        <f t="shared" si="0"/>
        <v>#REF!</v>
      </c>
      <c r="B239" s="175"/>
      <c r="C239" s="175"/>
      <c r="D239" s="175"/>
      <c r="E239" s="170"/>
      <c r="F239" s="169"/>
      <c r="G239" s="176"/>
    </row>
    <row r="240" spans="1:7" ht="12.75">
      <c r="A240" s="168" t="e">
        <f t="shared" si="0"/>
        <v>#REF!</v>
      </c>
      <c r="B240" s="175"/>
      <c r="C240" s="175"/>
      <c r="D240" s="175"/>
      <c r="E240" s="170"/>
      <c r="F240" s="169"/>
      <c r="G240" s="176"/>
    </row>
    <row r="241" spans="1:7" ht="12.75">
      <c r="A241" s="168" t="e">
        <f t="shared" si="0"/>
        <v>#REF!</v>
      </c>
      <c r="B241" s="175"/>
      <c r="C241" s="175"/>
      <c r="D241" s="175"/>
      <c r="E241" s="170"/>
      <c r="F241" s="169"/>
      <c r="G241" s="176"/>
    </row>
    <row r="242" spans="1:7" ht="12.75">
      <c r="A242" s="168" t="e">
        <f t="shared" si="0"/>
        <v>#REF!</v>
      </c>
      <c r="B242" s="175"/>
      <c r="C242" s="175"/>
      <c r="D242" s="175"/>
      <c r="E242" s="170"/>
      <c r="F242" s="169"/>
      <c r="G242" s="176"/>
    </row>
    <row r="243" spans="1:7" ht="12.75">
      <c r="A243" s="168" t="e">
        <f t="shared" si="0"/>
        <v>#REF!</v>
      </c>
      <c r="B243" s="175"/>
      <c r="C243" s="175"/>
      <c r="D243" s="175"/>
      <c r="E243" s="170"/>
      <c r="F243" s="169"/>
      <c r="G243" s="176"/>
    </row>
    <row r="244" spans="1:7" ht="12.75">
      <c r="A244" s="168" t="e">
        <f t="shared" si="0"/>
        <v>#REF!</v>
      </c>
      <c r="B244" s="175"/>
      <c r="C244" s="175"/>
      <c r="D244" s="175"/>
      <c r="E244" s="170"/>
      <c r="F244" s="169"/>
      <c r="G244" s="176"/>
    </row>
    <row r="245" spans="1:7" ht="12.75">
      <c r="A245" s="168" t="e">
        <f t="shared" si="0"/>
        <v>#REF!</v>
      </c>
      <c r="B245" s="175"/>
      <c r="C245" s="175"/>
      <c r="D245" s="175"/>
      <c r="E245" s="170"/>
      <c r="F245" s="169"/>
      <c r="G245" s="176"/>
    </row>
    <row r="246" spans="1:7" ht="12.75">
      <c r="A246" s="168" t="e">
        <f t="shared" si="0"/>
        <v>#REF!</v>
      </c>
      <c r="B246" s="175"/>
      <c r="C246" s="175"/>
      <c r="D246" s="175"/>
      <c r="E246" s="170"/>
      <c r="F246" s="169"/>
      <c r="G246" s="176"/>
    </row>
    <row r="247" spans="1:7" ht="12.75">
      <c r="A247" s="168" t="e">
        <f t="shared" si="0"/>
        <v>#REF!</v>
      </c>
      <c r="B247" s="175"/>
      <c r="C247" s="175"/>
      <c r="D247" s="175"/>
      <c r="E247" s="170"/>
      <c r="F247" s="169"/>
      <c r="G247" s="176"/>
    </row>
    <row r="248" spans="1:7" ht="12.75">
      <c r="A248" s="168" t="e">
        <f t="shared" si="0"/>
        <v>#REF!</v>
      </c>
      <c r="B248" s="175"/>
      <c r="C248" s="175"/>
      <c r="D248" s="175"/>
      <c r="E248" s="170"/>
      <c r="F248" s="169"/>
      <c r="G248" s="176"/>
    </row>
    <row r="249" spans="1:7" ht="12.75">
      <c r="A249" s="168" t="e">
        <f t="shared" si="0"/>
        <v>#REF!</v>
      </c>
      <c r="B249" s="175"/>
      <c r="C249" s="175"/>
      <c r="D249" s="175"/>
      <c r="E249" s="170"/>
      <c r="F249" s="169"/>
      <c r="G249" s="176"/>
    </row>
    <row r="250" spans="1:7" ht="12.75">
      <c r="A250" s="168" t="e">
        <f t="shared" si="0"/>
        <v>#REF!</v>
      </c>
      <c r="B250" s="175"/>
      <c r="C250" s="175"/>
      <c r="D250" s="175"/>
      <c r="E250" s="170"/>
      <c r="F250" s="169"/>
      <c r="G250" s="176"/>
    </row>
    <row r="251" spans="1:7" ht="12.75">
      <c r="A251" s="168" t="e">
        <f t="shared" si="0"/>
        <v>#REF!</v>
      </c>
      <c r="B251" s="175"/>
      <c r="C251" s="175"/>
      <c r="D251" s="175"/>
      <c r="E251" s="170"/>
      <c r="F251" s="169"/>
      <c r="G251" s="176"/>
    </row>
    <row r="252" spans="1:7" ht="12.75">
      <c r="A252" s="168" t="e">
        <f t="shared" si="0"/>
        <v>#REF!</v>
      </c>
      <c r="B252" s="175"/>
      <c r="C252" s="175"/>
      <c r="D252" s="175"/>
      <c r="E252" s="170"/>
      <c r="F252" s="169"/>
      <c r="G252" s="176"/>
    </row>
    <row r="253" spans="1:7" ht="12.75">
      <c r="A253" s="168" t="e">
        <f t="shared" si="0"/>
        <v>#REF!</v>
      </c>
      <c r="B253" s="175"/>
      <c r="C253" s="175"/>
      <c r="D253" s="175"/>
      <c r="E253" s="170"/>
      <c r="F253" s="169"/>
      <c r="G253" s="176"/>
    </row>
    <row r="254" spans="1:7" ht="12.75">
      <c r="A254" s="168" t="e">
        <f t="shared" si="0"/>
        <v>#REF!</v>
      </c>
      <c r="B254" s="175"/>
      <c r="C254" s="175"/>
      <c r="D254" s="175"/>
      <c r="E254" s="170"/>
      <c r="F254" s="169"/>
      <c r="G254" s="176"/>
    </row>
    <row r="255" spans="1:7" ht="12.75">
      <c r="A255" s="168" t="e">
        <f t="shared" si="0"/>
        <v>#REF!</v>
      </c>
      <c r="B255" s="175"/>
      <c r="C255" s="175"/>
      <c r="D255" s="175"/>
      <c r="E255" s="170"/>
      <c r="F255" s="169"/>
      <c r="G255" s="176"/>
    </row>
    <row r="256" spans="1:7" ht="12.75">
      <c r="A256" s="168" t="e">
        <f t="shared" si="0"/>
        <v>#REF!</v>
      </c>
      <c r="B256" s="175"/>
      <c r="C256" s="175"/>
      <c r="D256" s="175"/>
      <c r="E256" s="170"/>
      <c r="F256" s="169"/>
      <c r="G256" s="176"/>
    </row>
    <row r="257" spans="1:7" ht="12.75">
      <c r="A257" s="168" t="e">
        <f t="shared" si="0"/>
        <v>#REF!</v>
      </c>
      <c r="B257" s="175"/>
      <c r="C257" s="175"/>
      <c r="D257" s="175"/>
      <c r="E257" s="170"/>
      <c r="F257" s="169"/>
      <c r="G257" s="176"/>
    </row>
    <row r="258" spans="1:7" ht="12.75">
      <c r="A258" s="168" t="e">
        <f t="shared" si="0"/>
        <v>#REF!</v>
      </c>
      <c r="B258" s="175"/>
      <c r="C258" s="175"/>
      <c r="D258" s="175"/>
      <c r="E258" s="170"/>
      <c r="F258" s="169"/>
      <c r="G258" s="176"/>
    </row>
    <row r="259" spans="1:7" ht="12.75">
      <c r="A259" s="168" t="e">
        <f t="shared" si="0"/>
        <v>#REF!</v>
      </c>
      <c r="B259" s="175"/>
      <c r="C259" s="175"/>
      <c r="D259" s="175"/>
      <c r="E259" s="170"/>
      <c r="F259" s="169"/>
      <c r="G259" s="176"/>
    </row>
    <row r="260" spans="1:7" ht="12.75">
      <c r="A260" s="168" t="e">
        <f t="shared" si="0"/>
        <v>#REF!</v>
      </c>
      <c r="B260" s="175"/>
      <c r="C260" s="175"/>
      <c r="D260" s="175"/>
      <c r="E260" s="170"/>
      <c r="F260" s="169"/>
      <c r="G260" s="176"/>
    </row>
    <row r="261" spans="1:7" ht="12.75">
      <c r="A261" s="168" t="e">
        <f t="shared" si="0"/>
        <v>#REF!</v>
      </c>
      <c r="B261" s="175"/>
      <c r="C261" s="175"/>
      <c r="D261" s="175"/>
      <c r="E261" s="170"/>
      <c r="F261" s="169"/>
      <c r="G261" s="176"/>
    </row>
    <row r="262" spans="1:7" ht="12.75">
      <c r="A262" s="168" t="e">
        <f t="shared" si="0"/>
        <v>#REF!</v>
      </c>
      <c r="B262" s="175"/>
      <c r="C262" s="175"/>
      <c r="D262" s="175"/>
      <c r="E262" s="170"/>
      <c r="F262" s="169"/>
      <c r="G262" s="176"/>
    </row>
    <row r="263" spans="1:7" ht="12.75">
      <c r="A263" s="168" t="e">
        <f t="shared" si="0"/>
        <v>#REF!</v>
      </c>
      <c r="B263" s="175"/>
      <c r="C263" s="175"/>
      <c r="D263" s="175"/>
      <c r="E263" s="170"/>
      <c r="F263" s="169"/>
      <c r="G263" s="176"/>
    </row>
    <row r="264" spans="1:7" ht="12.75">
      <c r="A264" s="168" t="e">
        <f t="shared" si="0"/>
        <v>#REF!</v>
      </c>
      <c r="B264" s="175"/>
      <c r="C264" s="175"/>
      <c r="D264" s="175"/>
      <c r="E264" s="170"/>
      <c r="F264" s="169"/>
      <c r="G264" s="176"/>
    </row>
    <row r="265" spans="1:7" ht="12.75">
      <c r="A265" s="168" t="e">
        <f t="shared" si="0"/>
        <v>#REF!</v>
      </c>
      <c r="B265" s="175"/>
      <c r="C265" s="175"/>
      <c r="D265" s="175"/>
      <c r="E265" s="170"/>
      <c r="F265" s="169"/>
      <c r="G265" s="176"/>
    </row>
    <row r="266" spans="1:7" ht="12.75">
      <c r="A266" s="168" t="e">
        <f t="shared" si="0"/>
        <v>#REF!</v>
      </c>
      <c r="B266" s="175"/>
      <c r="C266" s="175"/>
      <c r="D266" s="175"/>
      <c r="E266" s="170"/>
      <c r="F266" s="169"/>
      <c r="G266" s="176"/>
    </row>
    <row r="267" spans="1:7" ht="12.75">
      <c r="A267" s="168" t="e">
        <f t="shared" si="0"/>
        <v>#REF!</v>
      </c>
      <c r="B267" s="175"/>
      <c r="C267" s="175"/>
      <c r="D267" s="175"/>
      <c r="E267" s="170"/>
      <c r="F267" s="169"/>
      <c r="G267" s="176"/>
    </row>
    <row r="268" spans="1:7" ht="12.75">
      <c r="A268" s="168" t="e">
        <f t="shared" si="0"/>
        <v>#REF!</v>
      </c>
      <c r="B268" s="175"/>
      <c r="C268" s="175"/>
      <c r="D268" s="175"/>
      <c r="E268" s="170"/>
      <c r="F268" s="169"/>
      <c r="G268" s="176"/>
    </row>
    <row r="269" spans="1:7" ht="12.75">
      <c r="A269" s="168" t="e">
        <f t="shared" si="0"/>
        <v>#REF!</v>
      </c>
      <c r="B269" s="175"/>
      <c r="C269" s="175"/>
      <c r="D269" s="175"/>
      <c r="E269" s="170"/>
      <c r="F269" s="169"/>
      <c r="G269" s="176"/>
    </row>
    <row r="270" spans="1:7" ht="12.75">
      <c r="A270" s="168" t="e">
        <f t="shared" si="0"/>
        <v>#REF!</v>
      </c>
      <c r="B270" s="175"/>
      <c r="C270" s="175"/>
      <c r="D270" s="175"/>
      <c r="E270" s="170"/>
      <c r="F270" s="169"/>
      <c r="G270" s="176"/>
    </row>
    <row r="271" spans="1:7" ht="12.75">
      <c r="A271" s="168" t="e">
        <f t="shared" si="0"/>
        <v>#REF!</v>
      </c>
      <c r="B271" s="175"/>
      <c r="C271" s="175"/>
      <c r="D271" s="175"/>
      <c r="E271" s="170"/>
      <c r="F271" s="169"/>
      <c r="G271" s="176"/>
    </row>
    <row r="272" spans="1:7" ht="12.75">
      <c r="A272" s="168" t="e">
        <f t="shared" si="0"/>
        <v>#REF!</v>
      </c>
      <c r="B272" s="175"/>
      <c r="C272" s="175"/>
      <c r="D272" s="175"/>
      <c r="E272" s="170"/>
      <c r="F272" s="169"/>
      <c r="G272" s="176"/>
    </row>
    <row r="273" spans="1:7" ht="12.75">
      <c r="A273" s="168" t="e">
        <f t="shared" si="0"/>
        <v>#REF!</v>
      </c>
      <c r="B273" s="175"/>
      <c r="C273" s="175"/>
      <c r="D273" s="175"/>
      <c r="E273" s="170"/>
      <c r="F273" s="169"/>
      <c r="G273" s="176"/>
    </row>
    <row r="274" spans="1:7" ht="12.75">
      <c r="A274" s="168" t="e">
        <f t="shared" si="0"/>
        <v>#REF!</v>
      </c>
      <c r="B274" s="175"/>
      <c r="C274" s="175"/>
      <c r="D274" s="175"/>
      <c r="E274" s="170"/>
      <c r="F274" s="169"/>
      <c r="G274" s="176"/>
    </row>
    <row r="275" spans="1:7" ht="12.75">
      <c r="A275" s="168" t="e">
        <f t="shared" si="0"/>
        <v>#REF!</v>
      </c>
      <c r="B275" s="175"/>
      <c r="C275" s="175"/>
      <c r="D275" s="175"/>
      <c r="E275" s="170"/>
      <c r="F275" s="169"/>
      <c r="G275" s="176"/>
    </row>
    <row r="276" spans="1:7" ht="12.75">
      <c r="A276" s="168" t="e">
        <f t="shared" si="0"/>
        <v>#REF!</v>
      </c>
      <c r="B276" s="175"/>
      <c r="C276" s="175"/>
      <c r="D276" s="175"/>
      <c r="E276" s="170"/>
      <c r="F276" s="169"/>
      <c r="G276" s="176"/>
    </row>
    <row r="277" spans="1:7" ht="12.75">
      <c r="A277" s="168" t="e">
        <f t="shared" si="0"/>
        <v>#REF!</v>
      </c>
      <c r="B277" s="175"/>
      <c r="C277" s="175"/>
      <c r="D277" s="175"/>
      <c r="E277" s="170"/>
      <c r="F277" s="169"/>
      <c r="G277" s="176"/>
    </row>
    <row r="278" spans="1:7" ht="12.75">
      <c r="A278" s="168" t="e">
        <f t="shared" si="0"/>
        <v>#REF!</v>
      </c>
      <c r="B278" s="175"/>
      <c r="C278" s="175"/>
      <c r="D278" s="175"/>
      <c r="E278" s="170"/>
      <c r="F278" s="169"/>
      <c r="G278" s="176"/>
    </row>
    <row r="279" spans="1:7" ht="12.75">
      <c r="A279" s="168" t="e">
        <f t="shared" si="0"/>
        <v>#REF!</v>
      </c>
      <c r="B279" s="175"/>
      <c r="C279" s="175"/>
      <c r="D279" s="175"/>
      <c r="E279" s="170"/>
      <c r="F279" s="169"/>
      <c r="G279" s="176"/>
    </row>
    <row r="280" spans="1:7" ht="12.75">
      <c r="A280" s="168" t="e">
        <f t="shared" si="0"/>
        <v>#REF!</v>
      </c>
      <c r="B280" s="175"/>
      <c r="C280" s="175"/>
      <c r="D280" s="175"/>
      <c r="E280" s="170"/>
      <c r="F280" s="169"/>
      <c r="G280" s="176"/>
    </row>
    <row r="281" spans="1:7" ht="12.75">
      <c r="A281" s="168" t="e">
        <f t="shared" si="0"/>
        <v>#REF!</v>
      </c>
      <c r="B281" s="175"/>
      <c r="C281" s="175"/>
      <c r="D281" s="175"/>
      <c r="E281" s="170"/>
      <c r="F281" s="169"/>
      <c r="G281" s="176"/>
    </row>
    <row r="282" spans="1:7" ht="12.75">
      <c r="A282" s="168" t="e">
        <f t="shared" si="0"/>
        <v>#REF!</v>
      </c>
      <c r="B282" s="175"/>
      <c r="C282" s="175"/>
      <c r="D282" s="175"/>
      <c r="E282" s="170"/>
      <c r="F282" s="169"/>
      <c r="G282" s="176"/>
    </row>
    <row r="283" spans="1:7" ht="12.75">
      <c r="A283" s="168" t="e">
        <f t="shared" si="0"/>
        <v>#REF!</v>
      </c>
      <c r="B283" s="175"/>
      <c r="C283" s="175"/>
      <c r="D283" s="175"/>
      <c r="E283" s="170"/>
      <c r="F283" s="169"/>
      <c r="G283" s="176"/>
    </row>
    <row r="284" spans="1:7" ht="12.75">
      <c r="A284" s="168" t="e">
        <f t="shared" si="0"/>
        <v>#REF!</v>
      </c>
      <c r="B284" s="175"/>
      <c r="C284" s="175"/>
      <c r="D284" s="175"/>
      <c r="E284" s="170"/>
      <c r="F284" s="169"/>
      <c r="G284" s="176"/>
    </row>
    <row r="285" spans="1:7" ht="12.75">
      <c r="A285" s="168" t="e">
        <f t="shared" si="0"/>
        <v>#REF!</v>
      </c>
      <c r="B285" s="175"/>
      <c r="C285" s="175"/>
      <c r="D285" s="175"/>
      <c r="E285" s="170"/>
      <c r="F285" s="169"/>
      <c r="G285" s="176"/>
    </row>
    <row r="286" spans="1:7" ht="12.75">
      <c r="A286" s="168" t="e">
        <f t="shared" si="0"/>
        <v>#REF!</v>
      </c>
      <c r="B286" s="175"/>
      <c r="C286" s="175"/>
      <c r="D286" s="175"/>
      <c r="E286" s="170"/>
      <c r="F286" s="169"/>
      <c r="G286" s="176"/>
    </row>
    <row r="287" spans="1:7" ht="12.75">
      <c r="A287" s="168" t="e">
        <f t="shared" si="0"/>
        <v>#REF!</v>
      </c>
      <c r="B287" s="175"/>
      <c r="C287" s="175"/>
      <c r="D287" s="175"/>
      <c r="E287" s="170"/>
      <c r="F287" s="169"/>
      <c r="G287" s="176"/>
    </row>
    <row r="288" spans="1:7" ht="12.75">
      <c r="A288" s="168" t="e">
        <f t="shared" si="0"/>
        <v>#REF!</v>
      </c>
      <c r="B288" s="175"/>
      <c r="C288" s="175"/>
      <c r="D288" s="175"/>
      <c r="E288" s="170"/>
      <c r="F288" s="169"/>
      <c r="G288" s="176"/>
    </row>
    <row r="289" spans="1:7" ht="12.75">
      <c r="A289" s="168" t="e">
        <f t="shared" si="0"/>
        <v>#REF!</v>
      </c>
      <c r="B289" s="175"/>
      <c r="C289" s="175"/>
      <c r="D289" s="175"/>
      <c r="E289" s="170"/>
      <c r="F289" s="169"/>
      <c r="G289" s="176"/>
    </row>
    <row r="290" spans="1:7" ht="12.75">
      <c r="A290" s="168" t="e">
        <f t="shared" si="0"/>
        <v>#REF!</v>
      </c>
      <c r="B290" s="175"/>
      <c r="C290" s="175"/>
      <c r="D290" s="175"/>
      <c r="E290" s="170"/>
      <c r="F290" s="169"/>
      <c r="G290" s="176"/>
    </row>
    <row r="291" spans="1:7" ht="12.75">
      <c r="A291" s="168" t="e">
        <f t="shared" si="0"/>
        <v>#REF!</v>
      </c>
      <c r="B291" s="175"/>
      <c r="C291" s="175"/>
      <c r="D291" s="175"/>
      <c r="E291" s="170"/>
      <c r="F291" s="169"/>
      <c r="G291" s="176"/>
    </row>
    <row r="292" spans="1:7" ht="12.75">
      <c r="A292" s="168" t="e">
        <f t="shared" si="0"/>
        <v>#REF!</v>
      </c>
      <c r="B292" s="175"/>
      <c r="C292" s="175"/>
      <c r="D292" s="175"/>
      <c r="E292" s="170"/>
      <c r="F292" s="169"/>
      <c r="G292" s="176"/>
    </row>
    <row r="293" spans="1:7" ht="12.75">
      <c r="A293" s="168" t="e">
        <f t="shared" si="0"/>
        <v>#REF!</v>
      </c>
      <c r="B293" s="175"/>
      <c r="C293" s="175"/>
      <c r="D293" s="175"/>
      <c r="E293" s="170"/>
      <c r="F293" s="169"/>
      <c r="G293" s="176"/>
    </row>
    <row r="294" spans="1:7" ht="12.75">
      <c r="A294" s="168" t="e">
        <f t="shared" si="0"/>
        <v>#REF!</v>
      </c>
      <c r="B294" s="175"/>
      <c r="C294" s="175"/>
      <c r="D294" s="175"/>
      <c r="E294" s="170"/>
      <c r="F294" s="169"/>
      <c r="G294" s="176"/>
    </row>
    <row r="295" spans="1:7" ht="12.75">
      <c r="A295" s="168" t="e">
        <f t="shared" si="0"/>
        <v>#REF!</v>
      </c>
      <c r="B295" s="175"/>
      <c r="C295" s="175"/>
      <c r="D295" s="175"/>
      <c r="E295" s="170"/>
      <c r="F295" s="169"/>
      <c r="G295" s="176"/>
    </row>
    <row r="296" spans="1:7" ht="12.75">
      <c r="A296" s="168" t="e">
        <f t="shared" si="0"/>
        <v>#REF!</v>
      </c>
      <c r="B296" s="175"/>
      <c r="C296" s="175"/>
      <c r="D296" s="175"/>
      <c r="E296" s="170"/>
      <c r="F296" s="169"/>
      <c r="G296" s="176"/>
    </row>
    <row r="297" spans="1:7" ht="12.75">
      <c r="A297" s="168" t="e">
        <f t="shared" si="0"/>
        <v>#REF!</v>
      </c>
      <c r="B297" s="175"/>
      <c r="C297" s="175"/>
      <c r="D297" s="175"/>
      <c r="E297" s="170"/>
      <c r="F297" s="169"/>
      <c r="G297" s="176"/>
    </row>
    <row r="298" spans="1:7" ht="12.75">
      <c r="A298" s="168" t="e">
        <f t="shared" si="0"/>
        <v>#REF!</v>
      </c>
      <c r="B298" s="175"/>
      <c r="C298" s="175"/>
      <c r="D298" s="175"/>
      <c r="E298" s="170"/>
      <c r="F298" s="169"/>
      <c r="G298" s="176"/>
    </row>
    <row r="299" spans="1:7" ht="12.75">
      <c r="A299" s="168" t="e">
        <f t="shared" si="0"/>
        <v>#REF!</v>
      </c>
      <c r="B299" s="175"/>
      <c r="C299" s="175"/>
      <c r="D299" s="175"/>
      <c r="E299" s="170"/>
      <c r="F299" s="169"/>
      <c r="G299" s="176"/>
    </row>
    <row r="300" spans="1:7" ht="12.75">
      <c r="A300" s="168" t="e">
        <f t="shared" si="0"/>
        <v>#REF!</v>
      </c>
      <c r="B300" s="175"/>
      <c r="C300" s="175"/>
      <c r="D300" s="175"/>
      <c r="E300" s="170"/>
      <c r="F300" s="169"/>
      <c r="G300" s="176"/>
    </row>
    <row r="301" spans="1:7" ht="12.75">
      <c r="A301" s="168" t="e">
        <f t="shared" si="0"/>
        <v>#REF!</v>
      </c>
      <c r="B301" s="175"/>
      <c r="C301" s="175"/>
      <c r="D301" s="175"/>
      <c r="E301" s="170"/>
      <c r="F301" s="169"/>
      <c r="G301" s="176"/>
    </row>
    <row r="302" spans="1:7" ht="12.75">
      <c r="A302" s="168" t="e">
        <f t="shared" si="0"/>
        <v>#REF!</v>
      </c>
      <c r="B302" s="175"/>
      <c r="C302" s="175"/>
      <c r="D302" s="175"/>
      <c r="E302" s="170"/>
      <c r="F302" s="169"/>
      <c r="G302" s="176"/>
    </row>
    <row r="303" spans="1:7" ht="12.75">
      <c r="A303" s="168" t="e">
        <f t="shared" si="0"/>
        <v>#REF!</v>
      </c>
      <c r="B303" s="175"/>
      <c r="C303" s="175"/>
      <c r="D303" s="175"/>
      <c r="E303" s="170"/>
      <c r="F303" s="169"/>
      <c r="G303" s="176"/>
    </row>
    <row r="304" spans="1:7" ht="12.75">
      <c r="A304" s="168" t="e">
        <f t="shared" si="0"/>
        <v>#REF!</v>
      </c>
      <c r="B304" s="175"/>
      <c r="C304" s="175"/>
      <c r="D304" s="175"/>
      <c r="E304" s="170"/>
      <c r="F304" s="169"/>
      <c r="G304" s="176"/>
    </row>
    <row r="305" spans="1:7" ht="12.75">
      <c r="A305" s="168" t="e">
        <f t="shared" si="0"/>
        <v>#REF!</v>
      </c>
      <c r="B305" s="175"/>
      <c r="C305" s="175"/>
      <c r="D305" s="175"/>
      <c r="E305" s="170"/>
      <c r="F305" s="169"/>
      <c r="G305" s="176"/>
    </row>
    <row r="306" spans="1:7" ht="12.75">
      <c r="A306" s="168" t="e">
        <f t="shared" si="0"/>
        <v>#REF!</v>
      </c>
      <c r="B306" s="175"/>
      <c r="C306" s="175"/>
      <c r="D306" s="175"/>
      <c r="E306" s="170"/>
      <c r="F306" s="169"/>
      <c r="G306" s="176"/>
    </row>
    <row r="307" spans="1:7" ht="12.75">
      <c r="A307" s="168" t="e">
        <f t="shared" si="0"/>
        <v>#REF!</v>
      </c>
      <c r="B307" s="175"/>
      <c r="C307" s="175"/>
      <c r="D307" s="175"/>
      <c r="E307" s="170"/>
      <c r="F307" s="169"/>
      <c r="G307" s="176"/>
    </row>
    <row r="308" spans="1:7" ht="12.75">
      <c r="A308" s="168" t="e">
        <f t="shared" si="0"/>
        <v>#REF!</v>
      </c>
      <c r="B308" s="175"/>
      <c r="C308" s="175"/>
      <c r="D308" s="175"/>
      <c r="E308" s="170"/>
      <c r="F308" s="169"/>
      <c r="G308" s="176"/>
    </row>
    <row r="309" spans="1:7" ht="12.75">
      <c r="A309" s="168" t="e">
        <f t="shared" si="0"/>
        <v>#REF!</v>
      </c>
      <c r="B309" s="175"/>
      <c r="C309" s="175"/>
      <c r="D309" s="175"/>
      <c r="E309" s="170"/>
      <c r="F309" s="169"/>
      <c r="G309" s="176"/>
    </row>
    <row r="310" spans="1:7" ht="12.75">
      <c r="A310" s="168" t="e">
        <f t="shared" si="0"/>
        <v>#REF!</v>
      </c>
      <c r="B310" s="175"/>
      <c r="C310" s="175"/>
      <c r="D310" s="175"/>
      <c r="E310" s="170"/>
      <c r="F310" s="169"/>
      <c r="G310" s="176"/>
    </row>
    <row r="311" spans="1:7" ht="12.75">
      <c r="A311" s="168" t="e">
        <f t="shared" si="0"/>
        <v>#REF!</v>
      </c>
      <c r="B311" s="175"/>
      <c r="C311" s="175"/>
      <c r="D311" s="175"/>
      <c r="E311" s="170"/>
      <c r="F311" s="169"/>
      <c r="G311" s="176"/>
    </row>
    <row r="312" spans="1:7" ht="12.75">
      <c r="A312" s="168" t="e">
        <f t="shared" si="0"/>
        <v>#REF!</v>
      </c>
      <c r="B312" s="175"/>
      <c r="C312" s="175"/>
      <c r="D312" s="175"/>
      <c r="E312" s="170"/>
      <c r="F312" s="169"/>
      <c r="G312" s="176"/>
    </row>
    <row r="313" spans="1:7" ht="12.75">
      <c r="A313" s="168" t="e">
        <f t="shared" si="0"/>
        <v>#REF!</v>
      </c>
      <c r="B313" s="175"/>
      <c r="C313" s="175"/>
      <c r="D313" s="175"/>
      <c r="E313" s="170"/>
      <c r="F313" s="169"/>
      <c r="G313" s="176"/>
    </row>
    <row r="314" spans="1:7" ht="12.75">
      <c r="A314" s="168" t="e">
        <f t="shared" si="0"/>
        <v>#REF!</v>
      </c>
      <c r="B314" s="175"/>
      <c r="C314" s="175"/>
      <c r="D314" s="175"/>
      <c r="E314" s="170"/>
      <c r="F314" s="169"/>
      <c r="G314" s="176"/>
    </row>
    <row r="315" spans="1:7" ht="12.75">
      <c r="A315" s="168" t="e">
        <f t="shared" si="0"/>
        <v>#REF!</v>
      </c>
      <c r="B315" s="175"/>
      <c r="C315" s="175"/>
      <c r="D315" s="175"/>
      <c r="E315" s="170"/>
      <c r="F315" s="169"/>
      <c r="G315" s="176"/>
    </row>
    <row r="316" spans="1:7" ht="12.75">
      <c r="A316" s="168" t="e">
        <f t="shared" si="0"/>
        <v>#REF!</v>
      </c>
      <c r="B316" s="175"/>
      <c r="C316" s="175"/>
      <c r="D316" s="175"/>
      <c r="E316" s="170"/>
      <c r="F316" s="169"/>
      <c r="G316" s="176"/>
    </row>
    <row r="317" spans="1:7" ht="12.75">
      <c r="A317" s="168" t="e">
        <f t="shared" si="0"/>
        <v>#REF!</v>
      </c>
      <c r="B317" s="175"/>
      <c r="C317" s="175"/>
      <c r="D317" s="175"/>
      <c r="E317" s="170"/>
      <c r="F317" s="169"/>
      <c r="G317" s="176"/>
    </row>
    <row r="318" spans="1:7" ht="12.75">
      <c r="A318" s="168" t="e">
        <f t="shared" si="0"/>
        <v>#REF!</v>
      </c>
      <c r="B318" s="175"/>
      <c r="C318" s="175"/>
      <c r="D318" s="175"/>
      <c r="E318" s="170"/>
      <c r="F318" s="169"/>
      <c r="G318" s="176"/>
    </row>
    <row r="319" spans="1:7" ht="12.75">
      <c r="A319" s="168" t="e">
        <f t="shared" si="0"/>
        <v>#REF!</v>
      </c>
      <c r="B319" s="175"/>
      <c r="C319" s="175"/>
      <c r="D319" s="175"/>
      <c r="E319" s="170"/>
      <c r="F319" s="169"/>
      <c r="G319" s="176"/>
    </row>
    <row r="320" spans="1:7" ht="12.75">
      <c r="A320" s="168" t="e">
        <f t="shared" si="0"/>
        <v>#REF!</v>
      </c>
      <c r="B320" s="175"/>
      <c r="C320" s="175"/>
      <c r="D320" s="175"/>
      <c r="E320" s="170"/>
      <c r="F320" s="169"/>
      <c r="G320" s="176"/>
    </row>
    <row r="321" spans="1:7" ht="12.75">
      <c r="A321" s="168" t="e">
        <f t="shared" si="0"/>
        <v>#REF!</v>
      </c>
      <c r="B321" s="175"/>
      <c r="C321" s="175"/>
      <c r="D321" s="175"/>
      <c r="E321" s="170"/>
      <c r="F321" s="169"/>
      <c r="G321" s="176"/>
    </row>
    <row r="322" spans="1:7" ht="12.75">
      <c r="A322" s="168" t="e">
        <f t="shared" si="0"/>
        <v>#REF!</v>
      </c>
      <c r="B322" s="175"/>
      <c r="C322" s="175"/>
      <c r="D322" s="175"/>
      <c r="E322" s="170"/>
      <c r="F322" s="169"/>
      <c r="G322" s="176"/>
    </row>
    <row r="323" spans="1:7" ht="12.75">
      <c r="A323" s="168" t="e">
        <f t="shared" si="0"/>
        <v>#REF!</v>
      </c>
      <c r="B323" s="175"/>
      <c r="C323" s="175"/>
      <c r="D323" s="175"/>
      <c r="E323" s="170"/>
      <c r="F323" s="169"/>
      <c r="G323" s="176"/>
    </row>
    <row r="324" spans="1:7" ht="12.75">
      <c r="A324" s="168" t="e">
        <f t="shared" si="0"/>
        <v>#REF!</v>
      </c>
      <c r="B324" s="175"/>
      <c r="C324" s="175"/>
      <c r="D324" s="175"/>
      <c r="E324" s="170"/>
      <c r="F324" s="169"/>
      <c r="G324" s="176"/>
    </row>
    <row r="325" spans="1:7" ht="12.75">
      <c r="A325" s="168" t="e">
        <f t="shared" si="0"/>
        <v>#REF!</v>
      </c>
      <c r="B325" s="175"/>
      <c r="C325" s="175"/>
      <c r="D325" s="175"/>
      <c r="E325" s="170"/>
      <c r="F325" s="169"/>
      <c r="G325" s="176"/>
    </row>
    <row r="326" spans="1:7" ht="12.75">
      <c r="A326" s="168" t="e">
        <f t="shared" si="0"/>
        <v>#REF!</v>
      </c>
      <c r="B326" s="175"/>
      <c r="C326" s="175"/>
      <c r="D326" s="175"/>
      <c r="E326" s="170"/>
      <c r="F326" s="169"/>
      <c r="G326" s="176"/>
    </row>
    <row r="327" spans="1:7" ht="12.75">
      <c r="A327" s="168" t="e">
        <f t="shared" si="0"/>
        <v>#REF!</v>
      </c>
      <c r="B327" s="175"/>
      <c r="C327" s="175"/>
      <c r="D327" s="175"/>
      <c r="E327" s="170"/>
      <c r="F327" s="169"/>
      <c r="G327" s="176"/>
    </row>
    <row r="328" spans="1:7" ht="12.75">
      <c r="A328" s="168" t="e">
        <f t="shared" si="0"/>
        <v>#REF!</v>
      </c>
      <c r="B328" s="175"/>
      <c r="C328" s="175"/>
      <c r="D328" s="175"/>
      <c r="E328" s="170"/>
      <c r="F328" s="169"/>
      <c r="G328" s="176"/>
    </row>
    <row r="329" spans="1:7" ht="12.75">
      <c r="A329" s="168" t="e">
        <f t="shared" si="0"/>
        <v>#REF!</v>
      </c>
      <c r="B329" s="175"/>
      <c r="C329" s="175"/>
      <c r="D329" s="175"/>
      <c r="E329" s="170"/>
      <c r="F329" s="169"/>
      <c r="G329" s="176"/>
    </row>
    <row r="330" spans="1:7" ht="12.75">
      <c r="A330" s="168" t="e">
        <f t="shared" si="0"/>
        <v>#REF!</v>
      </c>
      <c r="B330" s="175"/>
      <c r="C330" s="175"/>
      <c r="D330" s="175"/>
      <c r="E330" s="170"/>
      <c r="F330" s="169"/>
      <c r="G330" s="176"/>
    </row>
    <row r="331" spans="1:7" ht="12.75">
      <c r="A331" s="168" t="e">
        <f t="shared" si="0"/>
        <v>#REF!</v>
      </c>
      <c r="B331" s="175"/>
      <c r="C331" s="175"/>
      <c r="D331" s="175"/>
      <c r="E331" s="170"/>
      <c r="F331" s="169"/>
      <c r="G331" s="176"/>
    </row>
    <row r="332" spans="1:7" ht="12.75">
      <c r="A332" s="168" t="e">
        <f t="shared" si="0"/>
        <v>#REF!</v>
      </c>
      <c r="B332" s="175"/>
      <c r="C332" s="175"/>
      <c r="D332" s="175"/>
      <c r="E332" s="170"/>
      <c r="F332" s="169"/>
      <c r="G332" s="176"/>
    </row>
    <row r="333" spans="1:7" ht="12.75">
      <c r="A333" s="168" t="e">
        <f t="shared" si="0"/>
        <v>#REF!</v>
      </c>
      <c r="B333" s="175"/>
      <c r="C333" s="175"/>
      <c r="D333" s="175"/>
      <c r="E333" s="170"/>
      <c r="F333" s="169"/>
      <c r="G333" s="176"/>
    </row>
    <row r="334" spans="1:7" ht="12.75">
      <c r="A334" s="168" t="e">
        <f t="shared" si="0"/>
        <v>#REF!</v>
      </c>
      <c r="B334" s="175"/>
      <c r="C334" s="175"/>
      <c r="D334" s="175"/>
      <c r="E334" s="170"/>
      <c r="F334" s="169"/>
      <c r="G334" s="176"/>
    </row>
    <row r="335" spans="1:7" ht="12.75">
      <c r="A335" s="168" t="e">
        <f t="shared" si="0"/>
        <v>#REF!</v>
      </c>
      <c r="B335" s="175"/>
      <c r="C335" s="175"/>
      <c r="D335" s="175"/>
      <c r="E335" s="170"/>
      <c r="F335" s="169"/>
      <c r="G335" s="176"/>
    </row>
    <row r="336" spans="1:7" ht="12.75">
      <c r="A336" s="168" t="e">
        <f t="shared" si="0"/>
        <v>#REF!</v>
      </c>
      <c r="B336" s="175"/>
      <c r="C336" s="175"/>
      <c r="D336" s="175"/>
      <c r="E336" s="170"/>
      <c r="F336" s="169"/>
      <c r="G336" s="176"/>
    </row>
    <row r="337" spans="1:7" ht="12.75">
      <c r="A337" s="168" t="e">
        <f t="shared" si="0"/>
        <v>#REF!</v>
      </c>
      <c r="B337" s="175"/>
      <c r="C337" s="175"/>
      <c r="D337" s="175"/>
      <c r="E337" s="170"/>
      <c r="F337" s="169"/>
      <c r="G337" s="176"/>
    </row>
    <row r="338" spans="1:7" ht="12.75">
      <c r="A338" s="168" t="e">
        <f t="shared" si="0"/>
        <v>#REF!</v>
      </c>
      <c r="B338" s="175"/>
      <c r="C338" s="175"/>
      <c r="D338" s="175"/>
      <c r="E338" s="170"/>
      <c r="F338" s="169"/>
      <c r="G338" s="176"/>
    </row>
    <row r="339" spans="1:7" ht="12.75">
      <c r="A339" s="168" t="e">
        <f t="shared" si="0"/>
        <v>#REF!</v>
      </c>
      <c r="B339" s="175"/>
      <c r="C339" s="175"/>
      <c r="D339" s="175"/>
      <c r="E339" s="170"/>
      <c r="F339" s="169"/>
      <c r="G339" s="176"/>
    </row>
    <row r="340" spans="1:7" ht="12.75">
      <c r="A340" s="168" t="e">
        <f t="shared" si="0"/>
        <v>#REF!</v>
      </c>
      <c r="B340" s="175"/>
      <c r="C340" s="175"/>
      <c r="D340" s="175"/>
      <c r="E340" s="170"/>
      <c r="F340" s="169"/>
      <c r="G340" s="176"/>
    </row>
    <row r="341" spans="1:7" ht="12.75">
      <c r="A341" s="168" t="e">
        <f t="shared" si="0"/>
        <v>#REF!</v>
      </c>
      <c r="B341" s="175"/>
      <c r="C341" s="175"/>
      <c r="D341" s="175"/>
      <c r="E341" s="170"/>
      <c r="F341" s="169"/>
      <c r="G341" s="176"/>
    </row>
    <row r="342" spans="1:7" ht="12.75">
      <c r="A342" s="168" t="e">
        <f t="shared" si="0"/>
        <v>#REF!</v>
      </c>
      <c r="B342" s="175"/>
      <c r="C342" s="175"/>
      <c r="D342" s="175"/>
      <c r="E342" s="170"/>
      <c r="F342" s="169"/>
      <c r="G342" s="176"/>
    </row>
    <row r="343" spans="1:7" ht="12.75">
      <c r="A343" s="168" t="e">
        <f t="shared" si="0"/>
        <v>#REF!</v>
      </c>
      <c r="B343" s="175"/>
      <c r="C343" s="175"/>
      <c r="D343" s="175"/>
      <c r="E343" s="170"/>
      <c r="F343" s="169"/>
      <c r="G343" s="176"/>
    </row>
    <row r="344" spans="1:7" ht="12.75">
      <c r="A344" s="168" t="e">
        <f t="shared" si="0"/>
        <v>#REF!</v>
      </c>
      <c r="B344" s="175"/>
      <c r="C344" s="175"/>
      <c r="D344" s="175"/>
      <c r="E344" s="170"/>
      <c r="F344" s="169"/>
      <c r="G344" s="176"/>
    </row>
    <row r="345" spans="1:7" ht="12.75">
      <c r="A345" s="168" t="e">
        <f t="shared" si="0"/>
        <v>#REF!</v>
      </c>
      <c r="B345" s="175"/>
      <c r="C345" s="175"/>
      <c r="D345" s="175"/>
      <c r="E345" s="170"/>
      <c r="F345" s="169"/>
      <c r="G345" s="176"/>
    </row>
    <row r="346" spans="1:7" ht="12.75">
      <c r="A346" s="168" t="e">
        <f t="shared" si="0"/>
        <v>#REF!</v>
      </c>
      <c r="B346" s="175"/>
      <c r="C346" s="175"/>
      <c r="D346" s="175"/>
      <c r="E346" s="170"/>
      <c r="F346" s="169"/>
      <c r="G346" s="176"/>
    </row>
    <row r="347" spans="1:7" ht="12.75">
      <c r="A347" s="168" t="e">
        <f t="shared" si="0"/>
        <v>#REF!</v>
      </c>
      <c r="B347" s="175"/>
      <c r="C347" s="175"/>
      <c r="D347" s="175"/>
      <c r="E347" s="170"/>
      <c r="F347" s="169"/>
      <c r="G347" s="176"/>
    </row>
    <row r="348" spans="1:7" ht="12.75">
      <c r="A348" s="168" t="e">
        <f t="shared" si="0"/>
        <v>#REF!</v>
      </c>
      <c r="B348" s="175"/>
      <c r="C348" s="175"/>
      <c r="D348" s="175"/>
      <c r="E348" s="170"/>
      <c r="F348" s="169"/>
      <c r="G348" s="176"/>
    </row>
    <row r="349" spans="1:7" ht="12.75">
      <c r="A349" s="168" t="e">
        <f t="shared" si="0"/>
        <v>#REF!</v>
      </c>
      <c r="B349" s="175"/>
      <c r="C349" s="175"/>
      <c r="D349" s="175"/>
      <c r="E349" s="170"/>
      <c r="F349" s="169"/>
      <c r="G349" s="176"/>
    </row>
    <row r="350" spans="1:7" ht="12.75">
      <c r="A350" s="168" t="e">
        <f t="shared" si="0"/>
        <v>#REF!</v>
      </c>
      <c r="B350" s="175"/>
      <c r="C350" s="175"/>
      <c r="D350" s="175"/>
      <c r="E350" s="170"/>
      <c r="F350" s="169"/>
      <c r="G350" s="176"/>
    </row>
    <row r="351" spans="1:7" ht="12.75">
      <c r="A351" s="168" t="e">
        <f t="shared" si="0"/>
        <v>#REF!</v>
      </c>
      <c r="B351" s="175"/>
      <c r="C351" s="175"/>
      <c r="D351" s="175"/>
      <c r="E351" s="170"/>
      <c r="F351" s="169"/>
      <c r="G351" s="176"/>
    </row>
    <row r="352" spans="1:7" ht="12.75">
      <c r="A352" s="168" t="e">
        <f t="shared" si="0"/>
        <v>#REF!</v>
      </c>
      <c r="B352" s="175"/>
      <c r="C352" s="175"/>
      <c r="D352" s="175"/>
      <c r="E352" s="170"/>
      <c r="F352" s="169"/>
      <c r="G352" s="176"/>
    </row>
    <row r="353" spans="1:7" ht="12.75">
      <c r="A353" s="168" t="e">
        <f t="shared" si="0"/>
        <v>#REF!</v>
      </c>
      <c r="B353" s="175"/>
      <c r="C353" s="175"/>
      <c r="D353" s="175"/>
      <c r="E353" s="170"/>
      <c r="F353" s="169"/>
      <c r="G353" s="176"/>
    </row>
    <row r="354" spans="1:7" ht="12.75">
      <c r="A354" s="168" t="e">
        <f t="shared" si="0"/>
        <v>#REF!</v>
      </c>
      <c r="B354" s="175"/>
      <c r="C354" s="175"/>
      <c r="D354" s="175"/>
      <c r="E354" s="170"/>
      <c r="F354" s="169"/>
      <c r="G354" s="176"/>
    </row>
    <row r="355" spans="1:7" ht="12.75">
      <c r="A355" s="168" t="e">
        <f t="shared" si="0"/>
        <v>#REF!</v>
      </c>
      <c r="B355" s="175"/>
      <c r="C355" s="175"/>
      <c r="D355" s="175"/>
      <c r="E355" s="170"/>
      <c r="F355" s="169"/>
      <c r="G355" s="176"/>
    </row>
    <row r="356" spans="1:7" ht="12.75">
      <c r="A356" s="168" t="e">
        <f t="shared" si="0"/>
        <v>#REF!</v>
      </c>
      <c r="B356" s="175"/>
      <c r="C356" s="175"/>
      <c r="D356" s="175"/>
      <c r="E356" s="170"/>
      <c r="F356" s="169"/>
      <c r="G356" s="176"/>
    </row>
    <row r="357" spans="1:7" ht="12.75">
      <c r="A357" s="168" t="e">
        <f t="shared" si="0"/>
        <v>#REF!</v>
      </c>
      <c r="B357" s="175"/>
      <c r="C357" s="175"/>
      <c r="D357" s="175"/>
      <c r="E357" s="170"/>
      <c r="F357" s="169"/>
      <c r="G357" s="176"/>
    </row>
    <row r="358" spans="1:7" ht="12.75">
      <c r="A358" s="168" t="e">
        <f t="shared" si="0"/>
        <v>#REF!</v>
      </c>
      <c r="B358" s="175"/>
      <c r="C358" s="175"/>
      <c r="D358" s="175"/>
      <c r="E358" s="170"/>
      <c r="F358" s="169"/>
      <c r="G358" s="176"/>
    </row>
    <row r="359" spans="1:7" ht="12.75">
      <c r="A359" s="168" t="e">
        <f t="shared" si="0"/>
        <v>#REF!</v>
      </c>
      <c r="B359" s="175"/>
      <c r="C359" s="175"/>
      <c r="D359" s="175"/>
      <c r="E359" s="170"/>
      <c r="F359" s="169"/>
      <c r="G359" s="176"/>
    </row>
    <row r="360" spans="1:7" ht="12.75">
      <c r="A360" s="168" t="e">
        <f t="shared" si="0"/>
        <v>#REF!</v>
      </c>
      <c r="B360" s="175"/>
      <c r="C360" s="175"/>
      <c r="D360" s="175"/>
      <c r="E360" s="170"/>
      <c r="F360" s="169"/>
      <c r="G360" s="176"/>
    </row>
    <row r="361" spans="1:7" ht="12.75">
      <c r="A361" s="168" t="e">
        <f t="shared" si="0"/>
        <v>#REF!</v>
      </c>
      <c r="B361" s="175"/>
      <c r="C361" s="175"/>
      <c r="D361" s="175"/>
      <c r="E361" s="170"/>
      <c r="F361" s="169"/>
      <c r="G361" s="176"/>
    </row>
    <row r="362" spans="1:7" ht="12.75">
      <c r="A362" s="168" t="e">
        <f t="shared" si="0"/>
        <v>#REF!</v>
      </c>
      <c r="B362" s="175"/>
      <c r="C362" s="175"/>
      <c r="D362" s="175"/>
      <c r="E362" s="170"/>
      <c r="F362" s="169"/>
      <c r="G362" s="176"/>
    </row>
    <row r="363" spans="1:7" ht="12.75">
      <c r="A363" s="168" t="e">
        <f t="shared" si="0"/>
        <v>#REF!</v>
      </c>
      <c r="B363" s="175"/>
      <c r="C363" s="175"/>
      <c r="D363" s="175"/>
      <c r="E363" s="170"/>
      <c r="F363" s="169"/>
      <c r="G363" s="176"/>
    </row>
    <row r="364" spans="1:7" ht="12.75">
      <c r="A364" s="168" t="e">
        <f t="shared" si="0"/>
        <v>#REF!</v>
      </c>
      <c r="B364" s="175"/>
      <c r="C364" s="175"/>
      <c r="D364" s="175"/>
      <c r="E364" s="170"/>
      <c r="F364" s="169"/>
      <c r="G364" s="176"/>
    </row>
    <row r="365" spans="1:7" ht="12.75">
      <c r="A365" s="168" t="e">
        <f t="shared" si="0"/>
        <v>#REF!</v>
      </c>
      <c r="B365" s="175"/>
      <c r="C365" s="175"/>
      <c r="D365" s="175"/>
      <c r="E365" s="170"/>
      <c r="F365" s="169"/>
      <c r="G365" s="176"/>
    </row>
    <row r="366" spans="1:7" ht="12.75">
      <c r="A366" s="168" t="e">
        <f t="shared" si="0"/>
        <v>#REF!</v>
      </c>
      <c r="B366" s="175"/>
      <c r="C366" s="175"/>
      <c r="D366" s="175"/>
      <c r="E366" s="170"/>
      <c r="F366" s="169"/>
      <c r="G366" s="176"/>
    </row>
    <row r="367" spans="1:7" ht="12.75">
      <c r="A367" s="168" t="e">
        <f t="shared" si="0"/>
        <v>#REF!</v>
      </c>
      <c r="B367" s="175"/>
      <c r="C367" s="175"/>
      <c r="D367" s="175"/>
      <c r="E367" s="170"/>
      <c r="F367" s="169"/>
      <c r="G367" s="176"/>
    </row>
    <row r="368" spans="1:7" ht="12.75">
      <c r="A368" s="168" t="e">
        <f t="shared" si="0"/>
        <v>#REF!</v>
      </c>
      <c r="B368" s="175"/>
      <c r="C368" s="175"/>
      <c r="D368" s="175"/>
      <c r="E368" s="170"/>
      <c r="F368" s="169"/>
      <c r="G368" s="176"/>
    </row>
    <row r="369" spans="1:7" ht="12.75">
      <c r="A369" s="168" t="e">
        <f t="shared" si="0"/>
        <v>#REF!</v>
      </c>
      <c r="B369" s="175"/>
      <c r="C369" s="175"/>
      <c r="D369" s="175"/>
      <c r="E369" s="170"/>
      <c r="F369" s="169"/>
      <c r="G369" s="176"/>
    </row>
    <row r="370" spans="1:7" ht="12.75">
      <c r="A370" s="168" t="e">
        <f t="shared" si="0"/>
        <v>#REF!</v>
      </c>
      <c r="B370" s="175"/>
      <c r="C370" s="175"/>
      <c r="D370" s="175"/>
      <c r="E370" s="170"/>
      <c r="F370" s="169"/>
      <c r="G370" s="176"/>
    </row>
    <row r="371" spans="1:7" ht="12.75">
      <c r="A371" s="168" t="e">
        <f t="shared" si="0"/>
        <v>#REF!</v>
      </c>
      <c r="B371" s="175"/>
      <c r="C371" s="175"/>
      <c r="D371" s="175"/>
      <c r="E371" s="170"/>
      <c r="F371" s="169"/>
      <c r="G371" s="176"/>
    </row>
    <row r="372" spans="1:7" ht="12.75">
      <c r="A372" s="168" t="e">
        <f t="shared" si="0"/>
        <v>#REF!</v>
      </c>
      <c r="B372" s="175"/>
      <c r="C372" s="175"/>
      <c r="D372" s="175"/>
      <c r="E372" s="170"/>
      <c r="F372" s="169"/>
      <c r="G372" s="176"/>
    </row>
    <row r="373" spans="1:7" ht="12.75">
      <c r="A373" s="168" t="e">
        <f t="shared" si="0"/>
        <v>#REF!</v>
      </c>
      <c r="B373" s="175"/>
      <c r="C373" s="175"/>
      <c r="D373" s="175"/>
      <c r="E373" s="170"/>
      <c r="F373" s="169"/>
      <c r="G373" s="176"/>
    </row>
    <row r="374" spans="1:7" ht="12.75">
      <c r="A374" s="168" t="e">
        <f t="shared" si="0"/>
        <v>#REF!</v>
      </c>
      <c r="B374" s="175"/>
      <c r="C374" s="175"/>
      <c r="D374" s="175"/>
      <c r="E374" s="170"/>
      <c r="F374" s="169"/>
      <c r="G374" s="176"/>
    </row>
    <row r="375" spans="1:7" ht="12.75">
      <c r="A375" s="168" t="e">
        <f t="shared" si="0"/>
        <v>#REF!</v>
      </c>
      <c r="B375" s="175"/>
      <c r="C375" s="175"/>
      <c r="D375" s="175"/>
      <c r="E375" s="170"/>
      <c r="F375" s="169"/>
      <c r="G375" s="176"/>
    </row>
    <row r="376" spans="1:7" ht="12.75">
      <c r="A376" s="168" t="e">
        <f t="shared" si="0"/>
        <v>#REF!</v>
      </c>
      <c r="B376" s="175"/>
      <c r="C376" s="175"/>
      <c r="D376" s="175"/>
      <c r="E376" s="170"/>
      <c r="F376" s="169"/>
      <c r="G376" s="176"/>
    </row>
    <row r="377" spans="1:7" ht="12.75">
      <c r="A377" s="168" t="e">
        <f t="shared" si="0"/>
        <v>#REF!</v>
      </c>
      <c r="B377" s="175"/>
      <c r="C377" s="175"/>
      <c r="D377" s="175"/>
      <c r="E377" s="170"/>
      <c r="F377" s="169"/>
      <c r="G377" s="176"/>
    </row>
    <row r="378" spans="1:7" ht="12.75">
      <c r="A378" s="168" t="e">
        <f t="shared" si="0"/>
        <v>#REF!</v>
      </c>
      <c r="B378" s="175"/>
      <c r="C378" s="175"/>
      <c r="D378" s="175"/>
      <c r="E378" s="170"/>
      <c r="F378" s="169"/>
      <c r="G378" s="176"/>
    </row>
    <row r="379" spans="1:7" ht="12.75">
      <c r="A379" s="168" t="e">
        <f t="shared" si="0"/>
        <v>#REF!</v>
      </c>
      <c r="B379" s="175"/>
      <c r="C379" s="175"/>
      <c r="D379" s="175"/>
      <c r="E379" s="170"/>
      <c r="F379" s="169"/>
      <c r="G379" s="176"/>
    </row>
    <row r="380" spans="1:7" ht="12.75">
      <c r="A380" s="168" t="e">
        <f t="shared" si="0"/>
        <v>#REF!</v>
      </c>
      <c r="B380" s="175"/>
      <c r="C380" s="175"/>
      <c r="D380" s="175"/>
      <c r="E380" s="170"/>
      <c r="F380" s="169"/>
      <c r="G380" s="176"/>
    </row>
    <row r="381" spans="1:7" ht="12.75">
      <c r="A381" s="168" t="e">
        <f t="shared" si="0"/>
        <v>#REF!</v>
      </c>
      <c r="B381" s="175"/>
      <c r="C381" s="175"/>
      <c r="D381" s="175"/>
      <c r="E381" s="170"/>
      <c r="F381" s="169"/>
      <c r="G381" s="176"/>
    </row>
    <row r="382" spans="1:7" ht="12.75">
      <c r="A382" s="168" t="e">
        <f t="shared" si="0"/>
        <v>#REF!</v>
      </c>
      <c r="B382" s="175"/>
      <c r="C382" s="175"/>
      <c r="D382" s="175"/>
      <c r="E382" s="170"/>
      <c r="F382" s="169"/>
      <c r="G382" s="176"/>
    </row>
    <row r="383" spans="1:7" ht="12.75">
      <c r="A383" s="168" t="e">
        <f t="shared" si="0"/>
        <v>#REF!</v>
      </c>
      <c r="B383" s="175"/>
      <c r="C383" s="175"/>
      <c r="D383" s="175"/>
      <c r="E383" s="170"/>
      <c r="F383" s="169"/>
      <c r="G383" s="176"/>
    </row>
    <row r="384" spans="1:7" ht="12.75">
      <c r="A384" s="168" t="e">
        <f t="shared" si="0"/>
        <v>#REF!</v>
      </c>
      <c r="B384" s="175"/>
      <c r="C384" s="175"/>
      <c r="D384" s="175"/>
      <c r="E384" s="170"/>
      <c r="F384" s="169"/>
      <c r="G384" s="176"/>
    </row>
    <row r="385" spans="1:7" ht="12.75">
      <c r="A385" s="168" t="e">
        <f t="shared" si="0"/>
        <v>#REF!</v>
      </c>
      <c r="B385" s="175"/>
      <c r="C385" s="175"/>
      <c r="D385" s="175"/>
      <c r="E385" s="170"/>
      <c r="F385" s="169"/>
      <c r="G385" s="176"/>
    </row>
    <row r="386" spans="1:7" ht="12.75">
      <c r="A386" s="168" t="e">
        <f t="shared" si="0"/>
        <v>#REF!</v>
      </c>
      <c r="B386" s="175"/>
      <c r="C386" s="175"/>
      <c r="D386" s="175"/>
      <c r="E386" s="170"/>
      <c r="F386" s="169"/>
      <c r="G386" s="176"/>
    </row>
    <row r="387" spans="1:7" ht="12.75">
      <c r="A387" s="168" t="e">
        <f t="shared" si="0"/>
        <v>#REF!</v>
      </c>
      <c r="B387" s="175"/>
      <c r="C387" s="175"/>
      <c r="D387" s="175"/>
      <c r="E387" s="170"/>
      <c r="F387" s="169"/>
      <c r="G387" s="176"/>
    </row>
    <row r="388" spans="1:7" ht="12.75">
      <c r="A388" s="168" t="e">
        <f t="shared" si="0"/>
        <v>#REF!</v>
      </c>
      <c r="B388" s="175"/>
      <c r="C388" s="175"/>
      <c r="D388" s="175"/>
      <c r="E388" s="170"/>
      <c r="F388" s="169"/>
      <c r="G388" s="176"/>
    </row>
    <row r="389" spans="1:7" ht="12.75">
      <c r="A389" s="168" t="e">
        <f t="shared" si="0"/>
        <v>#REF!</v>
      </c>
      <c r="B389" s="175"/>
      <c r="C389" s="175"/>
      <c r="D389" s="175"/>
      <c r="E389" s="170"/>
      <c r="F389" s="169"/>
      <c r="G389" s="176"/>
    </row>
    <row r="390" spans="1:7" ht="12.75">
      <c r="A390" s="168" t="e">
        <f t="shared" si="0"/>
        <v>#REF!</v>
      </c>
      <c r="B390" s="175"/>
      <c r="C390" s="175"/>
      <c r="D390" s="175"/>
      <c r="E390" s="170"/>
      <c r="F390" s="169"/>
      <c r="G390" s="176"/>
    </row>
    <row r="391" spans="1:7" ht="12.75">
      <c r="A391" s="168" t="e">
        <f t="shared" si="0"/>
        <v>#REF!</v>
      </c>
      <c r="B391" s="175"/>
      <c r="C391" s="175"/>
      <c r="D391" s="175"/>
      <c r="E391" s="170"/>
      <c r="F391" s="169"/>
      <c r="G391" s="176"/>
    </row>
    <row r="392" spans="1:7" ht="12.75">
      <c r="A392" s="168" t="e">
        <f t="shared" si="0"/>
        <v>#REF!</v>
      </c>
      <c r="B392" s="175"/>
      <c r="C392" s="175"/>
      <c r="D392" s="175"/>
      <c r="E392" s="170"/>
      <c r="F392" s="169"/>
      <c r="G392" s="176"/>
    </row>
    <row r="393" spans="1:7" ht="12.75">
      <c r="A393" s="168" t="e">
        <f t="shared" si="0"/>
        <v>#REF!</v>
      </c>
      <c r="B393" s="175"/>
      <c r="C393" s="175"/>
      <c r="D393" s="175"/>
      <c r="E393" s="170"/>
      <c r="F393" s="169"/>
      <c r="G393" s="176"/>
    </row>
    <row r="394" spans="1:7" ht="12.75">
      <c r="A394" s="168" t="e">
        <f t="shared" si="0"/>
        <v>#REF!</v>
      </c>
      <c r="B394" s="175"/>
      <c r="C394" s="175"/>
      <c r="D394" s="175"/>
      <c r="E394" s="170"/>
      <c r="F394" s="169"/>
      <c r="G394" s="176"/>
    </row>
    <row r="395" spans="1:7" ht="12.75">
      <c r="A395" s="168" t="e">
        <f t="shared" si="0"/>
        <v>#REF!</v>
      </c>
      <c r="B395" s="175"/>
      <c r="C395" s="175"/>
      <c r="D395" s="175"/>
      <c r="E395" s="170"/>
      <c r="F395" s="169"/>
      <c r="G395" s="176"/>
    </row>
    <row r="396" spans="1:7" ht="12.75">
      <c r="A396" s="168" t="e">
        <f t="shared" si="0"/>
        <v>#REF!</v>
      </c>
      <c r="B396" s="175"/>
      <c r="C396" s="175"/>
      <c r="D396" s="175"/>
      <c r="E396" s="170"/>
      <c r="F396" s="169"/>
      <c r="G396" s="176"/>
    </row>
    <row r="397" spans="1:7" ht="12.75">
      <c r="A397" s="168" t="e">
        <f t="shared" si="0"/>
        <v>#REF!</v>
      </c>
      <c r="B397" s="175"/>
      <c r="C397" s="175"/>
      <c r="D397" s="175"/>
      <c r="E397" s="170"/>
      <c r="F397" s="169"/>
      <c r="G397" s="176"/>
    </row>
    <row r="398" spans="1:7" ht="12.75">
      <c r="A398" s="168" t="e">
        <f t="shared" si="0"/>
        <v>#REF!</v>
      </c>
      <c r="B398" s="175"/>
      <c r="C398" s="175"/>
      <c r="D398" s="175"/>
      <c r="E398" s="170"/>
      <c r="F398" s="169"/>
      <c r="G398" s="176"/>
    </row>
    <row r="399" spans="1:7" ht="12.75">
      <c r="A399" s="168" t="e">
        <f t="shared" si="0"/>
        <v>#REF!</v>
      </c>
      <c r="B399" s="175"/>
      <c r="C399" s="175"/>
      <c r="D399" s="175"/>
      <c r="E399" s="170"/>
      <c r="F399" s="169"/>
      <c r="G399" s="176"/>
    </row>
    <row r="400" spans="1:7" ht="12.75">
      <c r="A400" s="168" t="e">
        <f t="shared" si="0"/>
        <v>#REF!</v>
      </c>
      <c r="B400" s="175"/>
      <c r="C400" s="175"/>
      <c r="D400" s="175"/>
      <c r="E400" s="170"/>
      <c r="F400" s="169"/>
      <c r="G400" s="176"/>
    </row>
    <row r="401" spans="1:7" ht="12.75">
      <c r="A401" s="168" t="e">
        <f t="shared" si="0"/>
        <v>#REF!</v>
      </c>
      <c r="B401" s="175"/>
      <c r="C401" s="175"/>
      <c r="D401" s="175"/>
      <c r="E401" s="170"/>
      <c r="F401" s="169"/>
      <c r="G401" s="176"/>
    </row>
    <row r="402" spans="1:7" ht="12.75">
      <c r="A402" s="168" t="e">
        <f t="shared" si="0"/>
        <v>#REF!</v>
      </c>
      <c r="B402" s="175"/>
      <c r="C402" s="175"/>
      <c r="D402" s="175"/>
      <c r="E402" s="170"/>
      <c r="F402" s="169"/>
      <c r="G402" s="176"/>
    </row>
    <row r="403" spans="1:7" ht="12.75">
      <c r="A403" s="168" t="e">
        <f t="shared" si="0"/>
        <v>#REF!</v>
      </c>
      <c r="B403" s="175"/>
      <c r="C403" s="175"/>
      <c r="D403" s="175"/>
      <c r="E403" s="170"/>
      <c r="F403" s="169"/>
      <c r="G403" s="176"/>
    </row>
    <row r="404" spans="1:7" ht="12.75">
      <c r="A404" s="168" t="e">
        <f t="shared" si="0"/>
        <v>#REF!</v>
      </c>
      <c r="B404" s="175"/>
      <c r="C404" s="175"/>
      <c r="D404" s="175"/>
      <c r="E404" s="170"/>
      <c r="F404" s="169"/>
      <c r="G404" s="176"/>
    </row>
    <row r="405" spans="1:7" ht="12.75">
      <c r="A405" s="168" t="e">
        <f t="shared" si="0"/>
        <v>#REF!</v>
      </c>
      <c r="B405" s="175"/>
      <c r="C405" s="175"/>
      <c r="D405" s="175"/>
      <c r="E405" s="170"/>
      <c r="F405" s="169"/>
      <c r="G405" s="176"/>
    </row>
    <row r="406" spans="1:7" ht="12.75">
      <c r="A406" s="168" t="e">
        <f t="shared" si="0"/>
        <v>#REF!</v>
      </c>
      <c r="B406" s="175"/>
      <c r="C406" s="175"/>
      <c r="D406" s="175"/>
      <c r="E406" s="170"/>
      <c r="F406" s="169"/>
      <c r="G406" s="176"/>
    </row>
    <row r="407" spans="1:7" ht="12.75">
      <c r="A407" s="168" t="e">
        <f t="shared" si="0"/>
        <v>#REF!</v>
      </c>
      <c r="B407" s="175"/>
      <c r="C407" s="175"/>
      <c r="D407" s="175"/>
      <c r="E407" s="170"/>
      <c r="F407" s="169"/>
      <c r="G407" s="176"/>
    </row>
    <row r="408" spans="1:7" ht="12.75">
      <c r="A408" s="168" t="e">
        <f t="shared" si="0"/>
        <v>#REF!</v>
      </c>
      <c r="B408" s="175"/>
      <c r="C408" s="175"/>
      <c r="D408" s="175"/>
      <c r="E408" s="170"/>
      <c r="F408" s="169"/>
      <c r="G408" s="176"/>
    </row>
    <row r="409" spans="1:7" ht="12.75">
      <c r="A409" s="168" t="e">
        <f t="shared" si="0"/>
        <v>#REF!</v>
      </c>
      <c r="B409" s="175"/>
      <c r="C409" s="175"/>
      <c r="D409" s="175"/>
      <c r="E409" s="170"/>
      <c r="F409" s="169"/>
      <c r="G409" s="176"/>
    </row>
    <row r="410" spans="1:7" ht="12.75">
      <c r="A410" s="168" t="e">
        <f t="shared" si="0"/>
        <v>#REF!</v>
      </c>
      <c r="B410" s="175"/>
      <c r="C410" s="175"/>
      <c r="D410" s="175"/>
      <c r="E410" s="170"/>
      <c r="F410" s="169"/>
      <c r="G410" s="176"/>
    </row>
    <row r="411" spans="1:7" ht="12.75">
      <c r="A411" s="168" t="e">
        <f t="shared" si="0"/>
        <v>#REF!</v>
      </c>
      <c r="B411" s="175"/>
      <c r="C411" s="175"/>
      <c r="D411" s="175"/>
      <c r="E411" s="170"/>
      <c r="F411" s="169"/>
      <c r="G411" s="176"/>
    </row>
    <row r="412" spans="1:7" ht="12.75">
      <c r="A412" s="168" t="e">
        <f t="shared" si="0"/>
        <v>#REF!</v>
      </c>
      <c r="B412" s="175"/>
      <c r="C412" s="175"/>
      <c r="D412" s="175"/>
      <c r="E412" s="170"/>
      <c r="F412" s="169"/>
      <c r="G412" s="176"/>
    </row>
    <row r="413" spans="1:7" ht="12.75">
      <c r="A413" s="168" t="e">
        <f t="shared" si="0"/>
        <v>#REF!</v>
      </c>
      <c r="B413" s="175"/>
      <c r="C413" s="175"/>
      <c r="D413" s="175"/>
      <c r="E413" s="170"/>
      <c r="F413" s="169"/>
      <c r="G413" s="176"/>
    </row>
    <row r="414" spans="1:7" ht="12.75">
      <c r="A414" s="168" t="e">
        <f t="shared" si="0"/>
        <v>#REF!</v>
      </c>
      <c r="B414" s="175"/>
      <c r="C414" s="175"/>
      <c r="D414" s="175"/>
      <c r="E414" s="170"/>
      <c r="F414" s="169"/>
      <c r="G414" s="176"/>
    </row>
    <row r="415" spans="1:7" ht="12.75">
      <c r="A415" s="168" t="e">
        <f t="shared" si="0"/>
        <v>#REF!</v>
      </c>
      <c r="B415" s="175"/>
      <c r="C415" s="175"/>
      <c r="D415" s="175"/>
      <c r="E415" s="170"/>
      <c r="F415" s="169"/>
      <c r="G415" s="176"/>
    </row>
    <row r="416" spans="1:7" ht="12.75">
      <c r="A416" s="168" t="e">
        <f t="shared" si="0"/>
        <v>#REF!</v>
      </c>
      <c r="B416" s="175"/>
      <c r="C416" s="175"/>
      <c r="D416" s="175"/>
      <c r="E416" s="170"/>
      <c r="F416" s="169"/>
      <c r="G416" s="176"/>
    </row>
    <row r="417" spans="1:7" ht="12.75">
      <c r="A417" s="168" t="e">
        <f t="shared" si="0"/>
        <v>#REF!</v>
      </c>
      <c r="B417" s="175"/>
      <c r="C417" s="175"/>
      <c r="D417" s="175"/>
      <c r="E417" s="170"/>
      <c r="F417" s="169"/>
      <c r="G417" s="176"/>
    </row>
    <row r="418" spans="1:7" ht="12.75">
      <c r="A418" s="168" t="e">
        <f t="shared" si="0"/>
        <v>#REF!</v>
      </c>
      <c r="B418" s="175"/>
      <c r="C418" s="175"/>
      <c r="D418" s="175"/>
      <c r="E418" s="170"/>
      <c r="F418" s="169"/>
      <c r="G418" s="176"/>
    </row>
    <row r="419" spans="1:7" ht="12.75">
      <c r="A419" s="168" t="e">
        <f t="shared" si="0"/>
        <v>#REF!</v>
      </c>
      <c r="B419" s="175"/>
      <c r="C419" s="175"/>
      <c r="D419" s="175"/>
      <c r="E419" s="170"/>
      <c r="F419" s="169"/>
      <c r="G419" s="176"/>
    </row>
    <row r="420" spans="1:7" ht="12.75">
      <c r="A420" s="168" t="e">
        <f t="shared" si="0"/>
        <v>#REF!</v>
      </c>
      <c r="B420" s="175"/>
      <c r="C420" s="175"/>
      <c r="D420" s="175"/>
      <c r="E420" s="170"/>
      <c r="F420" s="169"/>
      <c r="G420" s="176"/>
    </row>
    <row r="421" spans="1:7" ht="12.75">
      <c r="A421" s="168" t="e">
        <f t="shared" si="0"/>
        <v>#REF!</v>
      </c>
      <c r="B421" s="175"/>
      <c r="C421" s="175"/>
      <c r="D421" s="175"/>
      <c r="E421" s="170"/>
      <c r="F421" s="169"/>
      <c r="G421" s="176"/>
    </row>
    <row r="422" spans="1:7" ht="12.75">
      <c r="A422" s="168" t="e">
        <f t="shared" si="0"/>
        <v>#REF!</v>
      </c>
      <c r="B422" s="175"/>
      <c r="C422" s="175"/>
      <c r="D422" s="175"/>
      <c r="E422" s="170"/>
      <c r="F422" s="169"/>
      <c r="G422" s="176"/>
    </row>
    <row r="423" spans="1:7" ht="12.75">
      <c r="A423" s="168" t="e">
        <f t="shared" si="0"/>
        <v>#REF!</v>
      </c>
      <c r="B423" s="175"/>
      <c r="C423" s="175"/>
      <c r="D423" s="175"/>
      <c r="E423" s="170"/>
      <c r="F423" s="169"/>
      <c r="G423" s="176"/>
    </row>
    <row r="424" spans="1:7" ht="12.75">
      <c r="A424" s="168" t="e">
        <f t="shared" si="0"/>
        <v>#REF!</v>
      </c>
      <c r="B424" s="175"/>
      <c r="C424" s="175"/>
      <c r="D424" s="175"/>
      <c r="E424" s="170"/>
      <c r="F424" s="169"/>
      <c r="G424" s="176"/>
    </row>
    <row r="425" spans="1:7" ht="12.75">
      <c r="A425" s="168" t="e">
        <f t="shared" si="0"/>
        <v>#REF!</v>
      </c>
      <c r="B425" s="175"/>
      <c r="C425" s="175"/>
      <c r="D425" s="175"/>
      <c r="E425" s="170"/>
      <c r="F425" s="169"/>
      <c r="G425" s="176"/>
    </row>
    <row r="426" spans="1:7" ht="12.75">
      <c r="A426" s="168" t="e">
        <f t="shared" si="0"/>
        <v>#REF!</v>
      </c>
      <c r="B426" s="175"/>
      <c r="C426" s="175"/>
      <c r="D426" s="175"/>
      <c r="E426" s="170"/>
      <c r="F426" s="169"/>
      <c r="G426" s="176"/>
    </row>
    <row r="427" spans="1:7" ht="12.75">
      <c r="A427" s="168" t="e">
        <f t="shared" si="0"/>
        <v>#REF!</v>
      </c>
      <c r="B427" s="175"/>
      <c r="C427" s="175"/>
      <c r="D427" s="175"/>
      <c r="E427" s="170"/>
      <c r="F427" s="169"/>
      <c r="G427" s="176"/>
    </row>
    <row r="428" spans="1:7" ht="12.75">
      <c r="A428" s="168" t="e">
        <f t="shared" si="0"/>
        <v>#REF!</v>
      </c>
      <c r="B428" s="175"/>
      <c r="C428" s="175"/>
      <c r="D428" s="175"/>
      <c r="E428" s="170"/>
      <c r="F428" s="169"/>
      <c r="G428" s="176"/>
    </row>
    <row r="429" spans="1:7" ht="12.75">
      <c r="A429" s="168" t="e">
        <f t="shared" si="0"/>
        <v>#REF!</v>
      </c>
      <c r="B429" s="175"/>
      <c r="C429" s="175"/>
      <c r="D429" s="175"/>
      <c r="E429" s="170"/>
      <c r="F429" s="169"/>
      <c r="G429" s="176"/>
    </row>
    <row r="430" spans="1:7" ht="12.75">
      <c r="A430" s="168" t="e">
        <f t="shared" si="0"/>
        <v>#REF!</v>
      </c>
      <c r="B430" s="175"/>
      <c r="C430" s="175"/>
      <c r="D430" s="175"/>
      <c r="E430" s="170"/>
      <c r="F430" s="169"/>
      <c r="G430" s="176"/>
    </row>
    <row r="431" spans="1:7" ht="12.75">
      <c r="A431" s="168" t="e">
        <f t="shared" si="0"/>
        <v>#REF!</v>
      </c>
      <c r="B431" s="175"/>
      <c r="C431" s="175"/>
      <c r="D431" s="175"/>
      <c r="E431" s="170"/>
      <c r="F431" s="169"/>
      <c r="G431" s="176"/>
    </row>
    <row r="432" spans="1:7" ht="12.75">
      <c r="A432" s="168" t="e">
        <f t="shared" si="0"/>
        <v>#REF!</v>
      </c>
      <c r="B432" s="175"/>
      <c r="C432" s="175"/>
      <c r="D432" s="175"/>
      <c r="E432" s="170"/>
      <c r="F432" s="169"/>
      <c r="G432" s="176"/>
    </row>
    <row r="433" spans="1:7" ht="12.75">
      <c r="A433" s="168" t="e">
        <f t="shared" si="0"/>
        <v>#REF!</v>
      </c>
      <c r="B433" s="175"/>
      <c r="C433" s="175"/>
      <c r="D433" s="175"/>
      <c r="E433" s="170"/>
      <c r="F433" s="169"/>
      <c r="G433" s="176"/>
    </row>
    <row r="434" spans="1:7" ht="12.75">
      <c r="A434" s="168" t="e">
        <f t="shared" si="0"/>
        <v>#REF!</v>
      </c>
      <c r="B434" s="175"/>
      <c r="C434" s="175"/>
      <c r="D434" s="175"/>
      <c r="E434" s="170"/>
      <c r="F434" s="169"/>
      <c r="G434" s="176"/>
    </row>
    <row r="435" spans="1:7" ht="12.75">
      <c r="A435" s="168" t="e">
        <f t="shared" si="0"/>
        <v>#REF!</v>
      </c>
      <c r="B435" s="175"/>
      <c r="C435" s="175"/>
      <c r="D435" s="175"/>
      <c r="E435" s="170"/>
      <c r="F435" s="169"/>
      <c r="G435" s="176"/>
    </row>
    <row r="436" spans="1:7" ht="12.75">
      <c r="A436" s="168" t="e">
        <f t="shared" si="0"/>
        <v>#REF!</v>
      </c>
      <c r="B436" s="175"/>
      <c r="C436" s="175"/>
      <c r="D436" s="175"/>
      <c r="E436" s="170"/>
      <c r="F436" s="169"/>
      <c r="G436" s="176"/>
    </row>
    <row r="437" spans="1:7" ht="12.75">
      <c r="A437" s="168" t="e">
        <f t="shared" si="0"/>
        <v>#REF!</v>
      </c>
      <c r="B437" s="175"/>
      <c r="C437" s="175"/>
      <c r="D437" s="175"/>
      <c r="E437" s="170"/>
      <c r="F437" s="169"/>
      <c r="G437" s="176"/>
    </row>
    <row r="438" spans="1:7" ht="12.75">
      <c r="A438" s="168" t="e">
        <f t="shared" si="0"/>
        <v>#REF!</v>
      </c>
      <c r="B438" s="175"/>
      <c r="C438" s="175"/>
      <c r="D438" s="175"/>
      <c r="E438" s="170"/>
      <c r="F438" s="169"/>
      <c r="G438" s="176"/>
    </row>
    <row r="439" spans="1:7" ht="12.75">
      <c r="A439" s="168" t="e">
        <f t="shared" si="0"/>
        <v>#REF!</v>
      </c>
      <c r="B439" s="175"/>
      <c r="C439" s="175"/>
      <c r="D439" s="175"/>
      <c r="E439" s="170"/>
      <c r="F439" s="169"/>
      <c r="G439" s="176"/>
    </row>
    <row r="440" spans="1:7" ht="12.75">
      <c r="A440" s="168" t="e">
        <f t="shared" si="0"/>
        <v>#REF!</v>
      </c>
      <c r="B440" s="175"/>
      <c r="C440" s="175"/>
      <c r="D440" s="175"/>
      <c r="E440" s="170"/>
      <c r="F440" s="169"/>
      <c r="G440" s="176"/>
    </row>
    <row r="441" spans="1:7" ht="12.75">
      <c r="A441" s="168" t="e">
        <f t="shared" si="0"/>
        <v>#REF!</v>
      </c>
      <c r="B441" s="175"/>
      <c r="C441" s="175"/>
      <c r="D441" s="175"/>
      <c r="E441" s="170"/>
      <c r="F441" s="169"/>
      <c r="G441" s="176"/>
    </row>
    <row r="442" spans="1:7" ht="12.75">
      <c r="A442" s="168" t="e">
        <f t="shared" si="0"/>
        <v>#REF!</v>
      </c>
      <c r="B442" s="175"/>
      <c r="C442" s="175"/>
      <c r="D442" s="175"/>
      <c r="E442" s="170"/>
      <c r="F442" s="169"/>
      <c r="G442" s="176"/>
    </row>
    <row r="443" spans="1:7" ht="12.75">
      <c r="A443" s="168" t="e">
        <f t="shared" si="0"/>
        <v>#REF!</v>
      </c>
      <c r="B443" s="175"/>
      <c r="C443" s="175"/>
      <c r="D443" s="175"/>
      <c r="E443" s="170"/>
      <c r="F443" s="169"/>
      <c r="G443" s="176"/>
    </row>
    <row r="444" spans="1:7" ht="12.75">
      <c r="A444" s="168" t="e">
        <f t="shared" si="0"/>
        <v>#REF!</v>
      </c>
      <c r="B444" s="175"/>
      <c r="C444" s="175"/>
      <c r="D444" s="175"/>
      <c r="E444" s="170"/>
      <c r="F444" s="169"/>
      <c r="G444" s="176"/>
    </row>
    <row r="445" spans="1:7" ht="12.75">
      <c r="A445" s="168" t="e">
        <f t="shared" si="0"/>
        <v>#REF!</v>
      </c>
      <c r="B445" s="175"/>
      <c r="C445" s="175"/>
      <c r="D445" s="175"/>
      <c r="E445" s="170"/>
      <c r="F445" s="169"/>
      <c r="G445" s="176"/>
    </row>
    <row r="446" spans="1:7" ht="12.75">
      <c r="A446" s="168" t="e">
        <f t="shared" si="0"/>
        <v>#REF!</v>
      </c>
      <c r="B446" s="175"/>
      <c r="C446" s="175"/>
      <c r="D446" s="175"/>
      <c r="E446" s="170"/>
      <c r="F446" s="169"/>
      <c r="G446" s="176"/>
    </row>
    <row r="447" spans="1:7" ht="12.75">
      <c r="A447" s="168" t="e">
        <f t="shared" si="0"/>
        <v>#REF!</v>
      </c>
      <c r="B447" s="175"/>
      <c r="C447" s="175"/>
      <c r="D447" s="175"/>
      <c r="E447" s="170"/>
      <c r="F447" s="169"/>
      <c r="G447" s="176"/>
    </row>
    <row r="448" spans="1:7" ht="12.75">
      <c r="A448" s="168" t="e">
        <f t="shared" si="0"/>
        <v>#REF!</v>
      </c>
      <c r="B448" s="175"/>
      <c r="C448" s="175"/>
      <c r="D448" s="175"/>
      <c r="E448" s="170"/>
      <c r="F448" s="169"/>
      <c r="G448" s="176"/>
    </row>
    <row r="449" spans="1:7" ht="12.75">
      <c r="A449" s="168" t="e">
        <f t="shared" si="0"/>
        <v>#REF!</v>
      </c>
      <c r="B449" s="175"/>
      <c r="C449" s="175"/>
      <c r="D449" s="175"/>
      <c r="E449" s="170"/>
      <c r="F449" s="169"/>
      <c r="G449" s="176"/>
    </row>
    <row r="450" spans="1:7" ht="12.75">
      <c r="A450" s="168" t="e">
        <f t="shared" si="0"/>
        <v>#REF!</v>
      </c>
      <c r="B450" s="175"/>
      <c r="C450" s="175"/>
      <c r="D450" s="175"/>
      <c r="E450" s="170"/>
      <c r="F450" s="169"/>
      <c r="G450" s="176"/>
    </row>
    <row r="451" spans="1:7" ht="12.75">
      <c r="A451" s="168" t="e">
        <f t="shared" si="0"/>
        <v>#REF!</v>
      </c>
      <c r="B451" s="175"/>
      <c r="C451" s="175"/>
      <c r="D451" s="175"/>
      <c r="E451" s="170"/>
      <c r="F451" s="169"/>
      <c r="G451" s="176"/>
    </row>
    <row r="452" spans="1:7" ht="12.75">
      <c r="A452" s="168" t="e">
        <f t="shared" si="0"/>
        <v>#REF!</v>
      </c>
      <c r="B452" s="175"/>
      <c r="C452" s="175"/>
      <c r="D452" s="175"/>
      <c r="E452" s="170"/>
      <c r="F452" s="169"/>
      <c r="G452" s="176"/>
    </row>
    <row r="453" spans="1:7" ht="12.75">
      <c r="A453" s="168" t="e">
        <f t="shared" si="0"/>
        <v>#REF!</v>
      </c>
      <c r="B453" s="175"/>
      <c r="C453" s="175"/>
      <c r="D453" s="175"/>
      <c r="E453" s="170"/>
      <c r="F453" s="169"/>
      <c r="G453" s="176"/>
    </row>
    <row r="454" spans="1:7" ht="12.75">
      <c r="A454" s="168" t="e">
        <f t="shared" si="0"/>
        <v>#REF!</v>
      </c>
      <c r="B454" s="175"/>
      <c r="C454" s="175"/>
      <c r="D454" s="175"/>
      <c r="E454" s="170"/>
      <c r="F454" s="169"/>
      <c r="G454" s="176"/>
    </row>
    <row r="455" spans="1:7" ht="12.75">
      <c r="A455" s="168" t="e">
        <f t="shared" si="0"/>
        <v>#REF!</v>
      </c>
      <c r="B455" s="175"/>
      <c r="C455" s="175"/>
      <c r="D455" s="175"/>
      <c r="E455" s="170"/>
      <c r="F455" s="169"/>
      <c r="G455" s="176"/>
    </row>
    <row r="456" spans="1:7" ht="12.75">
      <c r="A456" s="168" t="e">
        <f t="shared" si="0"/>
        <v>#REF!</v>
      </c>
      <c r="B456" s="175"/>
      <c r="C456" s="175"/>
      <c r="D456" s="175"/>
      <c r="E456" s="170"/>
      <c r="F456" s="169"/>
      <c r="G456" s="176"/>
    </row>
    <row r="457" spans="1:7" ht="12.75">
      <c r="A457" s="168" t="e">
        <f t="shared" si="0"/>
        <v>#REF!</v>
      </c>
      <c r="B457" s="175"/>
      <c r="C457" s="175"/>
      <c r="D457" s="175"/>
      <c r="E457" s="170"/>
      <c r="F457" s="169"/>
      <c r="G457" s="176"/>
    </row>
    <row r="458" spans="1:7" ht="12.75">
      <c r="A458" s="168" t="e">
        <f t="shared" si="0"/>
        <v>#REF!</v>
      </c>
      <c r="B458" s="175"/>
      <c r="C458" s="175"/>
      <c r="D458" s="175"/>
      <c r="E458" s="170"/>
      <c r="F458" s="169"/>
      <c r="G458" s="176"/>
    </row>
    <row r="459" spans="1:7" ht="12.75">
      <c r="A459" s="168" t="e">
        <f t="shared" si="0"/>
        <v>#REF!</v>
      </c>
      <c r="B459" s="175"/>
      <c r="C459" s="175"/>
      <c r="D459" s="175"/>
      <c r="E459" s="170"/>
      <c r="F459" s="169"/>
      <c r="G459" s="176"/>
    </row>
    <row r="460" spans="1:7" ht="12.75">
      <c r="A460" s="168" t="e">
        <f t="shared" si="0"/>
        <v>#REF!</v>
      </c>
      <c r="B460" s="175"/>
      <c r="C460" s="175"/>
      <c r="D460" s="175"/>
      <c r="E460" s="170"/>
      <c r="F460" s="169"/>
      <c r="G460" s="176"/>
    </row>
    <row r="461" spans="1:7" ht="12.75">
      <c r="A461" s="168" t="e">
        <f t="shared" si="0"/>
        <v>#REF!</v>
      </c>
      <c r="B461" s="175"/>
      <c r="C461" s="175"/>
      <c r="D461" s="175"/>
      <c r="E461" s="170"/>
      <c r="F461" s="169"/>
      <c r="G461" s="176"/>
    </row>
    <row r="462" spans="1:7" ht="12.75">
      <c r="A462" s="168" t="e">
        <f t="shared" si="0"/>
        <v>#REF!</v>
      </c>
      <c r="B462" s="175"/>
      <c r="C462" s="175"/>
      <c r="D462" s="175"/>
      <c r="E462" s="170"/>
      <c r="F462" s="169"/>
      <c r="G462" s="176"/>
    </row>
    <row r="463" spans="1:7" ht="12.75">
      <c r="A463" s="168" t="e">
        <f t="shared" si="0"/>
        <v>#REF!</v>
      </c>
      <c r="B463" s="175"/>
      <c r="C463" s="175"/>
      <c r="D463" s="175"/>
      <c r="E463" s="170"/>
      <c r="F463" s="169"/>
      <c r="G463" s="176"/>
    </row>
    <row r="464" spans="1:7" ht="12.75">
      <c r="A464" s="168" t="e">
        <f t="shared" si="0"/>
        <v>#REF!</v>
      </c>
      <c r="B464" s="175"/>
      <c r="C464" s="175"/>
      <c r="D464" s="175"/>
      <c r="E464" s="170"/>
      <c r="F464" s="169"/>
      <c r="G464" s="176"/>
    </row>
    <row r="465" spans="1:7" ht="12.75">
      <c r="A465" s="168" t="e">
        <f t="shared" si="0"/>
        <v>#REF!</v>
      </c>
      <c r="B465" s="175"/>
      <c r="C465" s="175"/>
      <c r="D465" s="175"/>
      <c r="E465" s="170"/>
      <c r="F465" s="169"/>
      <c r="G465" s="176"/>
    </row>
    <row r="466" spans="1:7" ht="12.75">
      <c r="A466" s="168" t="e">
        <f t="shared" si="0"/>
        <v>#REF!</v>
      </c>
      <c r="B466" s="175"/>
      <c r="C466" s="175"/>
      <c r="D466" s="175"/>
      <c r="E466" s="170"/>
      <c r="F466" s="169"/>
      <c r="G466" s="176"/>
    </row>
    <row r="467" spans="1:7" ht="12.75">
      <c r="A467" s="168" t="e">
        <f t="shared" si="0"/>
        <v>#REF!</v>
      </c>
      <c r="B467" s="175"/>
      <c r="C467" s="175"/>
      <c r="D467" s="175"/>
      <c r="E467" s="170"/>
      <c r="F467" s="169"/>
      <c r="G467" s="176"/>
    </row>
    <row r="468" spans="1:7" ht="12.75">
      <c r="A468" s="168" t="e">
        <f t="shared" si="0"/>
        <v>#REF!</v>
      </c>
      <c r="B468" s="175"/>
      <c r="C468" s="175"/>
      <c r="D468" s="175"/>
      <c r="E468" s="170"/>
      <c r="F468" s="169"/>
      <c r="G468" s="176"/>
    </row>
    <row r="469" spans="1:7" ht="12.75">
      <c r="A469" s="168" t="e">
        <f t="shared" si="0"/>
        <v>#REF!</v>
      </c>
      <c r="B469" s="175"/>
      <c r="C469" s="175"/>
      <c r="D469" s="175"/>
      <c r="E469" s="170"/>
      <c r="F469" s="169"/>
      <c r="G469" s="176"/>
    </row>
    <row r="470" spans="1:7" ht="12.75">
      <c r="A470" s="168" t="e">
        <f t="shared" si="0"/>
        <v>#REF!</v>
      </c>
      <c r="B470" s="175"/>
      <c r="C470" s="175"/>
      <c r="D470" s="175"/>
      <c r="E470" s="170"/>
      <c r="F470" s="169"/>
      <c r="G470" s="176"/>
    </row>
    <row r="471" spans="1:7" ht="12.75">
      <c r="A471" s="168" t="e">
        <f t="shared" si="0"/>
        <v>#REF!</v>
      </c>
      <c r="B471" s="175"/>
      <c r="C471" s="175"/>
      <c r="D471" s="175"/>
      <c r="E471" s="170"/>
      <c r="F471" s="169"/>
      <c r="G471" s="176"/>
    </row>
    <row r="472" spans="1:7" ht="12.75">
      <c r="A472" s="168" t="e">
        <f t="shared" si="0"/>
        <v>#REF!</v>
      </c>
      <c r="B472" s="175"/>
      <c r="C472" s="175"/>
      <c r="D472" s="175"/>
      <c r="E472" s="170"/>
      <c r="F472" s="169"/>
      <c r="G472" s="176"/>
    </row>
    <row r="473" spans="1:7" ht="12.75">
      <c r="A473" s="168" t="e">
        <f t="shared" si="0"/>
        <v>#REF!</v>
      </c>
      <c r="B473" s="175"/>
      <c r="C473" s="175"/>
      <c r="D473" s="175"/>
      <c r="E473" s="170"/>
      <c r="F473" s="169"/>
      <c r="G473" s="176"/>
    </row>
    <row r="474" spans="1:7" ht="12.75">
      <c r="A474" s="168" t="e">
        <f t="shared" si="0"/>
        <v>#REF!</v>
      </c>
      <c r="B474" s="175"/>
      <c r="C474" s="175"/>
      <c r="D474" s="175"/>
      <c r="E474" s="170"/>
      <c r="F474" s="169"/>
      <c r="G474" s="176"/>
    </row>
    <row r="475" spans="1:7" ht="12.75">
      <c r="A475" s="168" t="e">
        <f t="shared" si="0"/>
        <v>#REF!</v>
      </c>
      <c r="B475" s="175"/>
      <c r="C475" s="175"/>
      <c r="D475" s="175"/>
      <c r="E475" s="170"/>
      <c r="F475" s="169"/>
      <c r="G475" s="176"/>
    </row>
    <row r="476" spans="1:7" ht="12.75">
      <c r="A476" s="168" t="e">
        <f t="shared" si="0"/>
        <v>#REF!</v>
      </c>
      <c r="B476" s="175"/>
      <c r="C476" s="175"/>
      <c r="D476" s="175"/>
      <c r="E476" s="170"/>
      <c r="F476" s="169"/>
      <c r="G476" s="176"/>
    </row>
    <row r="477" spans="1:7" ht="12.75">
      <c r="A477" s="168" t="e">
        <f t="shared" si="0"/>
        <v>#REF!</v>
      </c>
      <c r="B477" s="175"/>
      <c r="C477" s="175"/>
      <c r="D477" s="175"/>
      <c r="E477" s="170"/>
      <c r="F477" s="169"/>
      <c r="G477" s="176"/>
    </row>
    <row r="478" spans="1:7" ht="12.75">
      <c r="A478" s="168" t="e">
        <f t="shared" si="0"/>
        <v>#REF!</v>
      </c>
      <c r="B478" s="175"/>
      <c r="C478" s="175"/>
      <c r="D478" s="175"/>
      <c r="E478" s="170"/>
      <c r="F478" s="169"/>
      <c r="G478" s="176"/>
    </row>
    <row r="479" spans="1:7" ht="12.75">
      <c r="A479" s="168" t="e">
        <f t="shared" si="0"/>
        <v>#REF!</v>
      </c>
      <c r="B479" s="175"/>
      <c r="C479" s="175"/>
      <c r="D479" s="175"/>
      <c r="E479" s="170"/>
      <c r="F479" s="169"/>
      <c r="G479" s="176"/>
    </row>
    <row r="480" spans="1:7" ht="12.75">
      <c r="A480" s="168" t="e">
        <f t="shared" si="0"/>
        <v>#REF!</v>
      </c>
      <c r="B480" s="175"/>
      <c r="C480" s="175"/>
      <c r="D480" s="175"/>
      <c r="E480" s="170"/>
      <c r="F480" s="169"/>
      <c r="G480" s="176"/>
    </row>
    <row r="481" spans="1:7" ht="12.75">
      <c r="A481" s="168" t="e">
        <f t="shared" si="0"/>
        <v>#REF!</v>
      </c>
      <c r="B481" s="175"/>
      <c r="C481" s="175"/>
      <c r="D481" s="175"/>
      <c r="E481" s="170"/>
      <c r="F481" s="169"/>
      <c r="G481" s="176"/>
    </row>
    <row r="482" spans="1:7" ht="12.75">
      <c r="A482" s="168" t="e">
        <f t="shared" si="0"/>
        <v>#REF!</v>
      </c>
      <c r="B482" s="175"/>
      <c r="C482" s="175"/>
      <c r="D482" s="175"/>
      <c r="E482" s="170"/>
      <c r="F482" s="169"/>
      <c r="G482" s="176"/>
    </row>
    <row r="483" spans="1:7" ht="12.75">
      <c r="A483" s="168" t="e">
        <f t="shared" si="0"/>
        <v>#REF!</v>
      </c>
      <c r="B483" s="175"/>
      <c r="C483" s="175"/>
      <c r="D483" s="175"/>
      <c r="E483" s="170"/>
      <c r="F483" s="169"/>
      <c r="G483" s="176"/>
    </row>
    <row r="484" spans="1:7" ht="12.75">
      <c r="A484" s="168" t="e">
        <f t="shared" si="0"/>
        <v>#REF!</v>
      </c>
      <c r="B484" s="175"/>
      <c r="C484" s="175"/>
      <c r="D484" s="175"/>
      <c r="E484" s="170"/>
      <c r="F484" s="169"/>
      <c r="G484" s="176"/>
    </row>
    <row r="485" spans="1:7" ht="12.75">
      <c r="A485" s="168" t="e">
        <f t="shared" si="0"/>
        <v>#REF!</v>
      </c>
      <c r="B485" s="175"/>
      <c r="C485" s="175"/>
      <c r="D485" s="175"/>
      <c r="E485" s="170"/>
      <c r="F485" s="169"/>
      <c r="G485" s="176"/>
    </row>
    <row r="486" spans="1:7" ht="12.75">
      <c r="A486" s="168" t="e">
        <f t="shared" si="0"/>
        <v>#REF!</v>
      </c>
      <c r="B486" s="175"/>
      <c r="C486" s="175"/>
      <c r="D486" s="175"/>
      <c r="E486" s="170"/>
      <c r="F486" s="169"/>
      <c r="G486" s="176"/>
    </row>
    <row r="487" spans="1:7" ht="12.75">
      <c r="A487" s="168" t="e">
        <f t="shared" si="0"/>
        <v>#REF!</v>
      </c>
      <c r="B487" s="175"/>
      <c r="C487" s="175"/>
      <c r="D487" s="175"/>
      <c r="E487" s="170"/>
      <c r="F487" s="169"/>
      <c r="G487" s="176"/>
    </row>
    <row r="488" spans="1:7" ht="12.75">
      <c r="A488" s="168" t="e">
        <f t="shared" si="0"/>
        <v>#REF!</v>
      </c>
      <c r="B488" s="175"/>
      <c r="C488" s="175"/>
      <c r="D488" s="175"/>
      <c r="E488" s="170"/>
      <c r="F488" s="169"/>
      <c r="G488" s="176"/>
    </row>
    <row r="489" spans="1:7" ht="12.75">
      <c r="A489" s="168" t="e">
        <f t="shared" si="0"/>
        <v>#REF!</v>
      </c>
      <c r="B489" s="175"/>
      <c r="C489" s="175"/>
      <c r="D489" s="175"/>
      <c r="E489" s="170"/>
      <c r="F489" s="169"/>
      <c r="G489" s="176"/>
    </row>
    <row r="490" spans="1:7" ht="12.75">
      <c r="A490" s="168" t="e">
        <f t="shared" si="0"/>
        <v>#REF!</v>
      </c>
      <c r="B490" s="175"/>
      <c r="C490" s="175"/>
      <c r="D490" s="175"/>
      <c r="E490" s="170"/>
      <c r="F490" s="169"/>
      <c r="G490" s="176"/>
    </row>
    <row r="491" spans="1:7" ht="12.75">
      <c r="A491" s="168" t="e">
        <f t="shared" si="0"/>
        <v>#REF!</v>
      </c>
      <c r="B491" s="175"/>
      <c r="C491" s="175"/>
      <c r="D491" s="175"/>
      <c r="E491" s="170"/>
      <c r="F491" s="169"/>
      <c r="G491" s="176"/>
    </row>
    <row r="492" spans="1:7" ht="12.75">
      <c r="A492" s="168" t="e">
        <f t="shared" si="0"/>
        <v>#REF!</v>
      </c>
      <c r="B492" s="175"/>
      <c r="C492" s="175"/>
      <c r="D492" s="175"/>
      <c r="E492" s="170"/>
      <c r="F492" s="169"/>
      <c r="G492" s="176"/>
    </row>
    <row r="493" spans="1:7" ht="12.75">
      <c r="A493" s="168" t="e">
        <f t="shared" si="0"/>
        <v>#REF!</v>
      </c>
      <c r="B493" s="175"/>
      <c r="C493" s="175"/>
      <c r="D493" s="175"/>
      <c r="E493" s="170"/>
      <c r="F493" s="169"/>
      <c r="G493" s="176"/>
    </row>
    <row r="494" spans="1:7" ht="12.75">
      <c r="A494" s="168" t="e">
        <f t="shared" si="0"/>
        <v>#REF!</v>
      </c>
      <c r="B494" s="175"/>
      <c r="C494" s="175"/>
      <c r="D494" s="175"/>
      <c r="E494" s="170"/>
      <c r="F494" s="169"/>
      <c r="G494" s="176"/>
    </row>
    <row r="495" spans="1:7" ht="12.75">
      <c r="A495" s="168" t="e">
        <f t="shared" si="0"/>
        <v>#REF!</v>
      </c>
      <c r="B495" s="175"/>
      <c r="C495" s="175"/>
      <c r="D495" s="175"/>
      <c r="E495" s="170"/>
      <c r="F495" s="169"/>
      <c r="G495" s="176"/>
    </row>
    <row r="496" spans="1:7" ht="12.75">
      <c r="A496" s="168" t="e">
        <f t="shared" si="0"/>
        <v>#REF!</v>
      </c>
      <c r="B496" s="175"/>
      <c r="C496" s="175"/>
      <c r="D496" s="175"/>
      <c r="E496" s="170"/>
      <c r="F496" s="169"/>
      <c r="G496" s="176"/>
    </row>
    <row r="497" spans="1:7" ht="12.75">
      <c r="A497" s="168" t="e">
        <f t="shared" si="0"/>
        <v>#REF!</v>
      </c>
      <c r="B497" s="175"/>
      <c r="C497" s="175"/>
      <c r="D497" s="175"/>
      <c r="E497" s="170"/>
      <c r="F497" s="169"/>
      <c r="G497" s="176"/>
    </row>
    <row r="498" spans="1:7" ht="12.75">
      <c r="A498" s="168" t="e">
        <f t="shared" si="0"/>
        <v>#REF!</v>
      </c>
      <c r="B498" s="175"/>
      <c r="C498" s="175"/>
      <c r="D498" s="175"/>
      <c r="E498" s="170"/>
      <c r="F498" s="169"/>
      <c r="G498" s="176"/>
    </row>
    <row r="499" spans="1:7" ht="12.75">
      <c r="A499" s="168" t="e">
        <f t="shared" si="0"/>
        <v>#REF!</v>
      </c>
      <c r="B499" s="175"/>
      <c r="C499" s="175"/>
      <c r="D499" s="175"/>
      <c r="E499" s="170"/>
      <c r="F499" s="169"/>
      <c r="G499" s="176"/>
    </row>
    <row r="500" spans="1:7" ht="12.75">
      <c r="A500" s="168" t="e">
        <f t="shared" si="0"/>
        <v>#REF!</v>
      </c>
      <c r="B500" s="175"/>
      <c r="C500" s="175"/>
      <c r="D500" s="175"/>
      <c r="E500" s="170"/>
      <c r="F500" s="169"/>
      <c r="G500" s="176"/>
    </row>
    <row r="501" spans="1:7" ht="12.75">
      <c r="A501" s="168" t="e">
        <f t="shared" si="0"/>
        <v>#REF!</v>
      </c>
      <c r="B501" s="175"/>
      <c r="C501" s="175"/>
      <c r="D501" s="175"/>
      <c r="E501" s="170"/>
      <c r="F501" s="169"/>
      <c r="G501" s="176"/>
    </row>
    <row r="502" spans="1:7" ht="12.75">
      <c r="A502" s="168" t="e">
        <f t="shared" si="0"/>
        <v>#REF!</v>
      </c>
      <c r="B502" s="175"/>
      <c r="C502" s="175"/>
      <c r="D502" s="175"/>
      <c r="E502" s="170"/>
      <c r="F502" s="169"/>
      <c r="G502" s="176"/>
    </row>
    <row r="503" spans="1:7" ht="12.75">
      <c r="A503" s="168" t="e">
        <f t="shared" si="0"/>
        <v>#REF!</v>
      </c>
      <c r="B503" s="175"/>
      <c r="C503" s="175"/>
      <c r="D503" s="175"/>
      <c r="E503" s="170"/>
      <c r="F503" s="169"/>
      <c r="G503" s="176"/>
    </row>
    <row r="504" spans="1:7" ht="12.75">
      <c r="A504" s="168" t="e">
        <f t="shared" si="0"/>
        <v>#REF!</v>
      </c>
      <c r="B504" s="175"/>
      <c r="C504" s="175"/>
      <c r="D504" s="175"/>
      <c r="E504" s="170"/>
      <c r="F504" s="169"/>
      <c r="G504" s="176"/>
    </row>
    <row r="505" spans="1:7" ht="12.75">
      <c r="A505" s="168" t="e">
        <f t="shared" si="0"/>
        <v>#REF!</v>
      </c>
      <c r="B505" s="175"/>
      <c r="C505" s="175"/>
      <c r="D505" s="175"/>
      <c r="E505" s="170"/>
      <c r="F505" s="169"/>
      <c r="G505" s="176"/>
    </row>
    <row r="506" spans="1:7" ht="12.75">
      <c r="A506" s="168" t="e">
        <f t="shared" si="0"/>
        <v>#REF!</v>
      </c>
      <c r="B506" s="175"/>
      <c r="C506" s="175"/>
      <c r="D506" s="175"/>
      <c r="E506" s="170"/>
      <c r="F506" s="169"/>
      <c r="G506" s="176"/>
    </row>
    <row r="507" spans="1:7" ht="12.75">
      <c r="A507" s="168" t="e">
        <f t="shared" si="0"/>
        <v>#REF!</v>
      </c>
      <c r="B507" s="175"/>
      <c r="C507" s="175"/>
      <c r="D507" s="175"/>
      <c r="E507" s="170"/>
      <c r="F507" s="169"/>
      <c r="G507" s="176"/>
    </row>
    <row r="508" spans="1:7" ht="12.75">
      <c r="A508" s="168" t="e">
        <f t="shared" si="0"/>
        <v>#REF!</v>
      </c>
      <c r="B508" s="175"/>
      <c r="C508" s="175"/>
      <c r="D508" s="175"/>
      <c r="E508" s="170"/>
      <c r="F508" s="169"/>
      <c r="G508" s="176"/>
    </row>
    <row r="509" spans="1:7" ht="12.75">
      <c r="A509" s="168" t="e">
        <f t="shared" si="0"/>
        <v>#REF!</v>
      </c>
      <c r="B509" s="175"/>
      <c r="C509" s="175"/>
      <c r="D509" s="175"/>
      <c r="E509" s="170"/>
      <c r="F509" s="169"/>
      <c r="G509" s="176"/>
    </row>
    <row r="510" spans="1:7" ht="12.75">
      <c r="A510" s="168" t="e">
        <f t="shared" si="0"/>
        <v>#REF!</v>
      </c>
      <c r="B510" s="175"/>
      <c r="C510" s="175"/>
      <c r="D510" s="175"/>
      <c r="E510" s="170"/>
      <c r="F510" s="169"/>
      <c r="G510" s="176"/>
    </row>
    <row r="511" spans="1:7" ht="12.75">
      <c r="A511" s="168" t="e">
        <f t="shared" si="0"/>
        <v>#REF!</v>
      </c>
      <c r="B511" s="175"/>
      <c r="C511" s="175"/>
      <c r="D511" s="175"/>
      <c r="E511" s="170"/>
      <c r="F511" s="169"/>
      <c r="G511" s="176"/>
    </row>
    <row r="512" spans="1:7" ht="12.75">
      <c r="A512" s="168" t="e">
        <f t="shared" si="0"/>
        <v>#REF!</v>
      </c>
      <c r="B512" s="175"/>
      <c r="C512" s="175"/>
      <c r="D512" s="175"/>
      <c r="E512" s="170"/>
      <c r="F512" s="169"/>
      <c r="G512" s="176"/>
    </row>
    <row r="513" spans="1:7" ht="12.75">
      <c r="A513" s="168" t="e">
        <f t="shared" si="0"/>
        <v>#REF!</v>
      </c>
      <c r="B513" s="175"/>
      <c r="C513" s="175"/>
      <c r="D513" s="175"/>
      <c r="E513" s="170"/>
      <c r="F513" s="169"/>
      <c r="G513" s="176"/>
    </row>
    <row r="514" spans="1:7" ht="12.75">
      <c r="A514" s="168" t="e">
        <f t="shared" si="0"/>
        <v>#REF!</v>
      </c>
      <c r="B514" s="175"/>
      <c r="C514" s="175"/>
      <c r="D514" s="175"/>
      <c r="E514" s="170"/>
      <c r="F514" s="169"/>
      <c r="G514" s="176"/>
    </row>
    <row r="515" spans="1:7" ht="12.75">
      <c r="A515" s="168" t="e">
        <f t="shared" si="0"/>
        <v>#REF!</v>
      </c>
      <c r="B515" s="175"/>
      <c r="C515" s="175"/>
      <c r="D515" s="175"/>
      <c r="E515" s="170"/>
      <c r="F515" s="169"/>
      <c r="G515" s="176"/>
    </row>
    <row r="516" spans="1:7" ht="12.75">
      <c r="A516" s="168" t="e">
        <f t="shared" si="0"/>
        <v>#REF!</v>
      </c>
      <c r="B516" s="175"/>
      <c r="C516" s="175"/>
      <c r="D516" s="175"/>
      <c r="E516" s="170"/>
      <c r="F516" s="169"/>
      <c r="G516" s="176"/>
    </row>
    <row r="517" spans="1:7" ht="12.75">
      <c r="A517" s="168" t="e">
        <f t="shared" si="0"/>
        <v>#REF!</v>
      </c>
      <c r="B517" s="175"/>
      <c r="C517" s="175"/>
      <c r="D517" s="175"/>
      <c r="E517" s="170"/>
      <c r="F517" s="169"/>
      <c r="G517" s="176"/>
    </row>
    <row r="518" spans="1:7" ht="12.75">
      <c r="A518" s="168" t="e">
        <f t="shared" si="0"/>
        <v>#REF!</v>
      </c>
      <c r="B518" s="175"/>
      <c r="C518" s="175"/>
      <c r="D518" s="175"/>
      <c r="E518" s="170"/>
      <c r="F518" s="169"/>
      <c r="G518" s="176"/>
    </row>
    <row r="519" spans="1:7" ht="12.75">
      <c r="A519" s="168" t="e">
        <f t="shared" si="0"/>
        <v>#REF!</v>
      </c>
      <c r="B519" s="175"/>
      <c r="C519" s="175"/>
      <c r="D519" s="175"/>
      <c r="E519" s="170"/>
      <c r="F519" s="169"/>
      <c r="G519" s="176"/>
    </row>
    <row r="520" spans="1:7" ht="12.75">
      <c r="A520" s="168" t="e">
        <f t="shared" si="0"/>
        <v>#REF!</v>
      </c>
      <c r="B520" s="175"/>
      <c r="C520" s="175"/>
      <c r="D520" s="175"/>
      <c r="E520" s="170"/>
      <c r="F520" s="169"/>
      <c r="G520" s="176"/>
    </row>
    <row r="521" spans="1:7" ht="12.75">
      <c r="A521" s="168" t="e">
        <f t="shared" si="0"/>
        <v>#REF!</v>
      </c>
      <c r="B521" s="175"/>
      <c r="C521" s="175"/>
      <c r="D521" s="175"/>
      <c r="E521" s="170"/>
      <c r="F521" s="169"/>
      <c r="G521" s="176"/>
    </row>
    <row r="522" spans="1:7" ht="12.75">
      <c r="A522" s="168" t="e">
        <f t="shared" si="0"/>
        <v>#REF!</v>
      </c>
      <c r="B522" s="175"/>
      <c r="C522" s="175"/>
      <c r="D522" s="175"/>
      <c r="E522" s="170"/>
      <c r="F522" s="169"/>
      <c r="G522" s="176"/>
    </row>
    <row r="523" spans="1:7" ht="12.75">
      <c r="A523" s="168" t="e">
        <f t="shared" si="0"/>
        <v>#REF!</v>
      </c>
      <c r="B523" s="175"/>
      <c r="C523" s="175"/>
      <c r="D523" s="175"/>
      <c r="E523" s="170"/>
      <c r="F523" s="169"/>
      <c r="G523" s="176"/>
    </row>
    <row r="524" spans="1:7" ht="12.75">
      <c r="A524" s="168" t="e">
        <f t="shared" si="0"/>
        <v>#REF!</v>
      </c>
      <c r="B524" s="175"/>
      <c r="C524" s="175"/>
      <c r="D524" s="175"/>
      <c r="E524" s="170"/>
      <c r="F524" s="169"/>
      <c r="G524" s="176"/>
    </row>
    <row r="525" spans="1:7" ht="12.75">
      <c r="A525" s="168" t="e">
        <f t="shared" si="0"/>
        <v>#REF!</v>
      </c>
      <c r="B525" s="175"/>
      <c r="C525" s="175"/>
      <c r="D525" s="175"/>
      <c r="E525" s="170"/>
      <c r="F525" s="169"/>
      <c r="G525" s="176"/>
    </row>
    <row r="526" spans="1:7" ht="12.75">
      <c r="A526" s="168" t="e">
        <f t="shared" si="0"/>
        <v>#REF!</v>
      </c>
      <c r="B526" s="175"/>
      <c r="C526" s="175"/>
      <c r="D526" s="175"/>
      <c r="E526" s="170"/>
      <c r="F526" s="169"/>
      <c r="G526" s="176"/>
    </row>
    <row r="527" spans="1:7" ht="12.75">
      <c r="A527" s="168" t="e">
        <f t="shared" si="0"/>
        <v>#REF!</v>
      </c>
      <c r="B527" s="175"/>
      <c r="C527" s="175"/>
      <c r="D527" s="175"/>
      <c r="E527" s="170"/>
      <c r="F527" s="169"/>
      <c r="G527" s="176"/>
    </row>
    <row r="528" spans="1:7" ht="12.75">
      <c r="A528" s="168" t="e">
        <f t="shared" si="0"/>
        <v>#REF!</v>
      </c>
      <c r="B528" s="175"/>
      <c r="C528" s="175"/>
      <c r="D528" s="175"/>
      <c r="E528" s="170"/>
      <c r="F528" s="169"/>
      <c r="G528" s="176"/>
    </row>
    <row r="529" spans="1:7" ht="12.75">
      <c r="A529" s="168" t="e">
        <f t="shared" si="0"/>
        <v>#REF!</v>
      </c>
      <c r="B529" s="175"/>
      <c r="C529" s="175"/>
      <c r="D529" s="175"/>
      <c r="E529" s="170"/>
      <c r="F529" s="169"/>
      <c r="G529" s="176"/>
    </row>
    <row r="530" spans="1:7" ht="12.75">
      <c r="A530" s="168" t="e">
        <f t="shared" si="0"/>
        <v>#REF!</v>
      </c>
      <c r="B530" s="175"/>
      <c r="C530" s="175"/>
      <c r="D530" s="175"/>
      <c r="E530" s="170"/>
      <c r="F530" s="169"/>
      <c r="G530" s="176"/>
    </row>
    <row r="531" spans="1:7" ht="12.75">
      <c r="A531" s="168" t="e">
        <f t="shared" si="0"/>
        <v>#REF!</v>
      </c>
      <c r="B531" s="175"/>
      <c r="C531" s="175"/>
      <c r="D531" s="175"/>
      <c r="E531" s="170"/>
      <c r="F531" s="169"/>
      <c r="G531" s="176"/>
    </row>
    <row r="532" spans="1:7" ht="12.75">
      <c r="A532" s="168" t="e">
        <f t="shared" si="0"/>
        <v>#REF!</v>
      </c>
      <c r="B532" s="175"/>
      <c r="C532" s="175"/>
      <c r="D532" s="175"/>
      <c r="E532" s="170"/>
      <c r="F532" s="169"/>
      <c r="G532" s="176"/>
    </row>
    <row r="533" spans="1:7" ht="12.75">
      <c r="A533" s="168" t="e">
        <f t="shared" si="0"/>
        <v>#REF!</v>
      </c>
      <c r="B533" s="175"/>
      <c r="C533" s="175"/>
      <c r="D533" s="175"/>
      <c r="E533" s="170"/>
      <c r="F533" s="169"/>
      <c r="G533" s="176"/>
    </row>
    <row r="534" spans="1:7" ht="12.75">
      <c r="A534" s="168" t="e">
        <f t="shared" si="0"/>
        <v>#REF!</v>
      </c>
      <c r="B534" s="175"/>
      <c r="C534" s="175"/>
      <c r="D534" s="175"/>
      <c r="E534" s="170"/>
      <c r="F534" s="169"/>
      <c r="G534" s="176"/>
    </row>
    <row r="535" spans="1:7" ht="12.75">
      <c r="A535" s="168" t="e">
        <f t="shared" si="0"/>
        <v>#REF!</v>
      </c>
      <c r="B535" s="175"/>
      <c r="C535" s="175"/>
      <c r="D535" s="175"/>
      <c r="E535" s="170"/>
      <c r="F535" s="169"/>
      <c r="G535" s="176"/>
    </row>
    <row r="536" spans="1:7" ht="12.75">
      <c r="A536" s="168" t="e">
        <f t="shared" si="0"/>
        <v>#REF!</v>
      </c>
      <c r="B536" s="175"/>
      <c r="C536" s="175"/>
      <c r="D536" s="175"/>
      <c r="E536" s="170"/>
      <c r="F536" s="169"/>
      <c r="G536" s="176"/>
    </row>
    <row r="537" spans="1:7" ht="12.75">
      <c r="A537" s="168" t="e">
        <f t="shared" si="0"/>
        <v>#REF!</v>
      </c>
      <c r="B537" s="175"/>
      <c r="C537" s="175"/>
      <c r="D537" s="175"/>
      <c r="E537" s="170"/>
      <c r="F537" s="169"/>
      <c r="G537" s="176"/>
    </row>
    <row r="538" spans="1:7" ht="12.75">
      <c r="A538" s="168" t="e">
        <f t="shared" si="0"/>
        <v>#REF!</v>
      </c>
      <c r="B538" s="175"/>
      <c r="C538" s="175"/>
      <c r="D538" s="175"/>
      <c r="E538" s="170"/>
      <c r="F538" s="169"/>
      <c r="G538" s="176"/>
    </row>
    <row r="539" spans="1:7" ht="12.75">
      <c r="A539" s="168" t="e">
        <f t="shared" si="0"/>
        <v>#REF!</v>
      </c>
      <c r="B539" s="175"/>
      <c r="C539" s="175"/>
      <c r="D539" s="175"/>
      <c r="E539" s="170"/>
      <c r="F539" s="169"/>
      <c r="G539" s="176"/>
    </row>
    <row r="540" spans="1:7" ht="12.75">
      <c r="A540" s="168" t="e">
        <f t="shared" si="0"/>
        <v>#REF!</v>
      </c>
      <c r="B540" s="175"/>
      <c r="C540" s="175"/>
      <c r="D540" s="175"/>
      <c r="E540" s="170"/>
      <c r="F540" s="169"/>
      <c r="G540" s="176"/>
    </row>
    <row r="541" spans="1:7" ht="12.75">
      <c r="A541" s="168" t="e">
        <f t="shared" si="0"/>
        <v>#REF!</v>
      </c>
      <c r="B541" s="175"/>
      <c r="C541" s="175"/>
      <c r="D541" s="175"/>
      <c r="E541" s="170"/>
      <c r="F541" s="169"/>
      <c r="G541" s="176"/>
    </row>
    <row r="542" spans="1:7" ht="12.75">
      <c r="A542" s="168" t="e">
        <f t="shared" si="0"/>
        <v>#REF!</v>
      </c>
      <c r="B542" s="175"/>
      <c r="C542" s="175"/>
      <c r="D542" s="175"/>
      <c r="E542" s="170"/>
      <c r="F542" s="169"/>
      <c r="G542" s="176"/>
    </row>
    <row r="543" spans="1:7" ht="12.75">
      <c r="A543" s="168" t="e">
        <f t="shared" si="0"/>
        <v>#REF!</v>
      </c>
      <c r="B543" s="175"/>
      <c r="C543" s="175"/>
      <c r="D543" s="175"/>
      <c r="E543" s="170"/>
      <c r="F543" s="169"/>
      <c r="G543" s="176"/>
    </row>
    <row r="544" spans="1:7" ht="12.75">
      <c r="A544" s="168" t="e">
        <f t="shared" si="0"/>
        <v>#REF!</v>
      </c>
      <c r="B544" s="175"/>
      <c r="C544" s="175"/>
      <c r="D544" s="175"/>
      <c r="E544" s="170"/>
      <c r="F544" s="169"/>
      <c r="G544" s="176"/>
    </row>
    <row r="545" spans="1:7" ht="12.75">
      <c r="A545" s="168" t="e">
        <f t="shared" si="0"/>
        <v>#REF!</v>
      </c>
      <c r="B545" s="175"/>
      <c r="C545" s="175"/>
      <c r="D545" s="175"/>
      <c r="E545" s="170"/>
      <c r="F545" s="169"/>
      <c r="G545" s="176"/>
    </row>
    <row r="546" spans="1:7" ht="12.75">
      <c r="A546" s="168" t="e">
        <f t="shared" si="0"/>
        <v>#REF!</v>
      </c>
      <c r="B546" s="175"/>
      <c r="C546" s="175"/>
      <c r="D546" s="175"/>
      <c r="E546" s="170"/>
      <c r="F546" s="169"/>
      <c r="G546" s="176"/>
    </row>
    <row r="547" spans="1:7" ht="12.75">
      <c r="A547" s="168" t="e">
        <f t="shared" si="0"/>
        <v>#REF!</v>
      </c>
      <c r="B547" s="175"/>
      <c r="C547" s="175"/>
      <c r="D547" s="175"/>
      <c r="E547" s="170"/>
      <c r="F547" s="169"/>
      <c r="G547" s="176"/>
    </row>
    <row r="548" spans="1:7" ht="12.75">
      <c r="A548" s="168" t="e">
        <f t="shared" si="0"/>
        <v>#REF!</v>
      </c>
      <c r="B548" s="175"/>
      <c r="C548" s="175"/>
      <c r="D548" s="175"/>
      <c r="E548" s="170"/>
      <c r="F548" s="169"/>
      <c r="G548" s="176"/>
    </row>
    <row r="549" spans="1:7" ht="12.75">
      <c r="A549" s="168" t="e">
        <f t="shared" si="0"/>
        <v>#REF!</v>
      </c>
      <c r="B549" s="175"/>
      <c r="C549" s="175"/>
      <c r="D549" s="175"/>
      <c r="E549" s="170"/>
      <c r="F549" s="169"/>
      <c r="G549" s="176"/>
    </row>
    <row r="550" spans="1:7" ht="12.75">
      <c r="A550" s="168" t="e">
        <f t="shared" si="0"/>
        <v>#REF!</v>
      </c>
      <c r="B550" s="175"/>
      <c r="C550" s="175"/>
      <c r="D550" s="175"/>
      <c r="E550" s="170"/>
      <c r="F550" s="169"/>
      <c r="G550" s="176"/>
    </row>
    <row r="551" spans="1:7" ht="12.75">
      <c r="A551" s="168" t="e">
        <f t="shared" si="0"/>
        <v>#REF!</v>
      </c>
      <c r="B551" s="175"/>
      <c r="C551" s="175"/>
      <c r="D551" s="175"/>
      <c r="E551" s="170"/>
      <c r="F551" s="169"/>
      <c r="G551" s="176"/>
    </row>
    <row r="552" spans="1:7" ht="12.75">
      <c r="A552" s="168" t="e">
        <f t="shared" si="0"/>
        <v>#REF!</v>
      </c>
      <c r="B552" s="175"/>
      <c r="C552" s="175"/>
      <c r="D552" s="175"/>
      <c r="E552" s="170"/>
      <c r="F552" s="169"/>
      <c r="G552" s="176"/>
    </row>
    <row r="553" spans="1:7" ht="12.75">
      <c r="A553" s="168" t="e">
        <f t="shared" si="0"/>
        <v>#REF!</v>
      </c>
      <c r="B553" s="175"/>
      <c r="C553" s="175"/>
      <c r="D553" s="175"/>
      <c r="E553" s="170"/>
      <c r="F553" s="169"/>
      <c r="G553" s="176"/>
    </row>
    <row r="554" spans="1:7" ht="12.75">
      <c r="A554" s="168" t="e">
        <f t="shared" si="0"/>
        <v>#REF!</v>
      </c>
      <c r="B554" s="175"/>
      <c r="C554" s="175"/>
      <c r="D554" s="175"/>
      <c r="E554" s="170"/>
      <c r="F554" s="169"/>
      <c r="G554" s="176"/>
    </row>
    <row r="555" spans="1:7" ht="12.75">
      <c r="A555" s="168" t="e">
        <f t="shared" si="0"/>
        <v>#REF!</v>
      </c>
      <c r="B555" s="175"/>
      <c r="C555" s="175"/>
      <c r="D555" s="175"/>
      <c r="E555" s="170"/>
      <c r="F555" s="169"/>
      <c r="G555" s="176"/>
    </row>
    <row r="556" spans="1:7" ht="12.75">
      <c r="A556" s="168" t="e">
        <f t="shared" si="0"/>
        <v>#REF!</v>
      </c>
      <c r="B556" s="175"/>
      <c r="C556" s="175"/>
      <c r="D556" s="175"/>
      <c r="E556" s="170"/>
      <c r="F556" s="169"/>
      <c r="G556" s="176"/>
    </row>
    <row r="557" spans="1:7" ht="12.75">
      <c r="A557" s="168" t="e">
        <f t="shared" si="0"/>
        <v>#REF!</v>
      </c>
      <c r="B557" s="175"/>
      <c r="C557" s="175"/>
      <c r="D557" s="175"/>
      <c r="E557" s="170"/>
      <c r="F557" s="169"/>
      <c r="G557" s="176"/>
    </row>
    <row r="558" spans="1:7" ht="12.75">
      <c r="A558" s="168" t="e">
        <f t="shared" si="0"/>
        <v>#REF!</v>
      </c>
      <c r="B558" s="175"/>
      <c r="C558" s="175"/>
      <c r="D558" s="175"/>
      <c r="E558" s="170"/>
      <c r="F558" s="169"/>
      <c r="G558" s="176"/>
    </row>
    <row r="559" spans="1:7" ht="12.75">
      <c r="A559" s="168" t="e">
        <f t="shared" si="0"/>
        <v>#REF!</v>
      </c>
      <c r="B559" s="175"/>
      <c r="C559" s="175"/>
      <c r="D559" s="175"/>
      <c r="E559" s="170"/>
      <c r="F559" s="169"/>
      <c r="G559" s="176"/>
    </row>
    <row r="560" spans="1:7" ht="12.75">
      <c r="A560" s="168" t="e">
        <f t="shared" si="0"/>
        <v>#REF!</v>
      </c>
      <c r="B560" s="175"/>
      <c r="C560" s="175"/>
      <c r="D560" s="175"/>
      <c r="E560" s="170"/>
      <c r="F560" s="169"/>
      <c r="G560" s="176"/>
    </row>
    <row r="561" spans="1:7" ht="12.75">
      <c r="A561" s="168" t="e">
        <f t="shared" si="0"/>
        <v>#REF!</v>
      </c>
      <c r="B561" s="175"/>
      <c r="C561" s="175"/>
      <c r="D561" s="175"/>
      <c r="E561" s="170"/>
      <c r="F561" s="169"/>
      <c r="G561" s="176"/>
    </row>
    <row r="562" spans="1:7" ht="12.75">
      <c r="A562" s="168" t="e">
        <f t="shared" si="0"/>
        <v>#REF!</v>
      </c>
      <c r="B562" s="175"/>
      <c r="C562" s="175"/>
      <c r="D562" s="175"/>
      <c r="E562" s="170"/>
      <c r="F562" s="169"/>
      <c r="G562" s="176"/>
    </row>
    <row r="563" spans="1:7" ht="12.75">
      <c r="A563" s="168" t="e">
        <f t="shared" si="0"/>
        <v>#REF!</v>
      </c>
      <c r="B563" s="175"/>
      <c r="C563" s="175"/>
      <c r="D563" s="175"/>
      <c r="E563" s="170"/>
      <c r="F563" s="169"/>
      <c r="G563" s="176"/>
    </row>
    <row r="564" spans="1:7" ht="12.75">
      <c r="A564" s="168" t="e">
        <f t="shared" si="0"/>
        <v>#REF!</v>
      </c>
      <c r="B564" s="175"/>
      <c r="C564" s="175"/>
      <c r="D564" s="175"/>
      <c r="E564" s="170"/>
      <c r="F564" s="169"/>
      <c r="G564" s="176"/>
    </row>
    <row r="565" spans="1:7" ht="12.75">
      <c r="A565" s="168" t="e">
        <f t="shared" si="0"/>
        <v>#REF!</v>
      </c>
      <c r="B565" s="175"/>
      <c r="C565" s="175"/>
      <c r="D565" s="175"/>
      <c r="E565" s="170"/>
      <c r="F565" s="169"/>
      <c r="G565" s="176"/>
    </row>
    <row r="566" spans="1:7" ht="12.75">
      <c r="A566" s="168" t="e">
        <f t="shared" si="0"/>
        <v>#REF!</v>
      </c>
      <c r="B566" s="175"/>
      <c r="C566" s="175"/>
      <c r="D566" s="175"/>
      <c r="E566" s="170"/>
      <c r="F566" s="169"/>
      <c r="G566" s="176"/>
    </row>
    <row r="567" spans="1:7" ht="12.75">
      <c r="A567" s="168" t="e">
        <f t="shared" si="0"/>
        <v>#REF!</v>
      </c>
      <c r="B567" s="175"/>
      <c r="C567" s="175"/>
      <c r="D567" s="175"/>
      <c r="E567" s="170"/>
      <c r="F567" s="169"/>
      <c r="G567" s="176"/>
    </row>
    <row r="568" spans="1:7" ht="12.75">
      <c r="A568" s="168" t="e">
        <f t="shared" si="0"/>
        <v>#REF!</v>
      </c>
      <c r="B568" s="175"/>
      <c r="C568" s="175"/>
      <c r="D568" s="175"/>
      <c r="E568" s="170"/>
      <c r="F568" s="169"/>
      <c r="G568" s="176"/>
    </row>
    <row r="569" spans="1:7" ht="12.75">
      <c r="A569" s="168" t="e">
        <f t="shared" si="0"/>
        <v>#REF!</v>
      </c>
      <c r="B569" s="175"/>
      <c r="C569" s="175"/>
      <c r="D569" s="175"/>
      <c r="E569" s="170"/>
      <c r="F569" s="169"/>
      <c r="G569" s="176"/>
    </row>
    <row r="570" spans="1:7" ht="12.75">
      <c r="A570" s="168" t="e">
        <f t="shared" si="0"/>
        <v>#REF!</v>
      </c>
      <c r="B570" s="175"/>
      <c r="C570" s="175"/>
      <c r="D570" s="175"/>
      <c r="E570" s="170"/>
      <c r="F570" s="169"/>
      <c r="G570" s="176"/>
    </row>
    <row r="571" spans="1:7" ht="12.75">
      <c r="A571" s="168" t="e">
        <f t="shared" si="0"/>
        <v>#REF!</v>
      </c>
      <c r="B571" s="175"/>
      <c r="C571" s="175"/>
      <c r="D571" s="175"/>
      <c r="E571" s="170"/>
      <c r="F571" s="169"/>
      <c r="G571" s="176"/>
    </row>
    <row r="572" spans="1:7" ht="12.75">
      <c r="A572" s="168" t="e">
        <f t="shared" si="0"/>
        <v>#REF!</v>
      </c>
      <c r="B572" s="175"/>
      <c r="C572" s="175"/>
      <c r="D572" s="175"/>
      <c r="E572" s="170"/>
      <c r="F572" s="169"/>
      <c r="G572" s="176"/>
    </row>
    <row r="573" spans="1:7" ht="12.75">
      <c r="A573" s="168" t="e">
        <f t="shared" si="0"/>
        <v>#REF!</v>
      </c>
      <c r="B573" s="175"/>
      <c r="C573" s="175"/>
      <c r="D573" s="175"/>
      <c r="E573" s="170"/>
      <c r="F573" s="169"/>
      <c r="G573" s="176"/>
    </row>
    <row r="574" spans="1:7" ht="12.75">
      <c r="A574" s="168" t="e">
        <f t="shared" si="0"/>
        <v>#REF!</v>
      </c>
      <c r="B574" s="175"/>
      <c r="C574" s="175"/>
      <c r="D574" s="175"/>
      <c r="E574" s="170"/>
      <c r="F574" s="169"/>
      <c r="G574" s="176"/>
    </row>
    <row r="575" spans="1:7" ht="12.75">
      <c r="A575" s="168" t="e">
        <f t="shared" si="0"/>
        <v>#REF!</v>
      </c>
      <c r="B575" s="175"/>
      <c r="C575" s="175"/>
      <c r="D575" s="175"/>
      <c r="E575" s="170"/>
      <c r="F575" s="169"/>
      <c r="G575" s="176"/>
    </row>
    <row r="576" spans="1:7" ht="12.75">
      <c r="A576" s="168" t="e">
        <f t="shared" si="0"/>
        <v>#REF!</v>
      </c>
      <c r="B576" s="175"/>
      <c r="C576" s="175"/>
      <c r="D576" s="175"/>
      <c r="E576" s="170"/>
      <c r="F576" s="169"/>
      <c r="G576" s="176"/>
    </row>
    <row r="577" spans="1:7" ht="12.75">
      <c r="A577" s="168" t="e">
        <f t="shared" si="0"/>
        <v>#REF!</v>
      </c>
      <c r="B577" s="175"/>
      <c r="C577" s="175"/>
      <c r="D577" s="175"/>
      <c r="E577" s="170"/>
      <c r="F577" s="169"/>
      <c r="G577" s="176"/>
    </row>
    <row r="578" spans="1:7" ht="12.75">
      <c r="A578" s="168" t="e">
        <f t="shared" si="0"/>
        <v>#REF!</v>
      </c>
      <c r="B578" s="175"/>
      <c r="C578" s="175"/>
      <c r="D578" s="175"/>
      <c r="E578" s="170"/>
      <c r="F578" s="169"/>
      <c r="G578" s="176"/>
    </row>
    <row r="579" spans="1:7" ht="12.75">
      <c r="A579" s="168" t="e">
        <f t="shared" si="0"/>
        <v>#REF!</v>
      </c>
      <c r="B579" s="175"/>
      <c r="C579" s="175"/>
      <c r="D579" s="175"/>
      <c r="E579" s="170"/>
      <c r="F579" s="169"/>
      <c r="G579" s="176"/>
    </row>
    <row r="580" spans="1:7" ht="12.75">
      <c r="A580" s="168" t="e">
        <f t="shared" si="0"/>
        <v>#REF!</v>
      </c>
      <c r="B580" s="175"/>
      <c r="C580" s="175"/>
      <c r="D580" s="175"/>
      <c r="E580" s="170"/>
      <c r="F580" s="169"/>
      <c r="G580" s="176"/>
    </row>
    <row r="581" spans="1:7" ht="12.75">
      <c r="A581" s="168" t="e">
        <f t="shared" si="0"/>
        <v>#REF!</v>
      </c>
      <c r="B581" s="175"/>
      <c r="C581" s="175"/>
      <c r="D581" s="175"/>
      <c r="E581" s="170"/>
      <c r="F581" s="169"/>
      <c r="G581" s="176"/>
    </row>
    <row r="582" spans="1:7" ht="12.75">
      <c r="A582" s="168" t="e">
        <f t="shared" si="0"/>
        <v>#REF!</v>
      </c>
      <c r="B582" s="175"/>
      <c r="C582" s="175"/>
      <c r="D582" s="175"/>
      <c r="E582" s="170"/>
      <c r="F582" s="169"/>
      <c r="G582" s="176"/>
    </row>
    <row r="583" spans="1:7" ht="12.75">
      <c r="A583" s="168" t="e">
        <f t="shared" si="0"/>
        <v>#REF!</v>
      </c>
      <c r="B583" s="175"/>
      <c r="C583" s="175"/>
      <c r="D583" s="175"/>
      <c r="E583" s="170"/>
      <c r="F583" s="169"/>
      <c r="G583" s="176"/>
    </row>
    <row r="584" spans="1:7" ht="12.75">
      <c r="A584" s="168" t="e">
        <f t="shared" si="0"/>
        <v>#REF!</v>
      </c>
      <c r="B584" s="175"/>
      <c r="C584" s="175"/>
      <c r="D584" s="175"/>
      <c r="E584" s="170"/>
      <c r="F584" s="169"/>
      <c r="G584" s="176"/>
    </row>
    <row r="585" spans="1:7" ht="12.75">
      <c r="A585" s="168" t="e">
        <f t="shared" si="0"/>
        <v>#REF!</v>
      </c>
      <c r="B585" s="175"/>
      <c r="C585" s="175"/>
      <c r="D585" s="175"/>
      <c r="E585" s="170"/>
      <c r="F585" s="169"/>
      <c r="G585" s="176"/>
    </row>
    <row r="586" spans="1:7" ht="12.75">
      <c r="A586" s="168" t="e">
        <f t="shared" si="0"/>
        <v>#REF!</v>
      </c>
      <c r="B586" s="175"/>
      <c r="C586" s="175"/>
      <c r="D586" s="175"/>
      <c r="E586" s="170"/>
      <c r="F586" s="169"/>
      <c r="G586" s="176"/>
    </row>
    <row r="587" spans="1:7" ht="12.75">
      <c r="A587" s="168" t="e">
        <f t="shared" si="0"/>
        <v>#REF!</v>
      </c>
      <c r="B587" s="175"/>
      <c r="C587" s="175"/>
      <c r="D587" s="175"/>
      <c r="E587" s="170"/>
      <c r="F587" s="169"/>
      <c r="G587" s="176"/>
    </row>
    <row r="588" spans="1:7" ht="12.75">
      <c r="A588" s="168" t="e">
        <f t="shared" si="0"/>
        <v>#REF!</v>
      </c>
      <c r="B588" s="175"/>
      <c r="C588" s="175"/>
      <c r="D588" s="175"/>
      <c r="E588" s="170"/>
      <c r="F588" s="169"/>
      <c r="G588" s="176"/>
    </row>
    <row r="589" spans="1:7" ht="12.75">
      <c r="A589" s="168" t="e">
        <f t="shared" si="0"/>
        <v>#REF!</v>
      </c>
      <c r="B589" s="175"/>
      <c r="C589" s="175"/>
      <c r="D589" s="175"/>
      <c r="E589" s="170"/>
      <c r="F589" s="169"/>
      <c r="G589" s="176"/>
    </row>
    <row r="590" spans="1:7" ht="12.75">
      <c r="A590" s="168" t="e">
        <f t="shared" si="0"/>
        <v>#REF!</v>
      </c>
      <c r="B590" s="175"/>
      <c r="C590" s="175"/>
      <c r="D590" s="175"/>
      <c r="E590" s="170"/>
      <c r="F590" s="169"/>
      <c r="G590" s="176"/>
    </row>
    <row r="591" spans="1:7" ht="12.75">
      <c r="A591" s="168" t="e">
        <f t="shared" si="0"/>
        <v>#REF!</v>
      </c>
      <c r="B591" s="175"/>
      <c r="C591" s="175"/>
      <c r="D591" s="175"/>
      <c r="E591" s="170"/>
      <c r="F591" s="169"/>
      <c r="G591" s="176"/>
    </row>
    <row r="592" spans="1:7" ht="12.75">
      <c r="A592" s="168" t="e">
        <f t="shared" si="0"/>
        <v>#REF!</v>
      </c>
      <c r="B592" s="175"/>
      <c r="C592" s="175"/>
      <c r="D592" s="175"/>
      <c r="E592" s="170"/>
      <c r="F592" s="169"/>
      <c r="G592" s="176"/>
    </row>
    <row r="593" spans="1:7" ht="12.75">
      <c r="A593" s="168" t="e">
        <f t="shared" si="0"/>
        <v>#REF!</v>
      </c>
      <c r="B593" s="175"/>
      <c r="C593" s="175"/>
      <c r="D593" s="175"/>
      <c r="E593" s="170"/>
      <c r="F593" s="169"/>
      <c r="G593" s="176"/>
    </row>
    <row r="594" spans="1:7" ht="12.75">
      <c r="A594" s="168" t="e">
        <f t="shared" si="0"/>
        <v>#REF!</v>
      </c>
      <c r="B594" s="175"/>
      <c r="C594" s="175"/>
      <c r="D594" s="175"/>
      <c r="E594" s="170"/>
      <c r="F594" s="169"/>
      <c r="G594" s="176"/>
    </row>
    <row r="595" spans="1:7" ht="12.75">
      <c r="A595" s="168" t="e">
        <f t="shared" si="0"/>
        <v>#REF!</v>
      </c>
      <c r="B595" s="175"/>
      <c r="C595" s="175"/>
      <c r="D595" s="175"/>
      <c r="E595" s="170"/>
      <c r="F595" s="169"/>
      <c r="G595" s="176"/>
    </row>
    <row r="596" spans="1:7" ht="12.75">
      <c r="A596" s="168" t="e">
        <f t="shared" si="0"/>
        <v>#REF!</v>
      </c>
      <c r="B596" s="175"/>
      <c r="C596" s="175"/>
      <c r="D596" s="175"/>
      <c r="E596" s="170"/>
      <c r="F596" s="169"/>
      <c r="G596" s="176"/>
    </row>
    <row r="597" spans="1:7" ht="12.75">
      <c r="A597" s="168" t="e">
        <f t="shared" si="0"/>
        <v>#REF!</v>
      </c>
      <c r="B597" s="175"/>
      <c r="C597" s="175"/>
      <c r="D597" s="175"/>
      <c r="E597" s="170"/>
      <c r="F597" s="169"/>
      <c r="G597" s="176"/>
    </row>
    <row r="598" spans="1:7" ht="12.75">
      <c r="A598" s="168" t="e">
        <f t="shared" si="0"/>
        <v>#REF!</v>
      </c>
      <c r="B598" s="175"/>
      <c r="C598" s="175"/>
      <c r="D598" s="175"/>
      <c r="E598" s="170"/>
      <c r="F598" s="169"/>
      <c r="G598" s="176"/>
    </row>
    <row r="599" spans="1:7" ht="12.75">
      <c r="A599" s="168" t="e">
        <f t="shared" si="0"/>
        <v>#REF!</v>
      </c>
      <c r="B599" s="175"/>
      <c r="C599" s="175"/>
      <c r="D599" s="175"/>
      <c r="E599" s="170"/>
      <c r="F599" s="169"/>
      <c r="G599" s="176"/>
    </row>
    <row r="600" spans="1:7" ht="12.75">
      <c r="A600" s="168" t="e">
        <f t="shared" si="0"/>
        <v>#REF!</v>
      </c>
      <c r="B600" s="175"/>
      <c r="C600" s="175"/>
      <c r="D600" s="175"/>
      <c r="E600" s="170"/>
      <c r="F600" s="169"/>
      <c r="G600" s="176"/>
    </row>
    <row r="601" spans="1:7" ht="12.75">
      <c r="A601" s="168" t="e">
        <f t="shared" si="0"/>
        <v>#REF!</v>
      </c>
      <c r="B601" s="175"/>
      <c r="C601" s="175"/>
      <c r="D601" s="175"/>
      <c r="E601" s="170"/>
      <c r="F601" s="169"/>
      <c r="G601" s="176"/>
    </row>
    <row r="602" spans="1:7" ht="12.75">
      <c r="A602" s="168" t="e">
        <f t="shared" si="0"/>
        <v>#REF!</v>
      </c>
      <c r="B602" s="175"/>
      <c r="C602" s="175"/>
      <c r="D602" s="175"/>
      <c r="E602" s="170"/>
      <c r="F602" s="169"/>
      <c r="G602" s="176"/>
    </row>
    <row r="603" spans="1:7" ht="12.75">
      <c r="A603" s="168" t="e">
        <f t="shared" si="0"/>
        <v>#REF!</v>
      </c>
      <c r="B603" s="175"/>
      <c r="C603" s="175"/>
      <c r="D603" s="175"/>
      <c r="E603" s="170"/>
      <c r="F603" s="169"/>
      <c r="G603" s="176"/>
    </row>
    <row r="604" spans="1:7" ht="12.75">
      <c r="A604" s="168" t="e">
        <f t="shared" si="0"/>
        <v>#REF!</v>
      </c>
      <c r="B604" s="175"/>
      <c r="C604" s="175"/>
      <c r="D604" s="175"/>
      <c r="E604" s="170"/>
      <c r="F604" s="169"/>
      <c r="G604" s="176"/>
    </row>
    <row r="605" spans="1:7" ht="12.75">
      <c r="A605" s="168" t="e">
        <f t="shared" si="0"/>
        <v>#REF!</v>
      </c>
      <c r="B605" s="175"/>
      <c r="C605" s="175"/>
      <c r="D605" s="175"/>
      <c r="E605" s="170"/>
      <c r="F605" s="169"/>
      <c r="G605" s="176"/>
    </row>
    <row r="606" spans="1:7" ht="12.75">
      <c r="A606" s="168" t="e">
        <f t="shared" si="0"/>
        <v>#REF!</v>
      </c>
      <c r="B606" s="175"/>
      <c r="C606" s="175"/>
      <c r="D606" s="175"/>
      <c r="E606" s="170"/>
      <c r="F606" s="169"/>
      <c r="G606" s="176"/>
    </row>
    <row r="607" spans="1:7" ht="12.75">
      <c r="A607" s="168" t="e">
        <f t="shared" si="0"/>
        <v>#REF!</v>
      </c>
      <c r="B607" s="175"/>
      <c r="C607" s="175"/>
      <c r="D607" s="175"/>
      <c r="E607" s="170"/>
      <c r="F607" s="169"/>
      <c r="G607" s="176"/>
    </row>
    <row r="608" spans="1:7" ht="12.75">
      <c r="A608" s="168" t="e">
        <f t="shared" si="0"/>
        <v>#REF!</v>
      </c>
      <c r="B608" s="175"/>
      <c r="C608" s="175"/>
      <c r="D608" s="175"/>
      <c r="E608" s="170"/>
      <c r="F608" s="169"/>
      <c r="G608" s="176"/>
    </row>
    <row r="609" spans="1:7" ht="12.75">
      <c r="A609" s="168" t="e">
        <f t="shared" si="0"/>
        <v>#REF!</v>
      </c>
      <c r="B609" s="175"/>
      <c r="C609" s="175"/>
      <c r="D609" s="175"/>
      <c r="E609" s="170"/>
      <c r="F609" s="169"/>
      <c r="G609" s="176"/>
    </row>
    <row r="610" spans="1:7" ht="12.75">
      <c r="A610" s="168" t="e">
        <f t="shared" si="0"/>
        <v>#REF!</v>
      </c>
      <c r="B610" s="175"/>
      <c r="C610" s="175"/>
      <c r="D610" s="175"/>
      <c r="E610" s="170"/>
      <c r="F610" s="169"/>
      <c r="G610" s="176"/>
    </row>
    <row r="611" spans="1:7" ht="12.75">
      <c r="A611" s="168" t="e">
        <f t="shared" si="0"/>
        <v>#REF!</v>
      </c>
      <c r="B611" s="175"/>
      <c r="C611" s="175"/>
      <c r="D611" s="175"/>
      <c r="E611" s="170"/>
      <c r="F611" s="169"/>
      <c r="G611" s="176"/>
    </row>
    <row r="612" spans="1:7" ht="12.75">
      <c r="A612" s="168" t="e">
        <f t="shared" si="0"/>
        <v>#REF!</v>
      </c>
      <c r="B612" s="175"/>
      <c r="C612" s="175"/>
      <c r="D612" s="175"/>
      <c r="E612" s="170"/>
      <c r="F612" s="169"/>
      <c r="G612" s="176"/>
    </row>
    <row r="613" spans="1:7" ht="12.75">
      <c r="A613" s="168" t="e">
        <f t="shared" si="0"/>
        <v>#REF!</v>
      </c>
      <c r="B613" s="175"/>
      <c r="C613" s="175"/>
      <c r="D613" s="175"/>
      <c r="E613" s="170"/>
      <c r="F613" s="169"/>
      <c r="G613" s="176"/>
    </row>
    <row r="614" spans="1:7" ht="12.75">
      <c r="A614" s="168" t="e">
        <f t="shared" si="0"/>
        <v>#REF!</v>
      </c>
      <c r="B614" s="175"/>
      <c r="C614" s="175"/>
      <c r="D614" s="175"/>
      <c r="E614" s="170"/>
      <c r="F614" s="169"/>
      <c r="G614" s="176"/>
    </row>
    <row r="615" spans="1:7" ht="12.75">
      <c r="A615" s="168" t="e">
        <f t="shared" si="0"/>
        <v>#REF!</v>
      </c>
      <c r="B615" s="175"/>
      <c r="C615" s="175"/>
      <c r="D615" s="175"/>
      <c r="E615" s="170"/>
      <c r="F615" s="169"/>
      <c r="G615" s="176"/>
    </row>
    <row r="616" spans="1:7" ht="12.75">
      <c r="A616" s="168" t="e">
        <f t="shared" si="0"/>
        <v>#REF!</v>
      </c>
      <c r="B616" s="175"/>
      <c r="C616" s="175"/>
      <c r="D616" s="175"/>
      <c r="E616" s="170"/>
      <c r="F616" s="169"/>
      <c r="G616" s="176"/>
    </row>
    <row r="617" spans="1:7" ht="12.75">
      <c r="A617" s="168" t="e">
        <f t="shared" si="0"/>
        <v>#REF!</v>
      </c>
      <c r="B617" s="175"/>
      <c r="C617" s="175"/>
      <c r="D617" s="175"/>
      <c r="E617" s="170"/>
      <c r="F617" s="169"/>
      <c r="G617" s="176"/>
    </row>
    <row r="618" spans="1:7" ht="12.75">
      <c r="A618" s="168" t="e">
        <f t="shared" si="0"/>
        <v>#REF!</v>
      </c>
      <c r="B618" s="175"/>
      <c r="C618" s="175"/>
      <c r="D618" s="175"/>
      <c r="E618" s="170"/>
      <c r="F618" s="169"/>
      <c r="G618" s="176"/>
    </row>
    <row r="619" spans="1:7" ht="12.75">
      <c r="A619" s="168" t="e">
        <f t="shared" si="0"/>
        <v>#REF!</v>
      </c>
      <c r="B619" s="175"/>
      <c r="C619" s="175"/>
      <c r="D619" s="175"/>
      <c r="E619" s="170"/>
      <c r="F619" s="169"/>
      <c r="G619" s="176"/>
    </row>
    <row r="620" spans="1:7" ht="12.75">
      <c r="A620" s="168" t="e">
        <f t="shared" si="0"/>
        <v>#REF!</v>
      </c>
      <c r="B620" s="175"/>
      <c r="C620" s="175"/>
      <c r="D620" s="175"/>
      <c r="E620" s="170"/>
      <c r="F620" s="169"/>
      <c r="G620" s="176"/>
    </row>
    <row r="621" spans="1:7" ht="12.75">
      <c r="A621" s="168" t="e">
        <f t="shared" si="0"/>
        <v>#REF!</v>
      </c>
      <c r="B621" s="175"/>
      <c r="C621" s="175"/>
      <c r="D621" s="175"/>
      <c r="E621" s="170"/>
      <c r="F621" s="169"/>
      <c r="G621" s="176"/>
    </row>
    <row r="622" spans="1:7" ht="12.75">
      <c r="A622" s="168" t="e">
        <f t="shared" si="0"/>
        <v>#REF!</v>
      </c>
      <c r="B622" s="175"/>
      <c r="C622" s="175"/>
      <c r="D622" s="175"/>
      <c r="E622" s="170"/>
      <c r="F622" s="169"/>
      <c r="G622" s="176"/>
    </row>
    <row r="623" spans="1:7" ht="12.75">
      <c r="A623" s="168" t="e">
        <f t="shared" si="0"/>
        <v>#REF!</v>
      </c>
      <c r="B623" s="175"/>
      <c r="C623" s="175"/>
      <c r="D623" s="175"/>
      <c r="E623" s="170"/>
      <c r="F623" s="169"/>
      <c r="G623" s="176"/>
    </row>
    <row r="624" spans="1:7" ht="12.75">
      <c r="A624" s="168" t="e">
        <f t="shared" si="0"/>
        <v>#REF!</v>
      </c>
      <c r="B624" s="175"/>
      <c r="C624" s="175"/>
      <c r="D624" s="175"/>
      <c r="E624" s="170"/>
      <c r="F624" s="169"/>
      <c r="G624" s="176"/>
    </row>
    <row r="625" spans="1:7" ht="12.75">
      <c r="A625" s="168" t="e">
        <f t="shared" si="0"/>
        <v>#REF!</v>
      </c>
      <c r="B625" s="175"/>
      <c r="C625" s="175"/>
      <c r="D625" s="175"/>
      <c r="E625" s="170"/>
      <c r="F625" s="169"/>
      <c r="G625" s="176"/>
    </row>
    <row r="626" spans="1:7" ht="12.75">
      <c r="A626" s="168" t="e">
        <f t="shared" si="0"/>
        <v>#REF!</v>
      </c>
      <c r="B626" s="175"/>
      <c r="C626" s="175"/>
      <c r="D626" s="175"/>
      <c r="E626" s="170"/>
      <c r="F626" s="169"/>
      <c r="G626" s="176"/>
    </row>
    <row r="627" spans="1:7" ht="12.75">
      <c r="A627" s="168" t="e">
        <f t="shared" si="0"/>
        <v>#REF!</v>
      </c>
      <c r="B627" s="175"/>
      <c r="C627" s="175"/>
      <c r="D627" s="175"/>
      <c r="E627" s="170"/>
      <c r="F627" s="169"/>
      <c r="G627" s="176"/>
    </row>
    <row r="628" spans="1:7" ht="12.75">
      <c r="A628" s="168" t="e">
        <f t="shared" si="0"/>
        <v>#REF!</v>
      </c>
      <c r="B628" s="175"/>
      <c r="C628" s="175"/>
      <c r="D628" s="175"/>
      <c r="E628" s="170"/>
      <c r="F628" s="169"/>
      <c r="G628" s="176"/>
    </row>
    <row r="629" spans="1:7" ht="12.75">
      <c r="A629" s="168" t="e">
        <f t="shared" si="0"/>
        <v>#REF!</v>
      </c>
      <c r="B629" s="175"/>
      <c r="C629" s="175"/>
      <c r="D629" s="175"/>
      <c r="E629" s="170"/>
      <c r="F629" s="169"/>
      <c r="G629" s="176"/>
    </row>
    <row r="630" spans="1:7" ht="12.75">
      <c r="A630" s="168" t="e">
        <f t="shared" si="0"/>
        <v>#REF!</v>
      </c>
      <c r="B630" s="175"/>
      <c r="C630" s="175"/>
      <c r="D630" s="175"/>
      <c r="E630" s="170"/>
      <c r="F630" s="169"/>
      <c r="G630" s="176"/>
    </row>
    <row r="631" spans="1:7" ht="12.75">
      <c r="A631" s="168" t="e">
        <f t="shared" si="0"/>
        <v>#REF!</v>
      </c>
      <c r="B631" s="175"/>
      <c r="C631" s="175"/>
      <c r="D631" s="175"/>
      <c r="E631" s="170"/>
      <c r="F631" s="169"/>
      <c r="G631" s="176"/>
    </row>
    <row r="632" spans="1:7" ht="12.75">
      <c r="A632" s="168" t="e">
        <f t="shared" si="0"/>
        <v>#REF!</v>
      </c>
      <c r="B632" s="175"/>
      <c r="C632" s="175"/>
      <c r="D632" s="175"/>
      <c r="E632" s="170"/>
      <c r="F632" s="169"/>
      <c r="G632" s="176"/>
    </row>
    <row r="633" spans="1:7" ht="12.75">
      <c r="A633" s="168" t="e">
        <f t="shared" si="0"/>
        <v>#REF!</v>
      </c>
      <c r="B633" s="175"/>
      <c r="C633" s="175"/>
      <c r="D633" s="175"/>
      <c r="E633" s="170"/>
      <c r="F633" s="169"/>
      <c r="G633" s="176"/>
    </row>
    <row r="634" spans="1:7" ht="12.75">
      <c r="A634" s="168" t="e">
        <f t="shared" si="0"/>
        <v>#REF!</v>
      </c>
      <c r="B634" s="175"/>
      <c r="C634" s="175"/>
      <c r="D634" s="175"/>
      <c r="E634" s="170"/>
      <c r="F634" s="169"/>
      <c r="G634" s="176"/>
    </row>
    <row r="635" spans="1:7" ht="12.75">
      <c r="A635" s="168" t="e">
        <f t="shared" si="0"/>
        <v>#REF!</v>
      </c>
      <c r="B635" s="175"/>
      <c r="C635" s="175"/>
      <c r="D635" s="175"/>
      <c r="E635" s="170"/>
      <c r="F635" s="169"/>
      <c r="G635" s="176"/>
    </row>
    <row r="636" spans="1:7" ht="12.75">
      <c r="A636" s="168" t="e">
        <f t="shared" si="0"/>
        <v>#REF!</v>
      </c>
      <c r="B636" s="175"/>
      <c r="C636" s="175"/>
      <c r="D636" s="175"/>
      <c r="E636" s="170"/>
      <c r="F636" s="169"/>
      <c r="G636" s="176"/>
    </row>
    <row r="637" spans="1:7" ht="12.75">
      <c r="A637" s="168" t="e">
        <f t="shared" si="0"/>
        <v>#REF!</v>
      </c>
      <c r="B637" s="175"/>
      <c r="C637" s="175"/>
      <c r="D637" s="175"/>
      <c r="E637" s="170"/>
      <c r="F637" s="169"/>
      <c r="G637" s="176"/>
    </row>
    <row r="638" spans="1:7" ht="12.75">
      <c r="A638" s="168" t="e">
        <f t="shared" si="0"/>
        <v>#REF!</v>
      </c>
      <c r="B638" s="175"/>
      <c r="C638" s="175"/>
      <c r="D638" s="175"/>
      <c r="E638" s="170"/>
      <c r="F638" s="169"/>
      <c r="G638" s="176"/>
    </row>
    <row r="639" spans="1:7" ht="12.75">
      <c r="A639" s="168" t="e">
        <f t="shared" si="0"/>
        <v>#REF!</v>
      </c>
      <c r="B639" s="175"/>
      <c r="C639" s="175"/>
      <c r="D639" s="175"/>
      <c r="E639" s="170"/>
      <c r="F639" s="169"/>
      <c r="G639" s="176"/>
    </row>
    <row r="640" spans="1:7" ht="12.75">
      <c r="A640" s="168" t="e">
        <f t="shared" si="0"/>
        <v>#REF!</v>
      </c>
      <c r="B640" s="175"/>
      <c r="C640" s="175"/>
      <c r="D640" s="175"/>
      <c r="E640" s="170"/>
      <c r="F640" s="169"/>
      <c r="G640" s="176"/>
    </row>
    <row r="641" spans="1:7" ht="12.75">
      <c r="A641" s="168" t="e">
        <f t="shared" si="0"/>
        <v>#REF!</v>
      </c>
      <c r="B641" s="175"/>
      <c r="C641" s="175"/>
      <c r="D641" s="175"/>
      <c r="E641" s="170"/>
      <c r="F641" s="169"/>
      <c r="G641" s="176"/>
    </row>
    <row r="642" spans="1:7" ht="12.75">
      <c r="A642" s="168" t="e">
        <f t="shared" si="0"/>
        <v>#REF!</v>
      </c>
      <c r="B642" s="175"/>
      <c r="C642" s="175"/>
      <c r="D642" s="175"/>
      <c r="E642" s="170"/>
      <c r="F642" s="169"/>
      <c r="G642" s="176"/>
    </row>
    <row r="643" spans="1:7" ht="12.75">
      <c r="A643" s="168" t="e">
        <f t="shared" si="0"/>
        <v>#REF!</v>
      </c>
      <c r="B643" s="175"/>
      <c r="C643" s="175"/>
      <c r="D643" s="175"/>
      <c r="E643" s="170"/>
      <c r="F643" s="169"/>
      <c r="G643" s="176"/>
    </row>
    <row r="644" spans="1:7" ht="12.75">
      <c r="A644" s="168" t="e">
        <f t="shared" si="0"/>
        <v>#REF!</v>
      </c>
      <c r="B644" s="175"/>
      <c r="C644" s="175"/>
      <c r="D644" s="175"/>
      <c r="E644" s="170"/>
      <c r="F644" s="169"/>
      <c r="G644" s="176"/>
    </row>
    <row r="645" spans="1:7" ht="12.75">
      <c r="A645" s="168" t="e">
        <f t="shared" si="0"/>
        <v>#REF!</v>
      </c>
      <c r="B645" s="175"/>
      <c r="C645" s="175"/>
      <c r="D645" s="175"/>
      <c r="E645" s="170"/>
      <c r="F645" s="169"/>
      <c r="G645" s="176"/>
    </row>
    <row r="646" spans="1:7" ht="12.75">
      <c r="A646" s="168" t="e">
        <f t="shared" si="0"/>
        <v>#REF!</v>
      </c>
      <c r="B646" s="175"/>
      <c r="C646" s="175"/>
      <c r="D646" s="175"/>
      <c r="E646" s="170"/>
      <c r="F646" s="169"/>
      <c r="G646" s="176"/>
    </row>
    <row r="647" spans="1:7" ht="12.75">
      <c r="A647" s="168" t="e">
        <f t="shared" si="0"/>
        <v>#REF!</v>
      </c>
      <c r="B647" s="175"/>
      <c r="C647" s="175"/>
      <c r="D647" s="175"/>
      <c r="E647" s="170"/>
      <c r="F647" s="169"/>
      <c r="G647" s="176"/>
    </row>
    <row r="648" spans="1:7" ht="12.75">
      <c r="A648" s="168" t="e">
        <f t="shared" si="0"/>
        <v>#REF!</v>
      </c>
      <c r="B648" s="175"/>
      <c r="C648" s="175"/>
      <c r="D648" s="175"/>
      <c r="E648" s="170"/>
      <c r="F648" s="169"/>
      <c r="G648" s="176"/>
    </row>
    <row r="649" spans="1:7" ht="12.75">
      <c r="A649" s="168" t="e">
        <f t="shared" si="0"/>
        <v>#REF!</v>
      </c>
      <c r="B649" s="175"/>
      <c r="C649" s="175"/>
      <c r="D649" s="175"/>
      <c r="E649" s="170"/>
      <c r="F649" s="169"/>
      <c r="G649" s="176"/>
    </row>
    <row r="650" spans="1:7" ht="12.75">
      <c r="A650" s="168" t="e">
        <f t="shared" si="0"/>
        <v>#REF!</v>
      </c>
      <c r="B650" s="175"/>
      <c r="C650" s="175"/>
      <c r="D650" s="175"/>
      <c r="E650" s="170"/>
      <c r="F650" s="169"/>
      <c r="G650" s="176"/>
    </row>
    <row r="651" spans="1:7" ht="12.75">
      <c r="A651" s="168" t="e">
        <f t="shared" si="0"/>
        <v>#REF!</v>
      </c>
      <c r="B651" s="175"/>
      <c r="C651" s="175"/>
      <c r="D651" s="175"/>
      <c r="E651" s="170"/>
      <c r="F651" s="169"/>
      <c r="G651" s="176"/>
    </row>
    <row r="652" spans="1:7" ht="12.75">
      <c r="A652" s="168" t="e">
        <f t="shared" si="0"/>
        <v>#REF!</v>
      </c>
      <c r="B652" s="175"/>
      <c r="C652" s="175"/>
      <c r="D652" s="175"/>
      <c r="E652" s="170"/>
      <c r="F652" s="169"/>
      <c r="G652" s="176"/>
    </row>
    <row r="653" spans="1:7" ht="12.75">
      <c r="A653" s="168" t="e">
        <f t="shared" si="0"/>
        <v>#REF!</v>
      </c>
      <c r="B653" s="175"/>
      <c r="C653" s="175"/>
      <c r="D653" s="175"/>
      <c r="E653" s="170"/>
      <c r="F653" s="169"/>
      <c r="G653" s="176"/>
    </row>
    <row r="654" spans="1:7" ht="12.75">
      <c r="A654" s="168" t="e">
        <f t="shared" si="0"/>
        <v>#REF!</v>
      </c>
      <c r="B654" s="175"/>
      <c r="C654" s="175"/>
      <c r="D654" s="175"/>
      <c r="E654" s="170"/>
      <c r="F654" s="169"/>
      <c r="G654" s="176"/>
    </row>
    <row r="655" spans="1:7" ht="12.75">
      <c r="A655" s="168" t="e">
        <f t="shared" si="0"/>
        <v>#REF!</v>
      </c>
      <c r="B655" s="175"/>
      <c r="C655" s="175"/>
      <c r="D655" s="175"/>
      <c r="E655" s="170"/>
      <c r="F655" s="169"/>
      <c r="G655" s="176"/>
    </row>
    <row r="656" spans="1:7" ht="12.75">
      <c r="A656" s="168" t="e">
        <f t="shared" si="0"/>
        <v>#REF!</v>
      </c>
      <c r="B656" s="175"/>
      <c r="C656" s="175"/>
      <c r="D656" s="175"/>
      <c r="E656" s="170"/>
      <c r="F656" s="169"/>
      <c r="G656" s="176"/>
    </row>
    <row r="657" spans="1:7" ht="12.75">
      <c r="A657" s="168" t="e">
        <f t="shared" si="0"/>
        <v>#REF!</v>
      </c>
      <c r="B657" s="175"/>
      <c r="C657" s="175"/>
      <c r="D657" s="175"/>
      <c r="E657" s="170"/>
      <c r="F657" s="169"/>
      <c r="G657" s="176"/>
    </row>
    <row r="658" spans="1:7" ht="12.75">
      <c r="A658" s="168" t="e">
        <f t="shared" si="0"/>
        <v>#REF!</v>
      </c>
      <c r="B658" s="175"/>
      <c r="C658" s="175"/>
      <c r="D658" s="175"/>
      <c r="E658" s="170"/>
      <c r="F658" s="169"/>
      <c r="G658" s="176"/>
    </row>
    <row r="659" spans="1:7" ht="12.75">
      <c r="A659" s="168" t="e">
        <f t="shared" si="0"/>
        <v>#REF!</v>
      </c>
      <c r="B659" s="175"/>
      <c r="C659" s="175"/>
      <c r="D659" s="175"/>
      <c r="E659" s="170"/>
      <c r="F659" s="169"/>
      <c r="G659" s="176"/>
    </row>
    <row r="660" spans="1:7" ht="12.75">
      <c r="A660" s="168" t="e">
        <f t="shared" si="0"/>
        <v>#REF!</v>
      </c>
      <c r="B660" s="175"/>
      <c r="C660" s="175"/>
      <c r="D660" s="175"/>
      <c r="E660" s="170"/>
      <c r="F660" s="169"/>
      <c r="G660" s="176"/>
    </row>
    <row r="661" spans="1:7" ht="12.75">
      <c r="A661" s="168" t="e">
        <f t="shared" si="0"/>
        <v>#REF!</v>
      </c>
      <c r="B661" s="175"/>
      <c r="C661" s="175"/>
      <c r="D661" s="175"/>
      <c r="E661" s="170"/>
      <c r="F661" s="169"/>
      <c r="G661" s="176"/>
    </row>
    <row r="662" spans="1:7" ht="12.75">
      <c r="A662" s="168" t="e">
        <f t="shared" si="0"/>
        <v>#REF!</v>
      </c>
      <c r="B662" s="175"/>
      <c r="C662" s="175"/>
      <c r="D662" s="175"/>
      <c r="E662" s="170"/>
      <c r="F662" s="169"/>
      <c r="G662" s="176"/>
    </row>
    <row r="663" spans="1:7" ht="12.75">
      <c r="A663" s="168" t="e">
        <f t="shared" si="0"/>
        <v>#REF!</v>
      </c>
      <c r="B663" s="175"/>
      <c r="C663" s="175"/>
      <c r="D663" s="175"/>
      <c r="E663" s="170"/>
      <c r="F663" s="169"/>
      <c r="G663" s="176"/>
    </row>
    <row r="664" spans="1:7" ht="12.75">
      <c r="A664" s="168" t="e">
        <f t="shared" si="0"/>
        <v>#REF!</v>
      </c>
      <c r="B664" s="175"/>
      <c r="C664" s="175"/>
      <c r="D664" s="175"/>
      <c r="E664" s="170"/>
      <c r="F664" s="169"/>
      <c r="G664" s="176"/>
    </row>
    <row r="665" spans="1:7" ht="12.75">
      <c r="A665" s="168" t="e">
        <f t="shared" si="0"/>
        <v>#REF!</v>
      </c>
      <c r="B665" s="175"/>
      <c r="C665" s="175"/>
      <c r="D665" s="175"/>
      <c r="E665" s="170"/>
      <c r="F665" s="169"/>
      <c r="G665" s="176"/>
    </row>
    <row r="666" spans="1:7" ht="12.75">
      <c r="A666" s="168" t="e">
        <f t="shared" si="0"/>
        <v>#REF!</v>
      </c>
      <c r="B666" s="175"/>
      <c r="C666" s="175"/>
      <c r="D666" s="175"/>
      <c r="E666" s="170"/>
      <c r="F666" s="169"/>
      <c r="G666" s="176"/>
    </row>
    <row r="667" spans="1:7" ht="12.75">
      <c r="A667" s="168" t="e">
        <f t="shared" si="0"/>
        <v>#REF!</v>
      </c>
      <c r="B667" s="175"/>
      <c r="C667" s="175"/>
      <c r="D667" s="175"/>
      <c r="E667" s="170"/>
      <c r="F667" s="169"/>
      <c r="G667" s="176"/>
    </row>
    <row r="668" spans="1:7" ht="12.75">
      <c r="A668" s="168" t="e">
        <f t="shared" si="0"/>
        <v>#REF!</v>
      </c>
      <c r="B668" s="175"/>
      <c r="C668" s="175"/>
      <c r="D668" s="175"/>
      <c r="E668" s="170"/>
      <c r="F668" s="169"/>
      <c r="G668" s="176"/>
    </row>
    <row r="669" spans="1:7" ht="12.75">
      <c r="A669" s="168" t="e">
        <f t="shared" si="0"/>
        <v>#REF!</v>
      </c>
      <c r="B669" s="175"/>
      <c r="C669" s="175"/>
      <c r="D669" s="175"/>
      <c r="E669" s="170"/>
      <c r="F669" s="169"/>
      <c r="G669" s="176"/>
    </row>
    <row r="670" spans="1:7" ht="12.75">
      <c r="A670" s="168" t="e">
        <f t="shared" si="0"/>
        <v>#REF!</v>
      </c>
      <c r="B670" s="175"/>
      <c r="C670" s="175"/>
      <c r="D670" s="175"/>
      <c r="E670" s="170"/>
      <c r="F670" s="169"/>
      <c r="G670" s="176"/>
    </row>
    <row r="671" spans="1:7" ht="12.75">
      <c r="A671" s="168" t="e">
        <f t="shared" si="0"/>
        <v>#REF!</v>
      </c>
      <c r="B671" s="175"/>
      <c r="C671" s="175"/>
      <c r="D671" s="175"/>
      <c r="E671" s="170"/>
      <c r="F671" s="169"/>
      <c r="G671" s="176"/>
    </row>
    <row r="672" spans="1:7" ht="12.75">
      <c r="A672" s="168" t="e">
        <f t="shared" si="0"/>
        <v>#REF!</v>
      </c>
      <c r="B672" s="175"/>
      <c r="C672" s="175"/>
      <c r="D672" s="175"/>
      <c r="E672" s="170"/>
      <c r="F672" s="169"/>
      <c r="G672" s="176"/>
    </row>
    <row r="673" spans="1:7" ht="12.75">
      <c r="A673" s="168" t="e">
        <f t="shared" si="0"/>
        <v>#REF!</v>
      </c>
      <c r="B673" s="175"/>
      <c r="C673" s="175"/>
      <c r="D673" s="175"/>
      <c r="E673" s="170"/>
      <c r="F673" s="169"/>
      <c r="G673" s="176"/>
    </row>
    <row r="674" spans="1:7" ht="12.75">
      <c r="A674" s="168" t="e">
        <f t="shared" si="0"/>
        <v>#REF!</v>
      </c>
      <c r="B674" s="175"/>
      <c r="C674" s="175"/>
      <c r="D674" s="175"/>
      <c r="E674" s="170"/>
      <c r="F674" s="169"/>
      <c r="G674" s="176"/>
    </row>
    <row r="675" spans="1:7" ht="12.75">
      <c r="A675" s="168" t="e">
        <f t="shared" si="0"/>
        <v>#REF!</v>
      </c>
      <c r="B675" s="175"/>
      <c r="C675" s="175"/>
      <c r="D675" s="175"/>
      <c r="E675" s="170"/>
      <c r="F675" s="169"/>
      <c r="G675" s="176"/>
    </row>
    <row r="676" spans="1:7" ht="12.75">
      <c r="A676" s="168" t="e">
        <f t="shared" si="0"/>
        <v>#REF!</v>
      </c>
      <c r="B676" s="175"/>
      <c r="C676" s="175"/>
      <c r="D676" s="175"/>
      <c r="E676" s="170"/>
      <c r="F676" s="169"/>
      <c r="G676" s="176"/>
    </row>
    <row r="677" spans="1:7" ht="12.75">
      <c r="A677" s="168" t="e">
        <f t="shared" si="0"/>
        <v>#REF!</v>
      </c>
      <c r="B677" s="175"/>
      <c r="C677" s="175"/>
      <c r="D677" s="175"/>
      <c r="E677" s="170"/>
      <c r="F677" s="169"/>
      <c r="G677" s="176"/>
    </row>
    <row r="678" spans="1:7" ht="12.75">
      <c r="A678" s="168" t="e">
        <f t="shared" si="0"/>
        <v>#REF!</v>
      </c>
      <c r="B678" s="175"/>
      <c r="C678" s="175"/>
      <c r="D678" s="175"/>
      <c r="E678" s="170"/>
      <c r="F678" s="169"/>
      <c r="G678" s="176"/>
    </row>
    <row r="679" spans="1:7" ht="12.75">
      <c r="A679" s="168" t="e">
        <f t="shared" si="0"/>
        <v>#REF!</v>
      </c>
      <c r="B679" s="175"/>
      <c r="C679" s="175"/>
      <c r="D679" s="175"/>
      <c r="E679" s="170"/>
      <c r="F679" s="169"/>
      <c r="G679" s="176"/>
    </row>
    <row r="680" spans="1:7" ht="12.75">
      <c r="A680" s="168" t="e">
        <f t="shared" si="0"/>
        <v>#REF!</v>
      </c>
      <c r="B680" s="175"/>
      <c r="C680" s="175"/>
      <c r="D680" s="175"/>
      <c r="E680" s="170"/>
      <c r="F680" s="169"/>
      <c r="G680" s="176"/>
    </row>
    <row r="681" spans="1:7" ht="12.75">
      <c r="A681" s="168" t="e">
        <f t="shared" si="0"/>
        <v>#REF!</v>
      </c>
      <c r="B681" s="175"/>
      <c r="C681" s="175"/>
      <c r="D681" s="175"/>
      <c r="E681" s="170"/>
      <c r="F681" s="169"/>
      <c r="G681" s="176"/>
    </row>
    <row r="682" spans="1:7" ht="12.75">
      <c r="A682" s="168" t="e">
        <f t="shared" si="0"/>
        <v>#REF!</v>
      </c>
      <c r="B682" s="175"/>
      <c r="C682" s="175"/>
      <c r="D682" s="175"/>
      <c r="E682" s="170"/>
      <c r="F682" s="169"/>
      <c r="G682" s="176"/>
    </row>
    <row r="683" spans="1:7" ht="12.75">
      <c r="A683" s="168" t="e">
        <f t="shared" si="0"/>
        <v>#REF!</v>
      </c>
      <c r="B683" s="175"/>
      <c r="C683" s="175"/>
      <c r="D683" s="175"/>
      <c r="E683" s="170"/>
      <c r="F683" s="169"/>
      <c r="G683" s="176"/>
    </row>
    <row r="684" spans="1:7" ht="12.75">
      <c r="A684" s="168" t="e">
        <f t="shared" si="0"/>
        <v>#REF!</v>
      </c>
      <c r="B684" s="175"/>
      <c r="C684" s="175"/>
      <c r="D684" s="175"/>
      <c r="E684" s="170"/>
      <c r="F684" s="169"/>
      <c r="G684" s="176"/>
    </row>
    <row r="685" spans="1:7" ht="12.75">
      <c r="A685" s="168" t="e">
        <f t="shared" si="0"/>
        <v>#REF!</v>
      </c>
      <c r="B685" s="175"/>
      <c r="C685" s="175"/>
      <c r="D685" s="175"/>
      <c r="E685" s="170"/>
      <c r="F685" s="169"/>
      <c r="G685" s="176"/>
    </row>
    <row r="686" spans="1:7" ht="12.75">
      <c r="A686" s="168" t="e">
        <f t="shared" si="0"/>
        <v>#REF!</v>
      </c>
      <c r="B686" s="175"/>
      <c r="C686" s="175"/>
      <c r="D686" s="175"/>
      <c r="E686" s="170"/>
      <c r="F686" s="169"/>
      <c r="G686" s="176"/>
    </row>
    <row r="687" spans="1:7" ht="12.75">
      <c r="A687" s="168" t="e">
        <f t="shared" si="0"/>
        <v>#REF!</v>
      </c>
      <c r="B687" s="175"/>
      <c r="C687" s="175"/>
      <c r="D687" s="175"/>
      <c r="E687" s="170"/>
      <c r="F687" s="169"/>
      <c r="G687" s="176"/>
    </row>
    <row r="688" spans="1:7" ht="12.75">
      <c r="A688" s="168" t="e">
        <f t="shared" si="0"/>
        <v>#REF!</v>
      </c>
      <c r="B688" s="175"/>
      <c r="C688" s="175"/>
      <c r="D688" s="175"/>
      <c r="E688" s="170"/>
      <c r="F688" s="169"/>
      <c r="G688" s="176"/>
    </row>
    <row r="689" spans="1:7" ht="12.75">
      <c r="A689" s="168" t="e">
        <f t="shared" si="0"/>
        <v>#REF!</v>
      </c>
      <c r="B689" s="175"/>
      <c r="C689" s="175"/>
      <c r="D689" s="175"/>
      <c r="E689" s="170"/>
      <c r="F689" s="169"/>
      <c r="G689" s="176"/>
    </row>
    <row r="690" spans="1:7" ht="12.75">
      <c r="A690" s="168" t="e">
        <f t="shared" si="0"/>
        <v>#REF!</v>
      </c>
      <c r="B690" s="175"/>
      <c r="C690" s="175"/>
      <c r="D690" s="175"/>
      <c r="E690" s="170"/>
      <c r="F690" s="169"/>
      <c r="G690" s="176"/>
    </row>
    <row r="691" spans="1:7" ht="12.75">
      <c r="A691" s="168" t="e">
        <f t="shared" si="0"/>
        <v>#REF!</v>
      </c>
      <c r="B691" s="175"/>
      <c r="C691" s="175"/>
      <c r="D691" s="175"/>
      <c r="E691" s="170"/>
      <c r="F691" s="169"/>
      <c r="G691" s="176"/>
    </row>
    <row r="692" spans="1:7" ht="12.75">
      <c r="A692" s="168" t="e">
        <f t="shared" si="0"/>
        <v>#REF!</v>
      </c>
      <c r="B692" s="175"/>
      <c r="C692" s="175"/>
      <c r="D692" s="175"/>
      <c r="E692" s="170"/>
      <c r="F692" s="169"/>
      <c r="G692" s="176"/>
    </row>
    <row r="693" spans="1:7" ht="12.75">
      <c r="A693" s="168" t="e">
        <f t="shared" si="0"/>
        <v>#REF!</v>
      </c>
      <c r="B693" s="175"/>
      <c r="C693" s="175"/>
      <c r="D693" s="175"/>
      <c r="E693" s="170"/>
      <c r="F693" s="169"/>
      <c r="G693" s="176"/>
    </row>
    <row r="694" spans="1:7" ht="12.75">
      <c r="A694" s="168" t="e">
        <f t="shared" si="0"/>
        <v>#REF!</v>
      </c>
      <c r="B694" s="175"/>
      <c r="C694" s="175"/>
      <c r="D694" s="175"/>
      <c r="E694" s="170"/>
      <c r="F694" s="169"/>
      <c r="G694" s="176"/>
    </row>
    <row r="695" spans="1:7" ht="12.75">
      <c r="A695" s="168" t="e">
        <f t="shared" si="0"/>
        <v>#REF!</v>
      </c>
      <c r="B695" s="175"/>
      <c r="C695" s="175"/>
      <c r="D695" s="175"/>
      <c r="E695" s="170"/>
      <c r="F695" s="169"/>
      <c r="G695" s="176"/>
    </row>
    <row r="696" spans="1:7" ht="12.75">
      <c r="A696" s="168" t="e">
        <f t="shared" si="0"/>
        <v>#REF!</v>
      </c>
      <c r="B696" s="175"/>
      <c r="C696" s="175"/>
      <c r="D696" s="175"/>
      <c r="E696" s="170"/>
      <c r="F696" s="169"/>
      <c r="G696" s="176"/>
    </row>
    <row r="697" spans="1:7" ht="12.75">
      <c r="A697" s="168" t="e">
        <f t="shared" si="0"/>
        <v>#REF!</v>
      </c>
      <c r="B697" s="175"/>
      <c r="C697" s="175"/>
      <c r="D697" s="175"/>
      <c r="E697" s="170"/>
      <c r="F697" s="169"/>
      <c r="G697" s="176"/>
    </row>
    <row r="698" spans="1:7" ht="12.75">
      <c r="A698" s="168" t="e">
        <f t="shared" si="0"/>
        <v>#REF!</v>
      </c>
      <c r="B698" s="175"/>
      <c r="C698" s="175"/>
      <c r="D698" s="175"/>
      <c r="E698" s="170"/>
      <c r="F698" s="169"/>
      <c r="G698" s="176"/>
    </row>
    <row r="699" spans="1:7" ht="12.75">
      <c r="A699" s="168" t="e">
        <f t="shared" si="0"/>
        <v>#REF!</v>
      </c>
      <c r="B699" s="175"/>
      <c r="C699" s="175"/>
      <c r="D699" s="175"/>
      <c r="E699" s="170"/>
      <c r="F699" s="169"/>
      <c r="G699" s="176"/>
    </row>
    <row r="700" spans="1:7" ht="12.75">
      <c r="A700" s="168" t="e">
        <f t="shared" si="0"/>
        <v>#REF!</v>
      </c>
      <c r="B700" s="175"/>
      <c r="C700" s="175"/>
      <c r="D700" s="175"/>
      <c r="E700" s="170"/>
      <c r="F700" s="169"/>
      <c r="G700" s="176"/>
    </row>
    <row r="701" spans="1:7" ht="12.75">
      <c r="A701" s="168" t="e">
        <f t="shared" si="0"/>
        <v>#REF!</v>
      </c>
      <c r="B701" s="175"/>
      <c r="C701" s="175"/>
      <c r="D701" s="175"/>
      <c r="E701" s="170"/>
      <c r="F701" s="169"/>
      <c r="G701" s="176"/>
    </row>
    <row r="702" spans="1:7" ht="12.75">
      <c r="A702" s="168" t="e">
        <f t="shared" si="0"/>
        <v>#REF!</v>
      </c>
      <c r="B702" s="175"/>
      <c r="C702" s="175"/>
      <c r="D702" s="175"/>
      <c r="E702" s="170"/>
      <c r="F702" s="169"/>
      <c r="G702" s="176"/>
    </row>
    <row r="703" spans="1:7" ht="12.75">
      <c r="A703" s="168" t="e">
        <f t="shared" si="0"/>
        <v>#REF!</v>
      </c>
      <c r="B703" s="175"/>
      <c r="C703" s="175"/>
      <c r="D703" s="175"/>
      <c r="E703" s="170"/>
      <c r="F703" s="169"/>
      <c r="G703" s="176"/>
    </row>
    <row r="704" spans="1:7" ht="12.75">
      <c r="A704" s="168" t="e">
        <f t="shared" si="0"/>
        <v>#REF!</v>
      </c>
      <c r="B704" s="175"/>
      <c r="C704" s="175"/>
      <c r="D704" s="175"/>
      <c r="E704" s="170"/>
      <c r="F704" s="169"/>
      <c r="G704" s="176"/>
    </row>
    <row r="705" spans="1:7" ht="12.75">
      <c r="A705" s="168" t="e">
        <f t="shared" si="0"/>
        <v>#REF!</v>
      </c>
      <c r="B705" s="175"/>
      <c r="C705" s="175"/>
      <c r="D705" s="175"/>
      <c r="E705" s="170"/>
      <c r="F705" s="169"/>
      <c r="G705" s="176"/>
    </row>
    <row r="706" spans="1:7" ht="12.75">
      <c r="A706" s="168" t="e">
        <f t="shared" si="0"/>
        <v>#REF!</v>
      </c>
      <c r="B706" s="175"/>
      <c r="C706" s="175"/>
      <c r="D706" s="175"/>
      <c r="E706" s="170"/>
      <c r="F706" s="169"/>
      <c r="G706" s="176"/>
    </row>
    <row r="707" spans="1:7" ht="12.75">
      <c r="A707" s="168" t="e">
        <f t="shared" si="0"/>
        <v>#REF!</v>
      </c>
      <c r="B707" s="175"/>
      <c r="C707" s="175"/>
      <c r="D707" s="175"/>
      <c r="E707" s="170"/>
      <c r="F707" s="169"/>
      <c r="G707" s="176"/>
    </row>
    <row r="708" spans="1:7" ht="12.75">
      <c r="A708" s="168" t="e">
        <f t="shared" si="0"/>
        <v>#REF!</v>
      </c>
      <c r="B708" s="175"/>
      <c r="C708" s="175"/>
      <c r="D708" s="175"/>
      <c r="E708" s="170"/>
      <c r="F708" s="169"/>
      <c r="G708" s="176"/>
    </row>
    <row r="709" spans="1:7" ht="12.75">
      <c r="A709" s="168" t="e">
        <f t="shared" si="0"/>
        <v>#REF!</v>
      </c>
      <c r="B709" s="175"/>
      <c r="C709" s="175"/>
      <c r="D709" s="175"/>
      <c r="E709" s="170"/>
      <c r="F709" s="169"/>
      <c r="G709" s="176"/>
    </row>
    <row r="710" spans="1:7" ht="12.75">
      <c r="A710" s="168" t="e">
        <f t="shared" si="0"/>
        <v>#REF!</v>
      </c>
      <c r="B710" s="175"/>
      <c r="C710" s="175"/>
      <c r="D710" s="175"/>
      <c r="E710" s="170"/>
      <c r="F710" s="169"/>
      <c r="G710" s="176"/>
    </row>
    <row r="711" spans="1:7" ht="12.75">
      <c r="A711" s="168" t="e">
        <f t="shared" si="0"/>
        <v>#REF!</v>
      </c>
      <c r="B711" s="175"/>
      <c r="C711" s="175"/>
      <c r="D711" s="175"/>
      <c r="E711" s="170"/>
      <c r="F711" s="169"/>
      <c r="G711" s="176"/>
    </row>
    <row r="712" spans="1:7" ht="12.75">
      <c r="A712" s="168" t="e">
        <f t="shared" si="0"/>
        <v>#REF!</v>
      </c>
      <c r="B712" s="175"/>
      <c r="C712" s="175"/>
      <c r="D712" s="175"/>
      <c r="E712" s="170"/>
      <c r="F712" s="169"/>
      <c r="G712" s="176"/>
    </row>
    <row r="713" spans="1:7" ht="12.75">
      <c r="A713" s="168" t="e">
        <f t="shared" si="0"/>
        <v>#REF!</v>
      </c>
      <c r="B713" s="175"/>
      <c r="C713" s="175"/>
      <c r="D713" s="175"/>
      <c r="E713" s="170"/>
      <c r="F713" s="169"/>
      <c r="G713" s="176"/>
    </row>
    <row r="714" spans="1:7" ht="12.75">
      <c r="A714" s="168" t="e">
        <f t="shared" si="0"/>
        <v>#REF!</v>
      </c>
      <c r="B714" s="175"/>
      <c r="C714" s="175"/>
      <c r="D714" s="175"/>
      <c r="E714" s="170"/>
      <c r="F714" s="169"/>
      <c r="G714" s="176"/>
    </row>
    <row r="715" spans="1:7" ht="12.75">
      <c r="A715" s="168" t="e">
        <f t="shared" si="0"/>
        <v>#REF!</v>
      </c>
      <c r="B715" s="175"/>
      <c r="C715" s="175"/>
      <c r="D715" s="175"/>
      <c r="E715" s="170"/>
      <c r="F715" s="169"/>
      <c r="G715" s="176"/>
    </row>
    <row r="716" spans="1:7" ht="12.75">
      <c r="A716" s="168" t="e">
        <f t="shared" si="0"/>
        <v>#REF!</v>
      </c>
      <c r="B716" s="175"/>
      <c r="C716" s="175"/>
      <c r="D716" s="175"/>
      <c r="E716" s="170"/>
      <c r="F716" s="169"/>
      <c r="G716" s="176"/>
    </row>
    <row r="717" spans="1:7" ht="12.75">
      <c r="A717" s="168" t="e">
        <f t="shared" si="0"/>
        <v>#REF!</v>
      </c>
      <c r="B717" s="175"/>
      <c r="C717" s="175"/>
      <c r="D717" s="175"/>
      <c r="E717" s="170"/>
      <c r="F717" s="169"/>
      <c r="G717" s="176"/>
    </row>
    <row r="718" spans="1:7" ht="12.75">
      <c r="A718" s="168" t="e">
        <f t="shared" si="0"/>
        <v>#REF!</v>
      </c>
      <c r="B718" s="175"/>
      <c r="C718" s="175"/>
      <c r="D718" s="175"/>
      <c r="E718" s="170"/>
      <c r="F718" s="169"/>
      <c r="G718" s="176"/>
    </row>
    <row r="719" spans="1:7" ht="12.75">
      <c r="A719" s="168" t="e">
        <f t="shared" si="0"/>
        <v>#REF!</v>
      </c>
      <c r="B719" s="175"/>
      <c r="C719" s="175"/>
      <c r="D719" s="175"/>
      <c r="E719" s="170"/>
      <c r="F719" s="169"/>
      <c r="G719" s="176"/>
    </row>
    <row r="720" spans="1:7" ht="12.75">
      <c r="A720" s="168" t="e">
        <f t="shared" si="0"/>
        <v>#REF!</v>
      </c>
      <c r="B720" s="175"/>
      <c r="C720" s="175"/>
      <c r="D720" s="175"/>
      <c r="E720" s="170"/>
      <c r="F720" s="169"/>
      <c r="G720" s="176"/>
    </row>
    <row r="721" spans="1:7" ht="12.75">
      <c r="A721" s="168" t="e">
        <f t="shared" si="0"/>
        <v>#REF!</v>
      </c>
      <c r="B721" s="175"/>
      <c r="C721" s="175"/>
      <c r="D721" s="175"/>
      <c r="E721" s="170"/>
      <c r="F721" s="169"/>
      <c r="G721" s="176"/>
    </row>
    <row r="722" spans="1:7" ht="12.75">
      <c r="A722" s="168" t="e">
        <f t="shared" si="0"/>
        <v>#REF!</v>
      </c>
      <c r="B722" s="175"/>
      <c r="C722" s="175"/>
      <c r="D722" s="175"/>
      <c r="E722" s="170"/>
      <c r="F722" s="169"/>
      <c r="G722" s="176"/>
    </row>
    <row r="723" spans="1:7" ht="12.75">
      <c r="A723" s="168" t="e">
        <f t="shared" si="0"/>
        <v>#REF!</v>
      </c>
      <c r="B723" s="175"/>
      <c r="C723" s="175"/>
      <c r="D723" s="175"/>
      <c r="E723" s="170"/>
      <c r="F723" s="169"/>
      <c r="G723" s="176"/>
    </row>
    <row r="724" spans="1:7" ht="12.75">
      <c r="A724" s="168" t="e">
        <f t="shared" si="0"/>
        <v>#REF!</v>
      </c>
      <c r="B724" s="175"/>
      <c r="C724" s="175"/>
      <c r="D724" s="175"/>
      <c r="E724" s="170"/>
      <c r="F724" s="169"/>
      <c r="G724" s="176"/>
    </row>
    <row r="725" spans="1:7" ht="12.75">
      <c r="A725" s="168" t="e">
        <f t="shared" si="0"/>
        <v>#REF!</v>
      </c>
      <c r="B725" s="175"/>
      <c r="C725" s="175"/>
      <c r="D725" s="175"/>
      <c r="E725" s="170"/>
      <c r="F725" s="169"/>
      <c r="G725" s="176"/>
    </row>
    <row r="726" spans="1:7" ht="12.75">
      <c r="A726" s="168" t="e">
        <f t="shared" si="0"/>
        <v>#REF!</v>
      </c>
      <c r="B726" s="175"/>
      <c r="C726" s="175"/>
      <c r="D726" s="175"/>
      <c r="E726" s="170"/>
      <c r="F726" s="169"/>
      <c r="G726" s="176"/>
    </row>
    <row r="727" spans="1:7" ht="12.75">
      <c r="A727" s="168" t="e">
        <f t="shared" si="0"/>
        <v>#REF!</v>
      </c>
      <c r="B727" s="175"/>
      <c r="C727" s="175"/>
      <c r="D727" s="175"/>
      <c r="E727" s="170"/>
      <c r="F727" s="169"/>
      <c r="G727" s="176"/>
    </row>
    <row r="728" spans="1:7" ht="12.75">
      <c r="A728" s="168" t="e">
        <f t="shared" si="0"/>
        <v>#REF!</v>
      </c>
      <c r="B728" s="175"/>
      <c r="C728" s="175"/>
      <c r="D728" s="175"/>
      <c r="E728" s="170"/>
      <c r="F728" s="169"/>
      <c r="G728" s="176"/>
    </row>
    <row r="729" spans="1:7" ht="12.75">
      <c r="A729" s="168" t="e">
        <f t="shared" si="0"/>
        <v>#REF!</v>
      </c>
      <c r="B729" s="175"/>
      <c r="C729" s="175"/>
      <c r="D729" s="175"/>
      <c r="E729" s="170"/>
      <c r="F729" s="169"/>
      <c r="G729" s="176"/>
    </row>
    <row r="730" spans="1:7" ht="12.75">
      <c r="A730" s="168" t="e">
        <f t="shared" si="0"/>
        <v>#REF!</v>
      </c>
      <c r="B730" s="175"/>
      <c r="C730" s="175"/>
      <c r="D730" s="175"/>
      <c r="E730" s="170"/>
      <c r="F730" s="169"/>
      <c r="G730" s="176"/>
    </row>
    <row r="731" spans="1:7" ht="12.75">
      <c r="A731" s="168" t="e">
        <f t="shared" si="0"/>
        <v>#REF!</v>
      </c>
      <c r="B731" s="175"/>
      <c r="C731" s="175"/>
      <c r="D731" s="175"/>
      <c r="E731" s="170"/>
      <c r="F731" s="169"/>
      <c r="G731" s="176"/>
    </row>
    <row r="732" spans="1:7" ht="12.75">
      <c r="A732" s="168" t="e">
        <f t="shared" si="0"/>
        <v>#REF!</v>
      </c>
      <c r="B732" s="175"/>
      <c r="C732" s="175"/>
      <c r="D732" s="175"/>
      <c r="E732" s="170"/>
      <c r="F732" s="169"/>
      <c r="G732" s="176"/>
    </row>
    <row r="733" spans="1:7" ht="12.75">
      <c r="A733" s="168" t="e">
        <f t="shared" si="0"/>
        <v>#REF!</v>
      </c>
      <c r="B733" s="175"/>
      <c r="C733" s="175"/>
      <c r="D733" s="175"/>
      <c r="E733" s="170"/>
      <c r="F733" s="169"/>
      <c r="G733" s="176"/>
    </row>
    <row r="734" spans="1:7" ht="12.75">
      <c r="A734" s="168" t="e">
        <f t="shared" si="0"/>
        <v>#REF!</v>
      </c>
      <c r="B734" s="175"/>
      <c r="C734" s="175"/>
      <c r="D734" s="175"/>
      <c r="E734" s="170"/>
      <c r="F734" s="169"/>
      <c r="G734" s="176"/>
    </row>
    <row r="735" spans="1:7" ht="12.75">
      <c r="A735" s="168" t="e">
        <f t="shared" si="0"/>
        <v>#REF!</v>
      </c>
      <c r="B735" s="175"/>
      <c r="C735" s="175"/>
      <c r="D735" s="175"/>
      <c r="E735" s="170"/>
      <c r="F735" s="169"/>
      <c r="G735" s="176"/>
    </row>
    <row r="736" spans="1:7" ht="12.75">
      <c r="A736" s="168" t="e">
        <f t="shared" si="0"/>
        <v>#REF!</v>
      </c>
      <c r="B736" s="175"/>
      <c r="C736" s="175"/>
      <c r="D736" s="175"/>
      <c r="E736" s="170"/>
      <c r="F736" s="169"/>
      <c r="G736" s="176"/>
    </row>
    <row r="737" spans="1:7" ht="12.75">
      <c r="A737" s="168" t="e">
        <f t="shared" si="0"/>
        <v>#REF!</v>
      </c>
      <c r="B737" s="175"/>
      <c r="C737" s="175"/>
      <c r="D737" s="175"/>
      <c r="E737" s="170"/>
      <c r="F737" s="169"/>
      <c r="G737" s="176"/>
    </row>
    <row r="738" spans="1:7" ht="12.75">
      <c r="A738" s="168" t="e">
        <f t="shared" si="0"/>
        <v>#REF!</v>
      </c>
      <c r="B738" s="175"/>
      <c r="C738" s="175"/>
      <c r="D738" s="175"/>
      <c r="E738" s="170"/>
      <c r="F738" s="169"/>
      <c r="G738" s="176"/>
    </row>
    <row r="739" spans="1:7" ht="12.75">
      <c r="A739" s="168" t="e">
        <f t="shared" si="0"/>
        <v>#REF!</v>
      </c>
      <c r="B739" s="175"/>
      <c r="C739" s="175"/>
      <c r="D739" s="175"/>
      <c r="E739" s="170"/>
      <c r="F739" s="169"/>
      <c r="G739" s="176"/>
    </row>
    <row r="740" spans="1:7" ht="12.75">
      <c r="A740" s="168" t="e">
        <f t="shared" si="0"/>
        <v>#REF!</v>
      </c>
      <c r="B740" s="175"/>
      <c r="C740" s="175"/>
      <c r="D740" s="175"/>
      <c r="E740" s="170"/>
      <c r="F740" s="169"/>
      <c r="G740" s="176"/>
    </row>
    <row r="741" spans="1:7" ht="12.75">
      <c r="A741" s="168" t="e">
        <f t="shared" si="0"/>
        <v>#REF!</v>
      </c>
      <c r="B741" s="175"/>
      <c r="C741" s="175"/>
      <c r="D741" s="175"/>
      <c r="E741" s="170"/>
      <c r="F741" s="169"/>
      <c r="G741" s="176"/>
    </row>
    <row r="742" spans="1:7" ht="12.75">
      <c r="A742" s="168" t="e">
        <f t="shared" si="0"/>
        <v>#REF!</v>
      </c>
      <c r="B742" s="175"/>
      <c r="C742" s="175"/>
      <c r="D742" s="175"/>
      <c r="E742" s="170"/>
      <c r="F742" s="169"/>
      <c r="G742" s="176"/>
    </row>
    <row r="743" spans="1:7" ht="12.75">
      <c r="A743" s="168" t="e">
        <f t="shared" si="0"/>
        <v>#REF!</v>
      </c>
      <c r="B743" s="175"/>
      <c r="C743" s="175"/>
      <c r="D743" s="175"/>
      <c r="E743" s="170"/>
      <c r="F743" s="169"/>
      <c r="G743" s="176"/>
    </row>
    <row r="744" spans="1:7" ht="12.75">
      <c r="A744" s="168" t="e">
        <f t="shared" si="0"/>
        <v>#REF!</v>
      </c>
      <c r="B744" s="175"/>
      <c r="C744" s="175"/>
      <c r="D744" s="175"/>
      <c r="E744" s="170"/>
      <c r="F744" s="169"/>
      <c r="G744" s="176"/>
    </row>
    <row r="745" spans="1:7" ht="12.75">
      <c r="A745" s="168" t="e">
        <f t="shared" si="0"/>
        <v>#REF!</v>
      </c>
      <c r="B745" s="175"/>
      <c r="C745" s="175"/>
      <c r="D745" s="175"/>
      <c r="E745" s="170"/>
      <c r="F745" s="169"/>
      <c r="G745" s="176"/>
    </row>
    <row r="746" spans="1:7" ht="12.75">
      <c r="A746" s="168" t="e">
        <f t="shared" si="0"/>
        <v>#REF!</v>
      </c>
      <c r="B746" s="175"/>
      <c r="C746" s="175"/>
      <c r="D746" s="175"/>
      <c r="E746" s="170"/>
      <c r="F746" s="169"/>
      <c r="G746" s="176"/>
    </row>
    <row r="747" spans="1:7" ht="12.75">
      <c r="A747" s="168" t="e">
        <f t="shared" si="0"/>
        <v>#REF!</v>
      </c>
      <c r="B747" s="175"/>
      <c r="C747" s="175"/>
      <c r="D747" s="175"/>
      <c r="E747" s="170"/>
      <c r="F747" s="169"/>
      <c r="G747" s="176"/>
    </row>
    <row r="748" spans="1:7" ht="12.75">
      <c r="A748" s="168" t="e">
        <f t="shared" si="0"/>
        <v>#REF!</v>
      </c>
      <c r="B748" s="175"/>
      <c r="C748" s="175"/>
      <c r="D748" s="175"/>
      <c r="E748" s="170"/>
      <c r="F748" s="169"/>
      <c r="G748" s="176"/>
    </row>
    <row r="749" spans="1:7" ht="12.75">
      <c r="A749" s="168" t="e">
        <f t="shared" si="0"/>
        <v>#REF!</v>
      </c>
      <c r="B749" s="175"/>
      <c r="C749" s="175"/>
      <c r="D749" s="175"/>
      <c r="E749" s="170"/>
      <c r="F749" s="169"/>
      <c r="G749" s="176"/>
    </row>
    <row r="750" spans="1:7" ht="12.75">
      <c r="A750" s="168" t="e">
        <f t="shared" si="0"/>
        <v>#REF!</v>
      </c>
      <c r="B750" s="175"/>
      <c r="C750" s="175"/>
      <c r="D750" s="175"/>
      <c r="E750" s="170"/>
      <c r="F750" s="169"/>
      <c r="G750" s="176"/>
    </row>
    <row r="751" spans="1:7" ht="12.75">
      <c r="A751" s="168" t="e">
        <f t="shared" si="0"/>
        <v>#REF!</v>
      </c>
      <c r="B751" s="175"/>
      <c r="C751" s="175"/>
      <c r="D751" s="175"/>
      <c r="E751" s="170"/>
      <c r="F751" s="169"/>
      <c r="G751" s="176"/>
    </row>
    <row r="752" spans="1:7" ht="12.75">
      <c r="A752" s="168" t="e">
        <f t="shared" si="0"/>
        <v>#REF!</v>
      </c>
      <c r="B752" s="175"/>
      <c r="C752" s="175"/>
      <c r="D752" s="175"/>
      <c r="E752" s="170"/>
      <c r="F752" s="169"/>
      <c r="G752" s="176"/>
    </row>
    <row r="753" spans="1:7" ht="12.75">
      <c r="A753" s="168" t="e">
        <f t="shared" si="0"/>
        <v>#REF!</v>
      </c>
      <c r="B753" s="175"/>
      <c r="C753" s="175"/>
      <c r="D753" s="175"/>
      <c r="E753" s="170"/>
      <c r="F753" s="169"/>
      <c r="G753" s="176"/>
    </row>
    <row r="754" spans="1:7" ht="12.75">
      <c r="A754" s="168" t="e">
        <f t="shared" si="0"/>
        <v>#REF!</v>
      </c>
      <c r="B754" s="175"/>
      <c r="C754" s="175"/>
      <c r="D754" s="175"/>
      <c r="E754" s="170"/>
      <c r="F754" s="169"/>
      <c r="G754" s="176"/>
    </row>
    <row r="755" spans="1:7" ht="12.75">
      <c r="A755" s="168" t="e">
        <f t="shared" si="0"/>
        <v>#REF!</v>
      </c>
      <c r="B755" s="175"/>
      <c r="C755" s="175"/>
      <c r="D755" s="175"/>
      <c r="E755" s="170"/>
      <c r="F755" s="169"/>
      <c r="G755" s="176"/>
    </row>
    <row r="756" spans="1:7" ht="12.75">
      <c r="A756" s="168" t="e">
        <f t="shared" si="0"/>
        <v>#REF!</v>
      </c>
      <c r="B756" s="175"/>
      <c r="C756" s="175"/>
      <c r="D756" s="175"/>
      <c r="E756" s="170"/>
      <c r="F756" s="169"/>
      <c r="G756" s="176"/>
    </row>
    <row r="757" spans="1:7" ht="12.75">
      <c r="A757" s="168" t="e">
        <f t="shared" si="0"/>
        <v>#REF!</v>
      </c>
      <c r="B757" s="175"/>
      <c r="C757" s="175"/>
      <c r="D757" s="175"/>
      <c r="E757" s="170"/>
      <c r="F757" s="169"/>
      <c r="G757" s="176"/>
    </row>
    <row r="758" spans="1:7" ht="12.75">
      <c r="A758" s="168" t="e">
        <f t="shared" si="0"/>
        <v>#REF!</v>
      </c>
      <c r="B758" s="175"/>
      <c r="C758" s="175"/>
      <c r="D758" s="175"/>
      <c r="E758" s="170"/>
      <c r="F758" s="169"/>
      <c r="G758" s="176"/>
    </row>
    <row r="759" spans="1:7" ht="12.75">
      <c r="A759" s="168" t="e">
        <f t="shared" si="0"/>
        <v>#REF!</v>
      </c>
      <c r="B759" s="175"/>
      <c r="C759" s="175"/>
      <c r="D759" s="175"/>
      <c r="E759" s="170"/>
      <c r="F759" s="169"/>
      <c r="G759" s="176"/>
    </row>
    <row r="760" spans="1:7" ht="12.75">
      <c r="A760" s="168" t="e">
        <f t="shared" si="0"/>
        <v>#REF!</v>
      </c>
      <c r="B760" s="175"/>
      <c r="C760" s="175"/>
      <c r="D760" s="175"/>
      <c r="E760" s="170"/>
      <c r="F760" s="169"/>
      <c r="G760" s="176"/>
    </row>
    <row r="761" spans="1:7" ht="12.75">
      <c r="A761" s="168" t="e">
        <f t="shared" si="0"/>
        <v>#REF!</v>
      </c>
      <c r="B761" s="175"/>
      <c r="C761" s="175"/>
      <c r="D761" s="175"/>
      <c r="E761" s="170"/>
      <c r="F761" s="169"/>
      <c r="G761" s="176"/>
    </row>
    <row r="762" spans="1:7" ht="12.75">
      <c r="A762" s="168" t="e">
        <f t="shared" si="0"/>
        <v>#REF!</v>
      </c>
      <c r="B762" s="175"/>
      <c r="C762" s="175"/>
      <c r="D762" s="175"/>
      <c r="E762" s="170"/>
      <c r="F762" s="169"/>
      <c r="G762" s="176"/>
    </row>
    <row r="763" spans="1:7" ht="12.75">
      <c r="A763" s="168" t="e">
        <f t="shared" si="0"/>
        <v>#REF!</v>
      </c>
      <c r="B763" s="175"/>
      <c r="C763" s="175"/>
      <c r="D763" s="175"/>
      <c r="E763" s="170"/>
      <c r="F763" s="169"/>
      <c r="G763" s="176"/>
    </row>
    <row r="764" spans="1:7" ht="12.75">
      <c r="A764" s="168" t="e">
        <f t="shared" si="0"/>
        <v>#REF!</v>
      </c>
      <c r="B764" s="175"/>
      <c r="C764" s="175"/>
      <c r="D764" s="175"/>
      <c r="E764" s="170"/>
      <c r="F764" s="169"/>
      <c r="G764" s="176"/>
    </row>
    <row r="765" spans="1:7" ht="12.75">
      <c r="A765" s="168" t="e">
        <f t="shared" si="0"/>
        <v>#REF!</v>
      </c>
      <c r="B765" s="175"/>
      <c r="C765" s="175"/>
      <c r="D765" s="175"/>
      <c r="E765" s="170"/>
      <c r="F765" s="169"/>
      <c r="G765" s="176"/>
    </row>
    <row r="766" spans="1:7" ht="12.75">
      <c r="A766" s="168" t="e">
        <f t="shared" si="0"/>
        <v>#REF!</v>
      </c>
      <c r="B766" s="175"/>
      <c r="C766" s="175"/>
      <c r="D766" s="175"/>
      <c r="E766" s="170"/>
      <c r="F766" s="169"/>
      <c r="G766" s="176"/>
    </row>
    <row r="767" spans="1:7" ht="12.75">
      <c r="A767" s="168" t="e">
        <f t="shared" si="0"/>
        <v>#REF!</v>
      </c>
      <c r="B767" s="175"/>
      <c r="C767" s="175"/>
      <c r="D767" s="175"/>
      <c r="E767" s="170"/>
      <c r="F767" s="169"/>
      <c r="G767" s="176"/>
    </row>
    <row r="768" spans="1:7" ht="12.75">
      <c r="A768" s="168" t="e">
        <f t="shared" si="0"/>
        <v>#REF!</v>
      </c>
      <c r="B768" s="175"/>
      <c r="C768" s="175"/>
      <c r="D768" s="175"/>
      <c r="E768" s="170"/>
      <c r="F768" s="169"/>
      <c r="G768" s="176"/>
    </row>
    <row r="769" spans="1:7" ht="12.75">
      <c r="A769" s="168" t="e">
        <f t="shared" si="0"/>
        <v>#REF!</v>
      </c>
      <c r="B769" s="175"/>
      <c r="C769" s="175"/>
      <c r="D769" s="175"/>
      <c r="E769" s="170"/>
      <c r="F769" s="169"/>
      <c r="G769" s="176"/>
    </row>
    <row r="770" spans="1:7" ht="12.75">
      <c r="A770" s="168" t="e">
        <f t="shared" si="0"/>
        <v>#REF!</v>
      </c>
      <c r="B770" s="175"/>
      <c r="C770" s="175"/>
      <c r="D770" s="175"/>
      <c r="E770" s="170"/>
      <c r="F770" s="169"/>
      <c r="G770" s="176"/>
    </row>
    <row r="771" spans="1:7" ht="12.75">
      <c r="A771" s="168" t="e">
        <f t="shared" si="0"/>
        <v>#REF!</v>
      </c>
      <c r="B771" s="175"/>
      <c r="C771" s="175"/>
      <c r="D771" s="175"/>
      <c r="E771" s="170"/>
      <c r="F771" s="169"/>
      <c r="G771" s="176"/>
    </row>
    <row r="772" spans="1:7" ht="12.75">
      <c r="A772" s="168" t="e">
        <f t="shared" si="0"/>
        <v>#REF!</v>
      </c>
      <c r="B772" s="175"/>
      <c r="C772" s="175"/>
      <c r="D772" s="175"/>
      <c r="E772" s="170"/>
      <c r="F772" s="169"/>
      <c r="G772" s="176"/>
    </row>
    <row r="773" spans="1:7" ht="12.75">
      <c r="A773" s="168" t="e">
        <f t="shared" si="0"/>
        <v>#REF!</v>
      </c>
      <c r="B773" s="175"/>
      <c r="C773" s="175"/>
      <c r="D773" s="175"/>
      <c r="E773" s="170"/>
      <c r="F773" s="169"/>
      <c r="G773" s="176"/>
    </row>
    <row r="774" spans="1:7" ht="12.75">
      <c r="A774" s="168" t="e">
        <f t="shared" si="0"/>
        <v>#REF!</v>
      </c>
      <c r="B774" s="175"/>
      <c r="C774" s="175"/>
      <c r="D774" s="175"/>
      <c r="E774" s="170"/>
      <c r="F774" s="169"/>
      <c r="G774" s="176"/>
    </row>
    <row r="775" spans="1:7" ht="12.75">
      <c r="A775" s="168" t="e">
        <f t="shared" si="0"/>
        <v>#REF!</v>
      </c>
      <c r="B775" s="175"/>
      <c r="C775" s="175"/>
      <c r="D775" s="175"/>
      <c r="E775" s="170"/>
      <c r="F775" s="169"/>
      <c r="G775" s="176"/>
    </row>
    <row r="776" spans="1:7" ht="12.75">
      <c r="A776" s="168" t="e">
        <f t="shared" si="0"/>
        <v>#REF!</v>
      </c>
      <c r="B776" s="175"/>
      <c r="C776" s="175"/>
      <c r="D776" s="175"/>
      <c r="E776" s="170"/>
      <c r="F776" s="169"/>
      <c r="G776" s="176"/>
    </row>
    <row r="777" spans="1:7" ht="12.75">
      <c r="A777" s="168" t="e">
        <f t="shared" si="0"/>
        <v>#REF!</v>
      </c>
      <c r="B777" s="175"/>
      <c r="C777" s="175"/>
      <c r="D777" s="175"/>
      <c r="E777" s="170"/>
      <c r="F777" s="169"/>
      <c r="G777" s="176"/>
    </row>
    <row r="778" spans="1:7" ht="12.75">
      <c r="A778" s="168" t="e">
        <f t="shared" si="0"/>
        <v>#REF!</v>
      </c>
      <c r="B778" s="175"/>
      <c r="C778" s="175"/>
      <c r="D778" s="175"/>
      <c r="E778" s="170"/>
      <c r="F778" s="169"/>
      <c r="G778" s="176"/>
    </row>
    <row r="779" spans="1:7" ht="12.75">
      <c r="A779" s="168" t="e">
        <f t="shared" si="0"/>
        <v>#REF!</v>
      </c>
      <c r="B779" s="175"/>
      <c r="C779" s="175"/>
      <c r="D779" s="175"/>
      <c r="E779" s="170"/>
      <c r="F779" s="169"/>
      <c r="G779" s="176"/>
    </row>
    <row r="780" spans="1:7" ht="12.75">
      <c r="A780" s="168" t="e">
        <f t="shared" si="0"/>
        <v>#REF!</v>
      </c>
      <c r="B780" s="175"/>
      <c r="C780" s="175"/>
      <c r="D780" s="175"/>
      <c r="E780" s="170"/>
      <c r="F780" s="169"/>
      <c r="G780" s="176"/>
    </row>
    <row r="781" spans="1:7" ht="12.75">
      <c r="A781" s="168" t="e">
        <f t="shared" si="0"/>
        <v>#REF!</v>
      </c>
      <c r="B781" s="175"/>
      <c r="C781" s="175"/>
      <c r="D781" s="175"/>
      <c r="E781" s="170"/>
      <c r="F781" s="169"/>
      <c r="G781" s="176"/>
    </row>
    <row r="782" spans="1:7" ht="12.75">
      <c r="A782" s="168" t="e">
        <f t="shared" si="0"/>
        <v>#REF!</v>
      </c>
      <c r="B782" s="175"/>
      <c r="C782" s="175"/>
      <c r="D782" s="175"/>
      <c r="E782" s="170"/>
      <c r="F782" s="169"/>
      <c r="G782" s="176"/>
    </row>
    <row r="783" spans="1:7" ht="12.75">
      <c r="A783" s="168" t="e">
        <f t="shared" si="0"/>
        <v>#REF!</v>
      </c>
      <c r="B783" s="175"/>
      <c r="C783" s="175"/>
      <c r="D783" s="175"/>
      <c r="E783" s="170"/>
      <c r="F783" s="169"/>
      <c r="G783" s="176"/>
    </row>
    <row r="784" spans="1:7" ht="12.75">
      <c r="A784" s="168" t="e">
        <f t="shared" si="0"/>
        <v>#REF!</v>
      </c>
      <c r="B784" s="175"/>
      <c r="C784" s="175"/>
      <c r="D784" s="175"/>
      <c r="E784" s="170"/>
      <c r="F784" s="169"/>
      <c r="G784" s="176"/>
    </row>
    <row r="785" spans="1:7" ht="12.75">
      <c r="A785" s="168" t="e">
        <f t="shared" si="0"/>
        <v>#REF!</v>
      </c>
      <c r="B785" s="175"/>
      <c r="C785" s="175"/>
      <c r="D785" s="175"/>
      <c r="E785" s="170"/>
      <c r="F785" s="169"/>
      <c r="G785" s="176"/>
    </row>
    <row r="786" spans="1:7" ht="12.75">
      <c r="A786" s="168" t="e">
        <f t="shared" si="0"/>
        <v>#REF!</v>
      </c>
      <c r="B786" s="175"/>
      <c r="C786" s="175"/>
      <c r="D786" s="175"/>
      <c r="E786" s="170"/>
      <c r="F786" s="169"/>
      <c r="G786" s="176"/>
    </row>
    <row r="787" spans="1:7" ht="12.75">
      <c r="A787" s="168" t="e">
        <f t="shared" si="0"/>
        <v>#REF!</v>
      </c>
      <c r="B787" s="175"/>
      <c r="C787" s="175"/>
      <c r="D787" s="175"/>
      <c r="E787" s="170"/>
      <c r="F787" s="169"/>
      <c r="G787" s="176"/>
    </row>
    <row r="788" spans="1:7" ht="12.75">
      <c r="A788" s="168" t="e">
        <f t="shared" si="0"/>
        <v>#REF!</v>
      </c>
      <c r="B788" s="175"/>
      <c r="C788" s="175"/>
      <c r="D788" s="175"/>
      <c r="E788" s="170"/>
      <c r="F788" s="169"/>
      <c r="G788" s="176"/>
    </row>
    <row r="789" spans="1:7" ht="12.75">
      <c r="A789" s="168" t="e">
        <f t="shared" si="0"/>
        <v>#REF!</v>
      </c>
      <c r="B789" s="175"/>
      <c r="C789" s="175"/>
      <c r="D789" s="175"/>
      <c r="E789" s="170"/>
      <c r="F789" s="169"/>
      <c r="G789" s="176"/>
    </row>
    <row r="790" spans="1:7" ht="12.75">
      <c r="A790" s="168" t="e">
        <f t="shared" si="0"/>
        <v>#REF!</v>
      </c>
      <c r="B790" s="175"/>
      <c r="C790" s="175"/>
      <c r="D790" s="175"/>
      <c r="E790" s="170"/>
      <c r="F790" s="169"/>
      <c r="G790" s="176"/>
    </row>
    <row r="791" spans="1:7" ht="12.75">
      <c r="A791" s="168" t="e">
        <f t="shared" si="0"/>
        <v>#REF!</v>
      </c>
      <c r="B791" s="175"/>
      <c r="C791" s="175"/>
      <c r="D791" s="175"/>
      <c r="E791" s="170"/>
      <c r="F791" s="169"/>
      <c r="G791" s="176"/>
    </row>
    <row r="792" spans="1:7" ht="12.75">
      <c r="A792" s="168" t="e">
        <f t="shared" si="0"/>
        <v>#REF!</v>
      </c>
      <c r="B792" s="175"/>
      <c r="C792" s="175"/>
      <c r="D792" s="175"/>
      <c r="E792" s="170"/>
      <c r="F792" s="169"/>
      <c r="G792" s="176"/>
    </row>
    <row r="793" spans="1:7" ht="12.75">
      <c r="A793" s="168" t="e">
        <f t="shared" si="0"/>
        <v>#REF!</v>
      </c>
      <c r="B793" s="175"/>
      <c r="C793" s="175"/>
      <c r="D793" s="175"/>
      <c r="E793" s="170"/>
      <c r="F793" s="169"/>
      <c r="G793" s="176"/>
    </row>
    <row r="794" spans="1:7" ht="12.75">
      <c r="A794" s="168" t="e">
        <f t="shared" si="0"/>
        <v>#REF!</v>
      </c>
      <c r="B794" s="175"/>
      <c r="C794" s="175"/>
      <c r="D794" s="175"/>
      <c r="E794" s="170"/>
      <c r="F794" s="169"/>
      <c r="G794" s="176"/>
    </row>
    <row r="795" spans="1:7" ht="12.75">
      <c r="A795" s="168" t="e">
        <f t="shared" si="0"/>
        <v>#REF!</v>
      </c>
      <c r="B795" s="175"/>
      <c r="C795" s="175"/>
      <c r="D795" s="175"/>
      <c r="E795" s="170"/>
      <c r="F795" s="169"/>
      <c r="G795" s="176"/>
    </row>
    <row r="796" spans="1:7" ht="12.75">
      <c r="A796" s="168" t="e">
        <f t="shared" si="0"/>
        <v>#REF!</v>
      </c>
      <c r="B796" s="175"/>
      <c r="C796" s="175"/>
      <c r="D796" s="175"/>
      <c r="E796" s="170"/>
      <c r="F796" s="169"/>
      <c r="G796" s="176"/>
    </row>
    <row r="797" spans="1:7" ht="12.75">
      <c r="A797" s="168" t="e">
        <f t="shared" si="0"/>
        <v>#REF!</v>
      </c>
      <c r="B797" s="175"/>
      <c r="C797" s="175"/>
      <c r="D797" s="175"/>
      <c r="E797" s="170"/>
      <c r="F797" s="169"/>
      <c r="G797" s="176"/>
    </row>
    <row r="798" spans="1:7" ht="12.75">
      <c r="A798" s="168" t="e">
        <f t="shared" si="0"/>
        <v>#REF!</v>
      </c>
      <c r="B798" s="175"/>
      <c r="C798" s="175"/>
      <c r="D798" s="175"/>
      <c r="E798" s="170"/>
      <c r="F798" s="169"/>
      <c r="G798" s="176"/>
    </row>
    <row r="799" spans="1:7" ht="12.75">
      <c r="A799" s="168" t="e">
        <f t="shared" si="0"/>
        <v>#REF!</v>
      </c>
      <c r="B799" s="175"/>
      <c r="C799" s="175"/>
      <c r="D799" s="175"/>
      <c r="E799" s="170"/>
      <c r="F799" s="169"/>
      <c r="G799" s="176"/>
    </row>
    <row r="800" spans="1:7" ht="12.75">
      <c r="A800" s="168" t="e">
        <f t="shared" si="0"/>
        <v>#REF!</v>
      </c>
      <c r="B800" s="175"/>
      <c r="C800" s="175"/>
      <c r="D800" s="175"/>
      <c r="E800" s="170"/>
      <c r="F800" s="169"/>
      <c r="G800" s="176"/>
    </row>
    <row r="801" spans="1:7" ht="12.75">
      <c r="A801" s="168" t="e">
        <f t="shared" si="0"/>
        <v>#REF!</v>
      </c>
      <c r="B801" s="175"/>
      <c r="C801" s="175"/>
      <c r="D801" s="175"/>
      <c r="E801" s="170"/>
      <c r="F801" s="169"/>
      <c r="G801" s="176"/>
    </row>
    <row r="802" spans="1:7" ht="12.75">
      <c r="A802" s="168" t="e">
        <f t="shared" si="0"/>
        <v>#REF!</v>
      </c>
      <c r="B802" s="175"/>
      <c r="C802" s="175"/>
      <c r="D802" s="175"/>
      <c r="E802" s="170"/>
      <c r="F802" s="169"/>
      <c r="G802" s="176"/>
    </row>
    <row r="803" spans="1:7" ht="12.75">
      <c r="A803" s="168" t="e">
        <f t="shared" si="0"/>
        <v>#REF!</v>
      </c>
      <c r="B803" s="175"/>
      <c r="C803" s="175"/>
      <c r="D803" s="175"/>
      <c r="E803" s="170"/>
      <c r="F803" s="169"/>
      <c r="G803" s="176"/>
    </row>
    <row r="804" spans="1:7" ht="12.75">
      <c r="A804" s="168" t="e">
        <f t="shared" si="0"/>
        <v>#REF!</v>
      </c>
      <c r="B804" s="175"/>
      <c r="C804" s="175"/>
      <c r="D804" s="175"/>
      <c r="E804" s="170"/>
      <c r="F804" s="169"/>
      <c r="G804" s="176"/>
    </row>
    <row r="805" spans="1:7" ht="12.75">
      <c r="A805" s="168" t="e">
        <f t="shared" si="0"/>
        <v>#REF!</v>
      </c>
      <c r="B805" s="175"/>
      <c r="C805" s="175"/>
      <c r="D805" s="175"/>
      <c r="E805" s="170"/>
      <c r="F805" s="169"/>
      <c r="G805" s="176"/>
    </row>
    <row r="806" spans="1:7" ht="12.75">
      <c r="A806" s="168" t="e">
        <f t="shared" si="0"/>
        <v>#REF!</v>
      </c>
      <c r="B806" s="175"/>
      <c r="C806" s="175"/>
      <c r="D806" s="175"/>
      <c r="E806" s="170"/>
      <c r="F806" s="169"/>
      <c r="G806" s="176"/>
    </row>
    <row r="807" spans="1:7" ht="12.75">
      <c r="A807" s="168" t="e">
        <f t="shared" si="0"/>
        <v>#REF!</v>
      </c>
      <c r="B807" s="175"/>
      <c r="C807" s="175"/>
      <c r="D807" s="175"/>
      <c r="E807" s="170"/>
      <c r="F807" s="169"/>
      <c r="G807" s="176"/>
    </row>
    <row r="808" spans="1:7" ht="12.75">
      <c r="A808" s="168" t="e">
        <f t="shared" si="0"/>
        <v>#REF!</v>
      </c>
      <c r="B808" s="175"/>
      <c r="C808" s="175"/>
      <c r="D808" s="175"/>
      <c r="E808" s="170"/>
      <c r="F808" s="169"/>
      <c r="G808" s="176"/>
    </row>
    <row r="809" spans="1:7" ht="12.75">
      <c r="A809" s="168" t="e">
        <f t="shared" si="0"/>
        <v>#REF!</v>
      </c>
      <c r="B809" s="175"/>
      <c r="C809" s="175"/>
      <c r="D809" s="175"/>
      <c r="E809" s="170"/>
      <c r="F809" s="169"/>
      <c r="G809" s="176"/>
    </row>
    <row r="810" spans="1:7" ht="12.75">
      <c r="A810" s="168" t="e">
        <f t="shared" si="0"/>
        <v>#REF!</v>
      </c>
      <c r="B810" s="175"/>
      <c r="C810" s="175"/>
      <c r="D810" s="175"/>
      <c r="E810" s="170"/>
      <c r="F810" s="169"/>
      <c r="G810" s="176"/>
    </row>
    <row r="811" spans="1:7" ht="12.75">
      <c r="A811" s="168" t="e">
        <f t="shared" si="0"/>
        <v>#REF!</v>
      </c>
      <c r="B811" s="175"/>
      <c r="C811" s="175"/>
      <c r="D811" s="175"/>
      <c r="E811" s="170"/>
      <c r="F811" s="169"/>
      <c r="G811" s="176"/>
    </row>
    <row r="812" spans="1:7" ht="12.75">
      <c r="A812" s="168" t="e">
        <f t="shared" si="0"/>
        <v>#REF!</v>
      </c>
      <c r="B812" s="175"/>
      <c r="C812" s="175"/>
      <c r="D812" s="175"/>
      <c r="E812" s="170"/>
      <c r="F812" s="169"/>
      <c r="G812" s="176"/>
    </row>
    <row r="813" spans="1:7" ht="12.75">
      <c r="A813" s="168" t="e">
        <f t="shared" si="0"/>
        <v>#REF!</v>
      </c>
      <c r="B813" s="175"/>
      <c r="C813" s="175"/>
      <c r="D813" s="175"/>
      <c r="E813" s="170"/>
      <c r="F813" s="169"/>
      <c r="G813" s="176"/>
    </row>
    <row r="814" spans="1:7" ht="12.75">
      <c r="A814" s="168" t="e">
        <f t="shared" si="0"/>
        <v>#REF!</v>
      </c>
      <c r="B814" s="175"/>
      <c r="C814" s="175"/>
      <c r="D814" s="175"/>
      <c r="E814" s="170"/>
      <c r="F814" s="169"/>
      <c r="G814" s="176"/>
    </row>
    <row r="815" spans="1:7" ht="12.75">
      <c r="A815" s="168" t="e">
        <f t="shared" si="0"/>
        <v>#REF!</v>
      </c>
      <c r="B815" s="175"/>
      <c r="C815" s="175"/>
      <c r="D815" s="175"/>
      <c r="E815" s="170"/>
      <c r="F815" s="169"/>
      <c r="G815" s="176"/>
    </row>
    <row r="816" spans="1:7" ht="12.75">
      <c r="A816" s="168" t="e">
        <f t="shared" si="0"/>
        <v>#REF!</v>
      </c>
      <c r="B816" s="175"/>
      <c r="C816" s="175"/>
      <c r="D816" s="175"/>
      <c r="E816" s="170"/>
      <c r="F816" s="169"/>
      <c r="G816" s="176"/>
    </row>
    <row r="817" spans="1:7" ht="12.75">
      <c r="A817" s="168" t="e">
        <f t="shared" si="0"/>
        <v>#REF!</v>
      </c>
      <c r="B817" s="175"/>
      <c r="C817" s="175"/>
      <c r="D817" s="175"/>
      <c r="E817" s="170"/>
      <c r="F817" s="169"/>
      <c r="G817" s="176"/>
    </row>
    <row r="818" spans="1:7" ht="12.75">
      <c r="A818" s="168" t="e">
        <f t="shared" si="0"/>
        <v>#REF!</v>
      </c>
      <c r="B818" s="175"/>
      <c r="C818" s="175"/>
      <c r="D818" s="175"/>
      <c r="E818" s="170"/>
      <c r="F818" s="169"/>
      <c r="G818" s="176"/>
    </row>
    <row r="819" spans="1:7" ht="12.75">
      <c r="A819" s="168" t="e">
        <f t="shared" si="0"/>
        <v>#REF!</v>
      </c>
      <c r="B819" s="175"/>
      <c r="C819" s="175"/>
      <c r="D819" s="175"/>
      <c r="E819" s="170"/>
      <c r="F819" s="169"/>
      <c r="G819" s="176"/>
    </row>
    <row r="820" spans="1:7" ht="12.75">
      <c r="A820" s="168" t="e">
        <f t="shared" si="0"/>
        <v>#REF!</v>
      </c>
      <c r="B820" s="175"/>
      <c r="C820" s="175"/>
      <c r="D820" s="175"/>
      <c r="E820" s="170"/>
      <c r="F820" s="169"/>
      <c r="G820" s="176"/>
    </row>
    <row r="821" spans="1:7" ht="12.75">
      <c r="A821" s="168" t="e">
        <f t="shared" si="0"/>
        <v>#REF!</v>
      </c>
      <c r="B821" s="175"/>
      <c r="C821" s="175"/>
      <c r="D821" s="175"/>
      <c r="E821" s="170"/>
      <c r="F821" s="169"/>
      <c r="G821" s="176"/>
    </row>
    <row r="822" spans="1:7" ht="12.75">
      <c r="A822" s="168" t="e">
        <f t="shared" si="0"/>
        <v>#REF!</v>
      </c>
      <c r="B822" s="175"/>
      <c r="C822" s="175"/>
      <c r="D822" s="175"/>
      <c r="E822" s="170"/>
      <c r="F822" s="169"/>
      <c r="G822" s="176"/>
    </row>
    <row r="823" spans="1:7" ht="12.75">
      <c r="A823" s="168" t="e">
        <f t="shared" si="0"/>
        <v>#REF!</v>
      </c>
      <c r="B823" s="175"/>
      <c r="C823" s="175"/>
      <c r="D823" s="175"/>
      <c r="E823" s="170"/>
      <c r="F823" s="169"/>
      <c r="G823" s="176"/>
    </row>
    <row r="824" spans="1:7" ht="12.75">
      <c r="A824" s="168" t="e">
        <f t="shared" si="0"/>
        <v>#REF!</v>
      </c>
      <c r="B824" s="175"/>
      <c r="C824" s="175"/>
      <c r="D824" s="175"/>
      <c r="E824" s="170"/>
      <c r="F824" s="169"/>
      <c r="G824" s="176"/>
    </row>
    <row r="825" spans="1:7" ht="12.75">
      <c r="A825" s="168" t="e">
        <f t="shared" si="0"/>
        <v>#REF!</v>
      </c>
      <c r="B825" s="175"/>
      <c r="C825" s="175"/>
      <c r="D825" s="175"/>
      <c r="E825" s="170"/>
      <c r="F825" s="169"/>
      <c r="G825" s="176"/>
    </row>
    <row r="826" spans="1:7" ht="12.75">
      <c r="A826" s="168" t="e">
        <f t="shared" si="0"/>
        <v>#REF!</v>
      </c>
      <c r="B826" s="175"/>
      <c r="C826" s="175"/>
      <c r="D826" s="175"/>
      <c r="E826" s="170"/>
      <c r="F826" s="169"/>
      <c r="G826" s="176"/>
    </row>
    <row r="827" spans="1:7" ht="12.75">
      <c r="A827" s="168" t="e">
        <f t="shared" si="0"/>
        <v>#REF!</v>
      </c>
      <c r="B827" s="175"/>
      <c r="C827" s="175"/>
      <c r="D827" s="175"/>
      <c r="E827" s="170"/>
      <c r="F827" s="169"/>
      <c r="G827" s="176"/>
    </row>
    <row r="828" spans="1:7" ht="12.75">
      <c r="A828" s="168" t="e">
        <f t="shared" si="0"/>
        <v>#REF!</v>
      </c>
      <c r="B828" s="175"/>
      <c r="C828" s="175"/>
      <c r="D828" s="175"/>
      <c r="E828" s="170"/>
      <c r="F828" s="169"/>
      <c r="G828" s="176"/>
    </row>
    <row r="829" spans="1:7" ht="12.75">
      <c r="A829" s="168" t="e">
        <f t="shared" si="0"/>
        <v>#REF!</v>
      </c>
      <c r="B829" s="175"/>
      <c r="C829" s="175"/>
      <c r="D829" s="175"/>
      <c r="E829" s="170"/>
      <c r="F829" s="169"/>
      <c r="G829" s="176"/>
    </row>
    <row r="830" spans="1:7" ht="12.75">
      <c r="A830" s="168" t="e">
        <f t="shared" si="0"/>
        <v>#REF!</v>
      </c>
      <c r="B830" s="175"/>
      <c r="C830" s="175"/>
      <c r="D830" s="175"/>
      <c r="E830" s="170"/>
      <c r="F830" s="169"/>
      <c r="G830" s="176"/>
    </row>
    <row r="831" spans="1:7" ht="12.75">
      <c r="A831" s="168" t="e">
        <f t="shared" si="0"/>
        <v>#REF!</v>
      </c>
      <c r="B831" s="175"/>
      <c r="C831" s="175"/>
      <c r="D831" s="175"/>
      <c r="E831" s="170"/>
      <c r="F831" s="169"/>
      <c r="G831" s="176"/>
    </row>
    <row r="832" spans="1:7" ht="12.75">
      <c r="A832" s="168" t="e">
        <f t="shared" si="0"/>
        <v>#REF!</v>
      </c>
      <c r="B832" s="175"/>
      <c r="C832" s="175"/>
      <c r="D832" s="175"/>
      <c r="E832" s="170"/>
      <c r="F832" s="169"/>
      <c r="G832" s="176"/>
    </row>
    <row r="833" spans="1:7" ht="12.75">
      <c r="A833" s="168" t="e">
        <f t="shared" si="0"/>
        <v>#REF!</v>
      </c>
      <c r="B833" s="175"/>
      <c r="C833" s="175"/>
      <c r="D833" s="175"/>
      <c r="E833" s="170"/>
      <c r="F833" s="169"/>
      <c r="G833" s="176"/>
    </row>
    <row r="834" spans="1:7" ht="12.75">
      <c r="A834" s="168" t="e">
        <f t="shared" si="0"/>
        <v>#REF!</v>
      </c>
      <c r="B834" s="175"/>
      <c r="C834" s="175"/>
      <c r="D834" s="175"/>
      <c r="E834" s="170"/>
      <c r="F834" s="169"/>
      <c r="G834" s="176"/>
    </row>
    <row r="835" spans="1:7" ht="12.75">
      <c r="A835" s="168" t="e">
        <f t="shared" si="0"/>
        <v>#REF!</v>
      </c>
      <c r="B835" s="175"/>
      <c r="C835" s="175"/>
      <c r="D835" s="175"/>
      <c r="E835" s="170"/>
      <c r="F835" s="169"/>
      <c r="G835" s="176"/>
    </row>
    <row r="836" spans="1:7" ht="12.75">
      <c r="A836" s="168" t="e">
        <f t="shared" si="0"/>
        <v>#REF!</v>
      </c>
      <c r="B836" s="175"/>
      <c r="C836" s="175"/>
      <c r="D836" s="175"/>
      <c r="E836" s="170"/>
      <c r="F836" s="169"/>
      <c r="G836" s="176"/>
    </row>
    <row r="837" spans="1:7" ht="12.75">
      <c r="A837" s="168" t="e">
        <f t="shared" si="0"/>
        <v>#REF!</v>
      </c>
      <c r="B837" s="175"/>
      <c r="C837" s="175"/>
      <c r="D837" s="175"/>
      <c r="E837" s="170"/>
      <c r="F837" s="169"/>
      <c r="G837" s="176"/>
    </row>
    <row r="838" spans="1:7" ht="12.75">
      <c r="A838" s="168" t="e">
        <f t="shared" si="0"/>
        <v>#REF!</v>
      </c>
      <c r="B838" s="175"/>
      <c r="C838" s="175"/>
      <c r="D838" s="175"/>
      <c r="E838" s="170"/>
      <c r="F838" s="169"/>
      <c r="G838" s="176"/>
    </row>
    <row r="839" spans="1:7" ht="12.75">
      <c r="A839" s="168" t="e">
        <f t="shared" si="0"/>
        <v>#REF!</v>
      </c>
      <c r="B839" s="175"/>
      <c r="C839" s="175"/>
      <c r="D839" s="175"/>
      <c r="E839" s="170"/>
      <c r="F839" s="169"/>
      <c r="G839" s="176"/>
    </row>
    <row r="840" spans="1:7" ht="12.75">
      <c r="A840" s="168" t="e">
        <f t="shared" si="0"/>
        <v>#REF!</v>
      </c>
      <c r="B840" s="175"/>
      <c r="C840" s="175"/>
      <c r="D840" s="175"/>
      <c r="E840" s="170"/>
      <c r="F840" s="169"/>
      <c r="G840" s="176"/>
    </row>
    <row r="841" spans="1:7" ht="12.75">
      <c r="A841" s="168" t="e">
        <f t="shared" si="0"/>
        <v>#REF!</v>
      </c>
      <c r="B841" s="175"/>
      <c r="C841" s="175"/>
      <c r="D841" s="175"/>
      <c r="E841" s="170"/>
      <c r="F841" s="169"/>
      <c r="G841" s="176"/>
    </row>
    <row r="842" spans="1:7" ht="12.75">
      <c r="A842" s="168" t="e">
        <f t="shared" si="0"/>
        <v>#REF!</v>
      </c>
      <c r="B842" s="175"/>
      <c r="C842" s="175"/>
      <c r="D842" s="175"/>
      <c r="E842" s="170"/>
      <c r="F842" s="169"/>
      <c r="G842" s="176"/>
    </row>
    <row r="843" spans="1:7" ht="12.75">
      <c r="A843" s="168" t="e">
        <f t="shared" si="0"/>
        <v>#REF!</v>
      </c>
      <c r="B843" s="175"/>
      <c r="C843" s="175"/>
      <c r="D843" s="175"/>
      <c r="E843" s="170"/>
      <c r="F843" s="169"/>
      <c r="G843" s="176"/>
    </row>
    <row r="844" spans="1:7" ht="12.75">
      <c r="A844" s="168" t="e">
        <f t="shared" si="0"/>
        <v>#REF!</v>
      </c>
      <c r="B844" s="175"/>
      <c r="C844" s="175"/>
      <c r="D844" s="175"/>
      <c r="E844" s="170"/>
      <c r="F844" s="169"/>
      <c r="G844" s="176"/>
    </row>
    <row r="845" spans="1:7" ht="12.75">
      <c r="A845" s="168" t="e">
        <f t="shared" si="0"/>
        <v>#REF!</v>
      </c>
      <c r="B845" s="175"/>
      <c r="C845" s="175"/>
      <c r="D845" s="175"/>
      <c r="E845" s="170"/>
      <c r="F845" s="169"/>
      <c r="G845" s="176"/>
    </row>
    <row r="846" spans="1:7" ht="12.75">
      <c r="A846" s="168" t="e">
        <f t="shared" si="0"/>
        <v>#REF!</v>
      </c>
      <c r="B846" s="175"/>
      <c r="C846" s="175"/>
      <c r="D846" s="175"/>
      <c r="E846" s="170"/>
      <c r="F846" s="169"/>
      <c r="G846" s="176"/>
    </row>
    <row r="847" spans="1:7" ht="12.75">
      <c r="A847" s="168" t="e">
        <f t="shared" si="0"/>
        <v>#REF!</v>
      </c>
      <c r="B847" s="175"/>
      <c r="C847" s="175"/>
      <c r="D847" s="175"/>
      <c r="E847" s="170"/>
      <c r="F847" s="169"/>
      <c r="G847" s="176"/>
    </row>
    <row r="848" spans="1:7" ht="12.75">
      <c r="A848" s="168" t="e">
        <f t="shared" si="0"/>
        <v>#REF!</v>
      </c>
      <c r="B848" s="175"/>
      <c r="C848" s="175"/>
      <c r="D848" s="175"/>
      <c r="E848" s="170"/>
      <c r="F848" s="169"/>
      <c r="G848" s="176"/>
    </row>
    <row r="849" spans="1:7" ht="12.75">
      <c r="A849" s="168" t="e">
        <f t="shared" si="0"/>
        <v>#REF!</v>
      </c>
      <c r="B849" s="175"/>
      <c r="C849" s="175"/>
      <c r="D849" s="175"/>
      <c r="E849" s="170"/>
      <c r="F849" s="169"/>
      <c r="G849" s="176"/>
    </row>
    <row r="850" spans="1:7" ht="12.75">
      <c r="A850" s="168" t="e">
        <f t="shared" si="0"/>
        <v>#REF!</v>
      </c>
      <c r="B850" s="175"/>
      <c r="C850" s="175"/>
      <c r="D850" s="175"/>
      <c r="E850" s="170"/>
      <c r="F850" s="169"/>
      <c r="G850" s="176"/>
    </row>
    <row r="851" spans="1:7" ht="12.75">
      <c r="A851" s="168" t="e">
        <f t="shared" si="0"/>
        <v>#REF!</v>
      </c>
      <c r="B851" s="175"/>
      <c r="C851" s="175"/>
      <c r="D851" s="175"/>
      <c r="E851" s="170"/>
      <c r="F851" s="169"/>
      <c r="G851" s="176"/>
    </row>
    <row r="852" spans="1:7" ht="12.75">
      <c r="A852" s="168" t="e">
        <f t="shared" si="0"/>
        <v>#REF!</v>
      </c>
      <c r="B852" s="175"/>
      <c r="C852" s="175"/>
      <c r="D852" s="175"/>
      <c r="E852" s="170"/>
      <c r="F852" s="169"/>
      <c r="G852" s="176"/>
    </row>
    <row r="853" spans="1:7" ht="12.75">
      <c r="A853" s="168" t="e">
        <f t="shared" si="0"/>
        <v>#REF!</v>
      </c>
      <c r="B853" s="175"/>
      <c r="C853" s="175"/>
      <c r="D853" s="175"/>
      <c r="E853" s="170"/>
      <c r="F853" s="169"/>
      <c r="G853" s="176"/>
    </row>
    <row r="854" spans="1:7" ht="12.75">
      <c r="A854" s="168" t="e">
        <f t="shared" si="0"/>
        <v>#REF!</v>
      </c>
      <c r="B854" s="175"/>
      <c r="C854" s="175"/>
      <c r="D854" s="175"/>
      <c r="E854" s="170"/>
      <c r="F854" s="169"/>
      <c r="G854" s="176"/>
    </row>
    <row r="855" spans="1:7" ht="12.75">
      <c r="A855" s="168" t="e">
        <f t="shared" si="0"/>
        <v>#REF!</v>
      </c>
      <c r="B855" s="175"/>
      <c r="C855" s="175"/>
      <c r="D855" s="175"/>
      <c r="E855" s="170"/>
      <c r="F855" s="169"/>
      <c r="G855" s="176"/>
    </row>
    <row r="856" spans="1:7" ht="12.75">
      <c r="A856" s="168" t="e">
        <f t="shared" si="0"/>
        <v>#REF!</v>
      </c>
      <c r="B856" s="175"/>
      <c r="C856" s="175"/>
      <c r="D856" s="175"/>
      <c r="E856" s="170"/>
      <c r="F856" s="169"/>
      <c r="G856" s="176"/>
    </row>
    <row r="857" spans="1:7" ht="12.75">
      <c r="A857" s="168" t="e">
        <f t="shared" si="0"/>
        <v>#REF!</v>
      </c>
      <c r="B857" s="175"/>
      <c r="C857" s="175"/>
      <c r="D857" s="175"/>
      <c r="E857" s="170"/>
      <c r="F857" s="169"/>
      <c r="G857" s="176"/>
    </row>
    <row r="858" spans="1:7" ht="12.75">
      <c r="A858" s="168" t="e">
        <f t="shared" si="0"/>
        <v>#REF!</v>
      </c>
      <c r="B858" s="175"/>
      <c r="C858" s="175"/>
      <c r="D858" s="175"/>
      <c r="E858" s="170"/>
      <c r="F858" s="169"/>
      <c r="G858" s="176"/>
    </row>
    <row r="859" spans="1:7" ht="12.75">
      <c r="A859" s="168" t="e">
        <f t="shared" si="0"/>
        <v>#REF!</v>
      </c>
      <c r="B859" s="175"/>
      <c r="C859" s="175"/>
      <c r="D859" s="175"/>
      <c r="E859" s="170"/>
      <c r="F859" s="169"/>
      <c r="G859" s="176"/>
    </row>
    <row r="860" spans="1:7" ht="12.75">
      <c r="A860" s="168" t="e">
        <f t="shared" si="0"/>
        <v>#REF!</v>
      </c>
      <c r="B860" s="175"/>
      <c r="C860" s="175"/>
      <c r="D860" s="175"/>
      <c r="E860" s="170"/>
      <c r="F860" s="169"/>
      <c r="G860" s="176"/>
    </row>
    <row r="861" spans="1:7" ht="12.75">
      <c r="A861" s="168" t="e">
        <f t="shared" si="0"/>
        <v>#REF!</v>
      </c>
      <c r="B861" s="175"/>
      <c r="C861" s="175"/>
      <c r="D861" s="175"/>
      <c r="E861" s="170"/>
      <c r="F861" s="169"/>
      <c r="G861" s="176"/>
    </row>
    <row r="862" spans="1:7" ht="12.75">
      <c r="A862" s="168" t="e">
        <f t="shared" si="0"/>
        <v>#REF!</v>
      </c>
      <c r="B862" s="175"/>
      <c r="C862" s="175"/>
      <c r="D862" s="175"/>
      <c r="E862" s="170"/>
      <c r="F862" s="169"/>
      <c r="G862" s="176"/>
    </row>
    <row r="863" spans="1:7" ht="12.75">
      <c r="A863" s="168" t="e">
        <f t="shared" si="0"/>
        <v>#REF!</v>
      </c>
      <c r="B863" s="175"/>
      <c r="C863" s="175"/>
      <c r="D863" s="175"/>
      <c r="E863" s="170"/>
      <c r="F863" s="169"/>
      <c r="G863" s="176"/>
    </row>
    <row r="864" spans="1:7" ht="12.75">
      <c r="A864" s="168" t="e">
        <f t="shared" si="0"/>
        <v>#REF!</v>
      </c>
      <c r="B864" s="175"/>
      <c r="C864" s="175"/>
      <c r="D864" s="175"/>
      <c r="E864" s="170"/>
      <c r="F864" s="169"/>
      <c r="G864" s="176"/>
    </row>
    <row r="865" spans="1:7" ht="12.75">
      <c r="A865" s="168" t="e">
        <f t="shared" si="0"/>
        <v>#REF!</v>
      </c>
      <c r="B865" s="175"/>
      <c r="C865" s="175"/>
      <c r="D865" s="175"/>
      <c r="E865" s="170"/>
      <c r="F865" s="169"/>
      <c r="G865" s="176"/>
    </row>
    <row r="866" spans="1:7" ht="12.75">
      <c r="A866" s="168" t="e">
        <f t="shared" si="0"/>
        <v>#REF!</v>
      </c>
      <c r="B866" s="175"/>
      <c r="C866" s="175"/>
      <c r="D866" s="175"/>
      <c r="E866" s="170"/>
      <c r="F866" s="169"/>
      <c r="G866" s="176"/>
    </row>
    <row r="867" spans="1:7" ht="12.75">
      <c r="A867" s="168" t="e">
        <f t="shared" si="0"/>
        <v>#REF!</v>
      </c>
      <c r="B867" s="175"/>
      <c r="C867" s="175"/>
      <c r="D867" s="175"/>
      <c r="E867" s="170"/>
      <c r="F867" s="169"/>
      <c r="G867" s="176"/>
    </row>
    <row r="868" spans="1:7" ht="12.75">
      <c r="A868" s="168" t="e">
        <f t="shared" si="0"/>
        <v>#REF!</v>
      </c>
      <c r="B868" s="175"/>
      <c r="C868" s="175"/>
      <c r="D868" s="175"/>
      <c r="E868" s="170"/>
      <c r="F868" s="169"/>
      <c r="G868" s="176"/>
    </row>
    <row r="869" spans="1:7" ht="12.75">
      <c r="A869" s="168" t="e">
        <f t="shared" si="0"/>
        <v>#REF!</v>
      </c>
      <c r="B869" s="175"/>
      <c r="C869" s="175"/>
      <c r="D869" s="175"/>
      <c r="E869" s="170"/>
      <c r="F869" s="169"/>
      <c r="G869" s="176"/>
    </row>
    <row r="870" spans="1:7" ht="12.75">
      <c r="A870" s="168" t="e">
        <f t="shared" si="0"/>
        <v>#REF!</v>
      </c>
      <c r="B870" s="175"/>
      <c r="C870" s="175"/>
      <c r="D870" s="175"/>
      <c r="E870" s="170"/>
      <c r="F870" s="169"/>
      <c r="G870" s="176"/>
    </row>
    <row r="871" spans="1:7" ht="12.75">
      <c r="A871" s="168" t="e">
        <f t="shared" si="0"/>
        <v>#REF!</v>
      </c>
      <c r="B871" s="175"/>
      <c r="C871" s="175"/>
      <c r="D871" s="175"/>
      <c r="E871" s="170"/>
      <c r="F871" s="169"/>
      <c r="G871" s="176"/>
    </row>
    <row r="872" spans="1:7" ht="12.75">
      <c r="A872" s="168" t="e">
        <f t="shared" si="0"/>
        <v>#REF!</v>
      </c>
      <c r="B872" s="175"/>
      <c r="C872" s="175"/>
      <c r="D872" s="175"/>
      <c r="E872" s="170"/>
      <c r="F872" s="169"/>
      <c r="G872" s="176"/>
    </row>
    <row r="873" spans="1:7" ht="12.75">
      <c r="A873" s="168" t="e">
        <f t="shared" si="0"/>
        <v>#REF!</v>
      </c>
      <c r="B873" s="175"/>
      <c r="C873" s="175"/>
      <c r="D873" s="175"/>
      <c r="E873" s="170"/>
      <c r="F873" s="169"/>
      <c r="G873" s="176"/>
    </row>
    <row r="874" spans="1:7" ht="12.75">
      <c r="A874" s="168" t="e">
        <f t="shared" si="0"/>
        <v>#REF!</v>
      </c>
      <c r="B874" s="175"/>
      <c r="C874" s="175"/>
      <c r="D874" s="175"/>
      <c r="E874" s="170"/>
      <c r="F874" s="169"/>
      <c r="G874" s="176"/>
    </row>
    <row r="875" spans="1:7" ht="12.75">
      <c r="A875" s="168" t="e">
        <f t="shared" si="0"/>
        <v>#REF!</v>
      </c>
      <c r="B875" s="175"/>
      <c r="C875" s="175"/>
      <c r="D875" s="175"/>
      <c r="E875" s="170"/>
      <c r="F875" s="169"/>
      <c r="G875" s="176"/>
    </row>
    <row r="876" spans="1:7" ht="12.75">
      <c r="A876" s="168" t="e">
        <f t="shared" si="0"/>
        <v>#REF!</v>
      </c>
      <c r="B876" s="175"/>
      <c r="C876" s="175"/>
      <c r="D876" s="175"/>
      <c r="E876" s="170"/>
      <c r="F876" s="169"/>
      <c r="G876" s="176"/>
    </row>
    <row r="877" spans="1:7" ht="12.75">
      <c r="A877" s="168" t="e">
        <f t="shared" si="0"/>
        <v>#REF!</v>
      </c>
      <c r="B877" s="175"/>
      <c r="C877" s="175"/>
      <c r="D877" s="175"/>
      <c r="E877" s="170"/>
      <c r="F877" s="169"/>
      <c r="G877" s="176"/>
    </row>
    <row r="878" spans="1:7" ht="12.75">
      <c r="A878" s="168" t="e">
        <f t="shared" si="0"/>
        <v>#REF!</v>
      </c>
      <c r="B878" s="175"/>
      <c r="C878" s="175"/>
      <c r="D878" s="175"/>
      <c r="E878" s="170"/>
      <c r="F878" s="169"/>
      <c r="G878" s="176"/>
    </row>
    <row r="879" spans="1:7" ht="12.75">
      <c r="A879" s="168" t="e">
        <f t="shared" si="0"/>
        <v>#REF!</v>
      </c>
      <c r="B879" s="175"/>
      <c r="C879" s="175"/>
      <c r="D879" s="175"/>
      <c r="E879" s="170"/>
      <c r="F879" s="169"/>
      <c r="G879" s="176"/>
    </row>
    <row r="880" spans="1:7" ht="12.75">
      <c r="A880" s="168" t="e">
        <f t="shared" si="0"/>
        <v>#REF!</v>
      </c>
      <c r="B880" s="175"/>
      <c r="C880" s="175"/>
      <c r="D880" s="175"/>
      <c r="E880" s="170"/>
      <c r="F880" s="169"/>
      <c r="G880" s="176"/>
    </row>
    <row r="881" spans="1:7" ht="12.75">
      <c r="A881" s="168" t="e">
        <f t="shared" si="0"/>
        <v>#REF!</v>
      </c>
      <c r="B881" s="175"/>
      <c r="C881" s="175"/>
      <c r="D881" s="175"/>
      <c r="E881" s="170"/>
      <c r="F881" s="169"/>
      <c r="G881" s="176"/>
    </row>
    <row r="882" spans="1:7" ht="12.75">
      <c r="A882" s="168" t="e">
        <f t="shared" si="0"/>
        <v>#REF!</v>
      </c>
      <c r="B882" s="175"/>
      <c r="C882" s="175"/>
      <c r="D882" s="175"/>
      <c r="E882" s="170"/>
      <c r="F882" s="169"/>
      <c r="G882" s="176"/>
    </row>
    <row r="883" spans="1:7" ht="12.75">
      <c r="A883" s="168" t="e">
        <f t="shared" si="0"/>
        <v>#REF!</v>
      </c>
      <c r="B883" s="175"/>
      <c r="C883" s="175"/>
      <c r="D883" s="175"/>
      <c r="E883" s="170"/>
      <c r="F883" s="169"/>
      <c r="G883" s="176"/>
    </row>
    <row r="884" spans="1:7" ht="12.75">
      <c r="A884" s="168" t="e">
        <f t="shared" si="0"/>
        <v>#REF!</v>
      </c>
      <c r="B884" s="175"/>
      <c r="C884" s="175"/>
      <c r="D884" s="175"/>
      <c r="E884" s="170"/>
      <c r="F884" s="169"/>
      <c r="G884" s="176"/>
    </row>
    <row r="885" spans="1:7" ht="12.75">
      <c r="A885" s="168" t="e">
        <f t="shared" si="0"/>
        <v>#REF!</v>
      </c>
      <c r="B885" s="175"/>
      <c r="C885" s="175"/>
      <c r="D885" s="175"/>
      <c r="E885" s="170"/>
      <c r="F885" s="169"/>
      <c r="G885" s="176"/>
    </row>
    <row r="886" spans="1:7" ht="12.75">
      <c r="A886" s="168" t="e">
        <f t="shared" si="0"/>
        <v>#REF!</v>
      </c>
      <c r="B886" s="175"/>
      <c r="C886" s="175"/>
      <c r="D886" s="175"/>
      <c r="E886" s="170"/>
      <c r="F886" s="169"/>
      <c r="G886" s="176"/>
    </row>
    <row r="887" spans="1:7" ht="12.75">
      <c r="A887" s="168" t="e">
        <f t="shared" si="0"/>
        <v>#REF!</v>
      </c>
      <c r="B887" s="175"/>
      <c r="C887" s="175"/>
      <c r="D887" s="175"/>
      <c r="E887" s="170"/>
      <c r="F887" s="169"/>
      <c r="G887" s="176"/>
    </row>
    <row r="888" spans="1:7" ht="12.75">
      <c r="A888" s="168" t="e">
        <f t="shared" si="0"/>
        <v>#REF!</v>
      </c>
      <c r="B888" s="175"/>
      <c r="C888" s="175"/>
      <c r="D888" s="175"/>
      <c r="E888" s="170"/>
      <c r="F888" s="169"/>
      <c r="G888" s="176"/>
    </row>
    <row r="889" spans="1:7" ht="12.75">
      <c r="A889" s="168" t="e">
        <f t="shared" si="0"/>
        <v>#REF!</v>
      </c>
      <c r="B889" s="175"/>
      <c r="C889" s="175"/>
      <c r="D889" s="175"/>
      <c r="E889" s="170"/>
      <c r="F889" s="169"/>
      <c r="G889" s="176"/>
    </row>
    <row r="890" spans="1:7" ht="12.75">
      <c r="A890" s="168" t="e">
        <f t="shared" si="0"/>
        <v>#REF!</v>
      </c>
      <c r="B890" s="175"/>
      <c r="C890" s="175"/>
      <c r="D890" s="175"/>
      <c r="E890" s="170"/>
      <c r="F890" s="169"/>
      <c r="G890" s="176"/>
    </row>
    <row r="891" spans="1:7" ht="12.75">
      <c r="A891" s="168" t="e">
        <f t="shared" si="0"/>
        <v>#REF!</v>
      </c>
      <c r="B891" s="175"/>
      <c r="C891" s="175"/>
      <c r="D891" s="175"/>
      <c r="E891" s="170"/>
      <c r="F891" s="169"/>
      <c r="G891" s="176"/>
    </row>
    <row r="892" spans="1:7" ht="12.75">
      <c r="A892" s="168" t="e">
        <f t="shared" si="0"/>
        <v>#REF!</v>
      </c>
      <c r="B892" s="175"/>
      <c r="C892" s="175"/>
      <c r="D892" s="175"/>
      <c r="E892" s="170"/>
      <c r="F892" s="169"/>
      <c r="G892" s="176"/>
    </row>
    <row r="893" spans="1:7" ht="12.75">
      <c r="A893" s="168" t="e">
        <f t="shared" si="0"/>
        <v>#REF!</v>
      </c>
      <c r="B893" s="175"/>
      <c r="C893" s="175"/>
      <c r="D893" s="175"/>
      <c r="E893" s="170"/>
      <c r="F893" s="169"/>
      <c r="G893" s="176"/>
    </row>
    <row r="894" spans="1:7" ht="12.75">
      <c r="A894" s="168" t="e">
        <f t="shared" si="0"/>
        <v>#REF!</v>
      </c>
      <c r="B894" s="175"/>
      <c r="C894" s="175"/>
      <c r="D894" s="175"/>
      <c r="E894" s="170"/>
      <c r="F894" s="169"/>
      <c r="G894" s="176"/>
    </row>
    <row r="895" spans="1:7" ht="12.75">
      <c r="A895" s="168" t="e">
        <f t="shared" si="0"/>
        <v>#REF!</v>
      </c>
      <c r="B895" s="175"/>
      <c r="C895" s="175"/>
      <c r="D895" s="175"/>
      <c r="E895" s="170"/>
      <c r="F895" s="169"/>
      <c r="G895" s="176"/>
    </row>
    <row r="896" spans="1:7" ht="12.75">
      <c r="A896" s="168" t="e">
        <f t="shared" si="0"/>
        <v>#REF!</v>
      </c>
      <c r="B896" s="175"/>
      <c r="C896" s="175"/>
      <c r="D896" s="175"/>
      <c r="E896" s="170"/>
      <c r="F896" s="169"/>
      <c r="G896" s="176"/>
    </row>
    <row r="897" spans="1:7" ht="12.75">
      <c r="A897" s="168" t="e">
        <f t="shared" si="0"/>
        <v>#REF!</v>
      </c>
      <c r="B897" s="175"/>
      <c r="C897" s="175"/>
      <c r="D897" s="175"/>
      <c r="E897" s="170"/>
      <c r="F897" s="169"/>
      <c r="G897" s="176"/>
    </row>
    <row r="898" spans="1:7" ht="12.75">
      <c r="A898" s="168" t="e">
        <f t="shared" si="0"/>
        <v>#REF!</v>
      </c>
      <c r="B898" s="175"/>
      <c r="C898" s="175"/>
      <c r="D898" s="175"/>
      <c r="E898" s="170"/>
      <c r="F898" s="169"/>
      <c r="G898" s="176"/>
    </row>
    <row r="899" spans="1:7" ht="12.75">
      <c r="A899" s="168" t="e">
        <f t="shared" si="0"/>
        <v>#REF!</v>
      </c>
      <c r="B899" s="175"/>
      <c r="C899" s="175"/>
      <c r="D899" s="175"/>
      <c r="E899" s="170"/>
      <c r="F899" s="169"/>
      <c r="G899" s="176"/>
    </row>
    <row r="900" spans="1:7" ht="12.75">
      <c r="A900" s="168" t="e">
        <f t="shared" si="0"/>
        <v>#REF!</v>
      </c>
      <c r="B900" s="175"/>
      <c r="C900" s="175"/>
      <c r="D900" s="175"/>
      <c r="E900" s="170"/>
      <c r="F900" s="169"/>
      <c r="G900" s="176"/>
    </row>
    <row r="901" spans="1:7" ht="12.75">
      <c r="A901" s="168" t="e">
        <f t="shared" si="0"/>
        <v>#REF!</v>
      </c>
      <c r="B901" s="175"/>
      <c r="C901" s="175"/>
      <c r="D901" s="175"/>
      <c r="E901" s="170"/>
      <c r="F901" s="169"/>
      <c r="G901" s="176"/>
    </row>
    <row r="902" spans="1:7" ht="12.75">
      <c r="A902" s="168" t="e">
        <f t="shared" si="0"/>
        <v>#REF!</v>
      </c>
      <c r="B902" s="175"/>
      <c r="C902" s="175"/>
      <c r="D902" s="175"/>
      <c r="E902" s="170"/>
      <c r="F902" s="169"/>
      <c r="G902" s="176"/>
    </row>
    <row r="903" spans="1:7" ht="12.75">
      <c r="A903" s="168" t="e">
        <f t="shared" si="0"/>
        <v>#REF!</v>
      </c>
      <c r="B903" s="175"/>
      <c r="C903" s="175"/>
      <c r="D903" s="175"/>
      <c r="E903" s="170"/>
      <c r="F903" s="169"/>
      <c r="G903" s="176"/>
    </row>
    <row r="904" spans="1:7" ht="12.75">
      <c r="A904" s="168" t="e">
        <f t="shared" si="0"/>
        <v>#REF!</v>
      </c>
      <c r="B904" s="175"/>
      <c r="C904" s="175"/>
      <c r="D904" s="175"/>
      <c r="E904" s="170"/>
      <c r="F904" s="169"/>
      <c r="G904" s="176"/>
    </row>
    <row r="905" spans="1:7" ht="12.75">
      <c r="A905" s="168" t="e">
        <f t="shared" si="0"/>
        <v>#REF!</v>
      </c>
      <c r="B905" s="175"/>
      <c r="C905" s="175"/>
      <c r="D905" s="175"/>
      <c r="E905" s="170"/>
      <c r="F905" s="169"/>
      <c r="G905" s="176"/>
    </row>
    <row r="906" spans="1:7" ht="12.75">
      <c r="A906" s="168" t="e">
        <f t="shared" si="0"/>
        <v>#REF!</v>
      </c>
      <c r="B906" s="175"/>
      <c r="C906" s="175"/>
      <c r="D906" s="175"/>
      <c r="E906" s="170"/>
      <c r="F906" s="169"/>
      <c r="G906" s="176"/>
    </row>
    <row r="907" spans="1:7" ht="12.75">
      <c r="A907" s="168" t="e">
        <f t="shared" si="0"/>
        <v>#REF!</v>
      </c>
      <c r="B907" s="175"/>
      <c r="C907" s="175"/>
      <c r="D907" s="175"/>
      <c r="E907" s="170"/>
      <c r="F907" s="169"/>
      <c r="G907" s="176"/>
    </row>
    <row r="908" spans="1:7" ht="12.75">
      <c r="A908" s="168" t="e">
        <f t="shared" si="0"/>
        <v>#REF!</v>
      </c>
      <c r="B908" s="175"/>
      <c r="C908" s="175"/>
      <c r="D908" s="175"/>
      <c r="E908" s="170"/>
      <c r="F908" s="169"/>
      <c r="G908" s="176"/>
    </row>
    <row r="909" spans="1:7" ht="12.75">
      <c r="A909" s="168" t="e">
        <f t="shared" si="0"/>
        <v>#REF!</v>
      </c>
      <c r="B909" s="175"/>
      <c r="C909" s="175"/>
      <c r="D909" s="175"/>
      <c r="E909" s="170"/>
      <c r="F909" s="169"/>
      <c r="G909" s="176"/>
    </row>
    <row r="910" spans="1:7" ht="12.75">
      <c r="A910" s="168" t="e">
        <f t="shared" si="0"/>
        <v>#REF!</v>
      </c>
      <c r="B910" s="175"/>
      <c r="C910" s="175"/>
      <c r="D910" s="175"/>
      <c r="E910" s="170"/>
      <c r="F910" s="169"/>
      <c r="G910" s="176"/>
    </row>
    <row r="911" spans="1:7" ht="12.75">
      <c r="A911" s="168" t="e">
        <f t="shared" si="0"/>
        <v>#REF!</v>
      </c>
      <c r="B911" s="175"/>
      <c r="C911" s="175"/>
      <c r="D911" s="175"/>
      <c r="E911" s="170"/>
      <c r="F911" s="169"/>
      <c r="G911" s="176"/>
    </row>
    <row r="912" spans="1:7" ht="12.75">
      <c r="A912" s="168" t="e">
        <f t="shared" si="0"/>
        <v>#REF!</v>
      </c>
      <c r="B912" s="175"/>
      <c r="C912" s="175"/>
      <c r="D912" s="175"/>
      <c r="E912" s="170"/>
      <c r="F912" s="169"/>
      <c r="G912" s="176"/>
    </row>
    <row r="913" spans="1:7" ht="12.75">
      <c r="A913" s="168" t="e">
        <f t="shared" si="0"/>
        <v>#REF!</v>
      </c>
      <c r="B913" s="175"/>
      <c r="C913" s="175"/>
      <c r="D913" s="175"/>
      <c r="E913" s="170"/>
      <c r="F913" s="169"/>
      <c r="G913" s="176"/>
    </row>
    <row r="914" spans="1:7" ht="12.75">
      <c r="A914" s="168" t="e">
        <f t="shared" si="0"/>
        <v>#REF!</v>
      </c>
      <c r="B914" s="175"/>
      <c r="C914" s="175"/>
      <c r="D914" s="175"/>
      <c r="E914" s="170"/>
      <c r="F914" s="169"/>
      <c r="G914" s="176"/>
    </row>
    <row r="915" spans="1:7" ht="12.75">
      <c r="A915" s="168" t="e">
        <f t="shared" si="0"/>
        <v>#REF!</v>
      </c>
      <c r="B915" s="175"/>
      <c r="C915" s="175"/>
      <c r="D915" s="175"/>
      <c r="E915" s="170"/>
      <c r="F915" s="169"/>
      <c r="G915" s="176"/>
    </row>
    <row r="916" spans="1:7" ht="12.75">
      <c r="A916" s="168" t="e">
        <f t="shared" si="0"/>
        <v>#REF!</v>
      </c>
      <c r="B916" s="175"/>
      <c r="C916" s="175"/>
      <c r="D916" s="175"/>
      <c r="E916" s="170"/>
      <c r="F916" s="169"/>
      <c r="G916" s="176"/>
    </row>
    <row r="917" spans="1:7" ht="12.75">
      <c r="A917" s="168" t="e">
        <f t="shared" si="0"/>
        <v>#REF!</v>
      </c>
      <c r="B917" s="175"/>
      <c r="C917" s="175"/>
      <c r="D917" s="175"/>
      <c r="E917" s="170"/>
      <c r="F917" s="169"/>
      <c r="G917" s="176"/>
    </row>
    <row r="918" spans="1:7" ht="12.75">
      <c r="A918" s="168" t="e">
        <f t="shared" si="0"/>
        <v>#REF!</v>
      </c>
      <c r="B918" s="175"/>
      <c r="C918" s="175"/>
      <c r="D918" s="175"/>
      <c r="E918" s="170"/>
      <c r="F918" s="169"/>
      <c r="G918" s="176"/>
    </row>
    <row r="919" spans="1:7" ht="12.75">
      <c r="A919" s="168" t="e">
        <f t="shared" si="0"/>
        <v>#REF!</v>
      </c>
      <c r="B919" s="175"/>
      <c r="C919" s="175"/>
      <c r="D919" s="175"/>
      <c r="E919" s="170"/>
      <c r="F919" s="169"/>
      <c r="G919" s="176"/>
    </row>
    <row r="920" spans="1:7" ht="12.75">
      <c r="A920" s="168" t="e">
        <f t="shared" si="0"/>
        <v>#REF!</v>
      </c>
      <c r="B920" s="175"/>
      <c r="C920" s="175"/>
      <c r="D920" s="175"/>
      <c r="E920" s="170"/>
      <c r="F920" s="169"/>
      <c r="G920" s="176"/>
    </row>
    <row r="921" spans="1:7" ht="12.75">
      <c r="A921" s="168" t="e">
        <f t="shared" si="0"/>
        <v>#REF!</v>
      </c>
      <c r="B921" s="175"/>
      <c r="C921" s="175"/>
      <c r="D921" s="175"/>
      <c r="E921" s="170"/>
      <c r="F921" s="169"/>
      <c r="G921" s="176"/>
    </row>
    <row r="922" spans="1:7" ht="12.75">
      <c r="A922" s="168" t="e">
        <f t="shared" si="0"/>
        <v>#REF!</v>
      </c>
      <c r="B922" s="175"/>
      <c r="C922" s="175"/>
      <c r="D922" s="175"/>
      <c r="E922" s="170"/>
      <c r="F922" s="169"/>
      <c r="G922" s="176"/>
    </row>
    <row r="923" spans="1:7" ht="12.75">
      <c r="A923" s="168" t="e">
        <f t="shared" si="0"/>
        <v>#REF!</v>
      </c>
      <c r="B923" s="175"/>
      <c r="C923" s="175"/>
      <c r="D923" s="175"/>
      <c r="E923" s="170"/>
      <c r="F923" s="169"/>
      <c r="G923" s="176"/>
    </row>
    <row r="924" spans="1:7" ht="12.75">
      <c r="A924" s="168" t="e">
        <f t="shared" si="0"/>
        <v>#REF!</v>
      </c>
      <c r="B924" s="175"/>
      <c r="C924" s="175"/>
      <c r="D924" s="175"/>
      <c r="E924" s="170"/>
      <c r="F924" s="169"/>
      <c r="G924" s="176"/>
    </row>
    <row r="925" spans="1:7" ht="12.75">
      <c r="A925" s="168" t="e">
        <f t="shared" si="0"/>
        <v>#REF!</v>
      </c>
      <c r="B925" s="175"/>
      <c r="C925" s="175"/>
      <c r="D925" s="175"/>
      <c r="E925" s="170"/>
      <c r="F925" s="169"/>
      <c r="G925" s="176"/>
    </row>
    <row r="926" spans="1:7" ht="12.75">
      <c r="A926" s="168" t="e">
        <f t="shared" si="0"/>
        <v>#REF!</v>
      </c>
      <c r="B926" s="175"/>
      <c r="C926" s="175"/>
      <c r="D926" s="175"/>
      <c r="E926" s="170"/>
      <c r="F926" s="169"/>
      <c r="G926" s="176"/>
    </row>
    <row r="927" spans="1:7" ht="12.75">
      <c r="A927" s="168" t="e">
        <f t="shared" si="0"/>
        <v>#REF!</v>
      </c>
      <c r="B927" s="175"/>
      <c r="C927" s="175"/>
      <c r="D927" s="175"/>
      <c r="E927" s="170"/>
      <c r="F927" s="169"/>
      <c r="G927" s="176"/>
    </row>
    <row r="928" spans="1:7" ht="12.75">
      <c r="A928" s="168" t="e">
        <f t="shared" si="0"/>
        <v>#REF!</v>
      </c>
      <c r="B928" s="175"/>
      <c r="C928" s="175"/>
      <c r="D928" s="175"/>
      <c r="E928" s="170"/>
      <c r="F928" s="169"/>
      <c r="G928" s="176"/>
    </row>
    <row r="929" spans="1:7" ht="12.75">
      <c r="A929" s="168" t="e">
        <f t="shared" si="0"/>
        <v>#REF!</v>
      </c>
      <c r="B929" s="175"/>
      <c r="C929" s="175"/>
      <c r="D929" s="175"/>
      <c r="E929" s="170"/>
      <c r="F929" s="169"/>
      <c r="G929" s="176"/>
    </row>
    <row r="930" spans="1:7" ht="12.75">
      <c r="A930" s="168" t="e">
        <f t="shared" si="0"/>
        <v>#REF!</v>
      </c>
      <c r="B930" s="175"/>
      <c r="C930" s="175"/>
      <c r="D930" s="175"/>
      <c r="E930" s="170"/>
      <c r="F930" s="169"/>
      <c r="G930" s="176"/>
    </row>
    <row r="931" spans="1:7" ht="12.75">
      <c r="A931" s="168" t="e">
        <f t="shared" si="0"/>
        <v>#REF!</v>
      </c>
      <c r="B931" s="175"/>
      <c r="C931" s="175"/>
      <c r="D931" s="175"/>
      <c r="E931" s="170"/>
      <c r="F931" s="169"/>
      <c r="G931" s="176"/>
    </row>
    <row r="932" spans="1:7" ht="12.75">
      <c r="A932" s="168" t="e">
        <f t="shared" si="0"/>
        <v>#REF!</v>
      </c>
      <c r="B932" s="175"/>
      <c r="C932" s="175"/>
      <c r="D932" s="175"/>
      <c r="E932" s="170"/>
      <c r="F932" s="169"/>
      <c r="G932" s="176"/>
    </row>
    <row r="933" spans="1:7" ht="12.75">
      <c r="A933" s="168" t="e">
        <f t="shared" si="0"/>
        <v>#REF!</v>
      </c>
      <c r="B933" s="175"/>
      <c r="C933" s="175"/>
      <c r="D933" s="175"/>
      <c r="E933" s="170"/>
      <c r="F933" s="169"/>
      <c r="G933" s="176"/>
    </row>
    <row r="934" spans="1:7" ht="12.75">
      <c r="A934" s="168" t="e">
        <f t="shared" si="0"/>
        <v>#REF!</v>
      </c>
      <c r="B934" s="175"/>
      <c r="C934" s="175"/>
      <c r="D934" s="175"/>
      <c r="E934" s="170"/>
      <c r="F934" s="169"/>
      <c r="G934" s="176"/>
    </row>
    <row r="935" spans="1:7" ht="12.75">
      <c r="A935" s="168" t="e">
        <f t="shared" si="0"/>
        <v>#REF!</v>
      </c>
      <c r="B935" s="175"/>
      <c r="C935" s="175"/>
      <c r="D935" s="175"/>
      <c r="E935" s="170"/>
      <c r="F935" s="169"/>
      <c r="G935" s="176"/>
    </row>
    <row r="936" spans="1:7" ht="12.75">
      <c r="A936" s="168" t="e">
        <f t="shared" si="0"/>
        <v>#REF!</v>
      </c>
      <c r="B936" s="175"/>
      <c r="C936" s="175"/>
      <c r="D936" s="175"/>
      <c r="E936" s="170"/>
      <c r="F936" s="169"/>
      <c r="G936" s="176"/>
    </row>
    <row r="937" spans="1:7" ht="12.75">
      <c r="A937" s="168" t="e">
        <f t="shared" si="0"/>
        <v>#REF!</v>
      </c>
      <c r="B937" s="175"/>
      <c r="C937" s="175"/>
      <c r="D937" s="175"/>
      <c r="E937" s="170"/>
      <c r="F937" s="169"/>
      <c r="G937" s="176"/>
    </row>
    <row r="938" spans="1:7" ht="12.75">
      <c r="A938" s="168" t="e">
        <f t="shared" si="0"/>
        <v>#REF!</v>
      </c>
      <c r="B938" s="175"/>
      <c r="C938" s="175"/>
      <c r="D938" s="175"/>
      <c r="E938" s="170"/>
      <c r="F938" s="169"/>
      <c r="G938" s="176"/>
    </row>
    <row r="939" spans="1:7" ht="12.75">
      <c r="A939" s="168" t="e">
        <f t="shared" si="0"/>
        <v>#REF!</v>
      </c>
      <c r="B939" s="175"/>
      <c r="C939" s="175"/>
      <c r="D939" s="175"/>
      <c r="E939" s="170"/>
      <c r="F939" s="169"/>
      <c r="G939" s="176"/>
    </row>
    <row r="940" spans="1:7" ht="12.75">
      <c r="A940" s="168" t="e">
        <f t="shared" si="0"/>
        <v>#REF!</v>
      </c>
      <c r="B940" s="175"/>
      <c r="C940" s="175"/>
      <c r="D940" s="175"/>
      <c r="E940" s="170"/>
      <c r="F940" s="169"/>
      <c r="G940" s="176"/>
    </row>
    <row r="941" spans="1:7" ht="12.75">
      <c r="A941" s="168" t="e">
        <f t="shared" si="0"/>
        <v>#REF!</v>
      </c>
      <c r="B941" s="175"/>
      <c r="C941" s="175"/>
      <c r="D941" s="175"/>
      <c r="E941" s="170"/>
      <c r="F941" s="169"/>
      <c r="G941" s="176"/>
    </row>
    <row r="942" spans="1:7" ht="12.75">
      <c r="A942" s="168" t="e">
        <f t="shared" si="0"/>
        <v>#REF!</v>
      </c>
      <c r="B942" s="175"/>
      <c r="C942" s="175"/>
      <c r="D942" s="175"/>
      <c r="E942" s="170"/>
      <c r="F942" s="169"/>
      <c r="G942" s="176"/>
    </row>
    <row r="943" spans="1:7" ht="12.75">
      <c r="A943" s="168" t="e">
        <f t="shared" si="0"/>
        <v>#REF!</v>
      </c>
      <c r="B943" s="175"/>
      <c r="C943" s="175"/>
      <c r="D943" s="175"/>
      <c r="E943" s="170"/>
      <c r="F943" s="169"/>
      <c r="G943" s="176"/>
    </row>
    <row r="944" spans="1:7" ht="12.75">
      <c r="A944" s="168" t="e">
        <f t="shared" si="0"/>
        <v>#REF!</v>
      </c>
      <c r="B944" s="175"/>
      <c r="C944" s="175"/>
      <c r="D944" s="175"/>
      <c r="E944" s="170"/>
      <c r="F944" s="169"/>
      <c r="G944" s="176"/>
    </row>
    <row r="945" spans="1:7" ht="12.75">
      <c r="A945" s="168" t="e">
        <f t="shared" si="0"/>
        <v>#REF!</v>
      </c>
      <c r="B945" s="175"/>
      <c r="C945" s="175"/>
      <c r="D945" s="175"/>
      <c r="E945" s="170"/>
      <c r="F945" s="169"/>
      <c r="G945" s="176"/>
    </row>
    <row r="946" spans="1:7" ht="12.75">
      <c r="A946" s="168" t="e">
        <f t="shared" si="0"/>
        <v>#REF!</v>
      </c>
      <c r="B946" s="175"/>
      <c r="C946" s="175"/>
      <c r="D946" s="175"/>
      <c r="E946" s="170"/>
      <c r="F946" s="169"/>
      <c r="G946" s="176"/>
    </row>
    <row r="947" spans="1:7" ht="12.75">
      <c r="A947" s="168" t="e">
        <f t="shared" si="0"/>
        <v>#REF!</v>
      </c>
      <c r="B947" s="175"/>
      <c r="C947" s="175"/>
      <c r="D947" s="175"/>
      <c r="E947" s="170"/>
      <c r="F947" s="169"/>
      <c r="G947" s="176"/>
    </row>
    <row r="948" spans="1:7" ht="12.75">
      <c r="A948" s="168" t="e">
        <f t="shared" si="0"/>
        <v>#REF!</v>
      </c>
      <c r="B948" s="175"/>
      <c r="C948" s="175"/>
      <c r="D948" s="175"/>
      <c r="E948" s="170"/>
      <c r="F948" s="169"/>
      <c r="G948" s="176"/>
    </row>
    <row r="949" spans="1:7" ht="12.75">
      <c r="A949" s="168" t="e">
        <f t="shared" si="0"/>
        <v>#REF!</v>
      </c>
      <c r="B949" s="175"/>
      <c r="C949" s="175"/>
      <c r="D949" s="175"/>
      <c r="E949" s="170"/>
      <c r="F949" s="169"/>
      <c r="G949" s="176"/>
    </row>
    <row r="950" spans="1:7" ht="12.75">
      <c r="A950" s="168" t="e">
        <f t="shared" si="0"/>
        <v>#REF!</v>
      </c>
      <c r="B950" s="175"/>
      <c r="C950" s="175"/>
      <c r="D950" s="175"/>
      <c r="E950" s="170"/>
      <c r="F950" s="169"/>
      <c r="G950" s="176"/>
    </row>
    <row r="951" spans="1:7" ht="12.75">
      <c r="A951" s="168" t="e">
        <f t="shared" si="0"/>
        <v>#REF!</v>
      </c>
      <c r="B951" s="175"/>
      <c r="C951" s="175"/>
      <c r="D951" s="175"/>
      <c r="E951" s="170"/>
      <c r="F951" s="169"/>
      <c r="G951" s="176"/>
    </row>
    <row r="952" spans="1:7" ht="12.75">
      <c r="A952" s="168" t="e">
        <f t="shared" si="0"/>
        <v>#REF!</v>
      </c>
      <c r="B952" s="175"/>
      <c r="C952" s="175"/>
      <c r="D952" s="175"/>
      <c r="E952" s="170"/>
      <c r="F952" s="169"/>
      <c r="G952" s="176"/>
    </row>
    <row r="953" spans="1:7" ht="12.75">
      <c r="A953" s="168" t="e">
        <f t="shared" si="0"/>
        <v>#REF!</v>
      </c>
      <c r="B953" s="175"/>
      <c r="C953" s="175"/>
      <c r="D953" s="175"/>
      <c r="E953" s="170"/>
      <c r="F953" s="169"/>
      <c r="G953" s="176"/>
    </row>
    <row r="954" spans="1:7" ht="12.75">
      <c r="A954" s="168" t="e">
        <f t="shared" si="0"/>
        <v>#REF!</v>
      </c>
      <c r="B954" s="175"/>
      <c r="C954" s="175"/>
      <c r="D954" s="175"/>
      <c r="E954" s="170"/>
      <c r="F954" s="169"/>
      <c r="G954" s="176"/>
    </row>
    <row r="955" spans="1:7" ht="12.75">
      <c r="A955" s="168" t="e">
        <f t="shared" si="0"/>
        <v>#REF!</v>
      </c>
      <c r="B955" s="175"/>
      <c r="C955" s="175"/>
      <c r="D955" s="175"/>
      <c r="E955" s="170"/>
      <c r="F955" s="169"/>
      <c r="G955" s="176"/>
    </row>
    <row r="956" spans="1:7" ht="12.75">
      <c r="A956" s="168" t="e">
        <f t="shared" si="0"/>
        <v>#REF!</v>
      </c>
      <c r="B956" s="175"/>
      <c r="C956" s="175"/>
      <c r="D956" s="175"/>
      <c r="E956" s="170"/>
      <c r="F956" s="169"/>
      <c r="G956" s="176"/>
    </row>
    <row r="957" spans="1:7" ht="12.75">
      <c r="A957" s="168" t="e">
        <f t="shared" si="0"/>
        <v>#REF!</v>
      </c>
      <c r="B957" s="175"/>
      <c r="C957" s="175"/>
      <c r="D957" s="175"/>
      <c r="E957" s="170"/>
      <c r="F957" s="169"/>
      <c r="G957" s="176"/>
    </row>
    <row r="958" spans="1:7" ht="12.75">
      <c r="A958" s="168" t="e">
        <f t="shared" si="0"/>
        <v>#REF!</v>
      </c>
      <c r="B958" s="175"/>
      <c r="C958" s="175"/>
      <c r="D958" s="175"/>
      <c r="E958" s="170"/>
      <c r="F958" s="169"/>
      <c r="G958" s="176"/>
    </row>
    <row r="959" spans="1:7" ht="12.75">
      <c r="A959" s="168" t="e">
        <f t="shared" si="0"/>
        <v>#REF!</v>
      </c>
      <c r="B959" s="175"/>
      <c r="C959" s="175"/>
      <c r="D959" s="175"/>
      <c r="E959" s="170"/>
      <c r="F959" s="169"/>
      <c r="G959" s="176"/>
    </row>
    <row r="960" spans="1:7" ht="12.75">
      <c r="A960" s="168" t="e">
        <f t="shared" si="0"/>
        <v>#REF!</v>
      </c>
      <c r="B960" s="175"/>
      <c r="C960" s="175"/>
      <c r="D960" s="175"/>
      <c r="E960" s="170"/>
      <c r="F960" s="169"/>
      <c r="G960" s="176"/>
    </row>
    <row r="961" spans="1:7" ht="12.75">
      <c r="A961" s="168" t="e">
        <f t="shared" si="0"/>
        <v>#REF!</v>
      </c>
      <c r="B961" s="175"/>
      <c r="C961" s="175"/>
      <c r="D961" s="175"/>
      <c r="E961" s="170"/>
      <c r="F961" s="169"/>
      <c r="G961" s="176"/>
    </row>
    <row r="962" spans="1:7" ht="12.75">
      <c r="A962" s="168" t="e">
        <f t="shared" si="0"/>
        <v>#REF!</v>
      </c>
      <c r="B962" s="175"/>
      <c r="C962" s="175"/>
      <c r="D962" s="175"/>
      <c r="E962" s="170"/>
      <c r="F962" s="169"/>
      <c r="G962" s="176"/>
    </row>
    <row r="963" spans="1:7" ht="12.75">
      <c r="A963" s="168" t="e">
        <f t="shared" si="0"/>
        <v>#REF!</v>
      </c>
      <c r="B963" s="175"/>
      <c r="C963" s="175"/>
      <c r="D963" s="175"/>
      <c r="E963" s="170"/>
      <c r="F963" s="169"/>
      <c r="G963" s="176"/>
    </row>
    <row r="964" spans="1:7" ht="12.75">
      <c r="A964" s="168" t="e">
        <f t="shared" si="0"/>
        <v>#REF!</v>
      </c>
      <c r="B964" s="175"/>
      <c r="C964" s="175"/>
      <c r="D964" s="175"/>
      <c r="E964" s="170"/>
      <c r="F964" s="169"/>
      <c r="G964" s="176"/>
    </row>
    <row r="965" spans="1:7" ht="12.75">
      <c r="A965" s="168" t="e">
        <f t="shared" si="0"/>
        <v>#REF!</v>
      </c>
      <c r="B965" s="175"/>
      <c r="C965" s="175"/>
      <c r="D965" s="175"/>
      <c r="E965" s="170"/>
      <c r="F965" s="169"/>
      <c r="G965" s="176"/>
    </row>
    <row r="966" spans="1:7" ht="12.75">
      <c r="A966" s="168" t="e">
        <f t="shared" si="0"/>
        <v>#REF!</v>
      </c>
      <c r="B966" s="175"/>
      <c r="C966" s="175"/>
      <c r="D966" s="175"/>
      <c r="E966" s="170"/>
      <c r="F966" s="169"/>
      <c r="G966" s="176"/>
    </row>
    <row r="967" spans="1:7" ht="12.75">
      <c r="A967" s="168" t="e">
        <f t="shared" si="0"/>
        <v>#REF!</v>
      </c>
      <c r="B967" s="175"/>
      <c r="C967" s="175"/>
      <c r="D967" s="175"/>
      <c r="E967" s="170"/>
      <c r="F967" s="169"/>
      <c r="G967" s="176"/>
    </row>
    <row r="968" spans="1:7" ht="12.75">
      <c r="A968" s="168" t="e">
        <f t="shared" si="0"/>
        <v>#REF!</v>
      </c>
      <c r="B968" s="175"/>
      <c r="C968" s="175"/>
      <c r="D968" s="175"/>
      <c r="E968" s="170"/>
      <c r="F968" s="169"/>
      <c r="G968" s="176"/>
    </row>
    <row r="969" spans="1:7" ht="12.75">
      <c r="A969" s="168" t="e">
        <f t="shared" si="0"/>
        <v>#REF!</v>
      </c>
      <c r="B969" s="175"/>
      <c r="C969" s="175"/>
      <c r="D969" s="175"/>
      <c r="E969" s="170"/>
      <c r="F969" s="169"/>
      <c r="G969" s="176"/>
    </row>
    <row r="970" spans="1:7" ht="12.75">
      <c r="A970" s="168" t="e">
        <f t="shared" si="0"/>
        <v>#REF!</v>
      </c>
      <c r="B970" s="175"/>
      <c r="C970" s="175"/>
      <c r="D970" s="175"/>
      <c r="E970" s="170"/>
      <c r="F970" s="169"/>
      <c r="G970" s="176"/>
    </row>
    <row r="971" spans="1:7" ht="12.75">
      <c r="A971" s="168" t="e">
        <f t="shared" si="0"/>
        <v>#REF!</v>
      </c>
      <c r="B971" s="175"/>
      <c r="C971" s="175"/>
      <c r="D971" s="175"/>
      <c r="E971" s="170"/>
      <c r="F971" s="169"/>
      <c r="G971" s="176"/>
    </row>
    <row r="972" spans="1:7" ht="12.75">
      <c r="A972" s="168" t="e">
        <f t="shared" si="0"/>
        <v>#REF!</v>
      </c>
      <c r="B972" s="175"/>
      <c r="C972" s="175"/>
      <c r="D972" s="175"/>
      <c r="E972" s="170"/>
      <c r="F972" s="169"/>
      <c r="G972" s="176"/>
    </row>
    <row r="973" spans="1:7" ht="12.75">
      <c r="A973" s="168" t="e">
        <f t="shared" si="0"/>
        <v>#REF!</v>
      </c>
      <c r="B973" s="175"/>
      <c r="C973" s="175"/>
      <c r="D973" s="175"/>
      <c r="E973" s="170"/>
      <c r="F973" s="169"/>
      <c r="G973" s="176"/>
    </row>
    <row r="974" spans="1:7" ht="12.75">
      <c r="A974" s="168" t="e">
        <f t="shared" si="0"/>
        <v>#REF!</v>
      </c>
      <c r="B974" s="175"/>
      <c r="C974" s="175"/>
      <c r="D974" s="175"/>
      <c r="E974" s="170"/>
      <c r="F974" s="169"/>
      <c r="G974" s="176"/>
    </row>
    <row r="975" spans="1:7" ht="12.75">
      <c r="A975" s="168" t="e">
        <f t="shared" si="0"/>
        <v>#REF!</v>
      </c>
      <c r="B975" s="175"/>
      <c r="C975" s="175"/>
      <c r="D975" s="175"/>
      <c r="E975" s="170"/>
      <c r="F975" s="169"/>
      <c r="G975" s="176"/>
    </row>
    <row r="976" spans="1:7" ht="12.75">
      <c r="A976" s="168" t="e">
        <f t="shared" si="0"/>
        <v>#REF!</v>
      </c>
      <c r="B976" s="175"/>
      <c r="C976" s="175"/>
      <c r="D976" s="175"/>
      <c r="E976" s="170"/>
      <c r="F976" s="169"/>
      <c r="G976" s="176"/>
    </row>
    <row r="977" spans="1:7" ht="12.75">
      <c r="A977" s="168" t="e">
        <f t="shared" si="0"/>
        <v>#REF!</v>
      </c>
      <c r="B977" s="175"/>
      <c r="C977" s="175"/>
      <c r="D977" s="175"/>
      <c r="E977" s="170"/>
      <c r="F977" s="169"/>
      <c r="G977" s="176"/>
    </row>
    <row r="978" spans="1:7" ht="12.75">
      <c r="A978" s="168" t="e">
        <f t="shared" si="0"/>
        <v>#REF!</v>
      </c>
      <c r="B978" s="175"/>
      <c r="C978" s="175"/>
      <c r="D978" s="175"/>
      <c r="E978" s="170"/>
      <c r="F978" s="169"/>
      <c r="G978" s="176"/>
    </row>
    <row r="979" spans="1:7" ht="12.75">
      <c r="A979" s="168" t="e">
        <f t="shared" si="0"/>
        <v>#REF!</v>
      </c>
      <c r="B979" s="175"/>
      <c r="C979" s="175"/>
      <c r="D979" s="175"/>
      <c r="E979" s="170"/>
      <c r="F979" s="169"/>
      <c r="G979" s="176"/>
    </row>
    <row r="980" spans="1:7" ht="12.75">
      <c r="A980" s="168" t="e">
        <f t="shared" si="0"/>
        <v>#REF!</v>
      </c>
      <c r="B980" s="175"/>
      <c r="C980" s="175"/>
      <c r="D980" s="175"/>
      <c r="E980" s="170"/>
      <c r="F980" s="169"/>
      <c r="G980" s="176"/>
    </row>
    <row r="981" spans="1:7" ht="12.75">
      <c r="A981" s="168" t="e">
        <f t="shared" si="0"/>
        <v>#REF!</v>
      </c>
      <c r="B981" s="175"/>
      <c r="C981" s="175"/>
      <c r="D981" s="175"/>
      <c r="E981" s="170"/>
      <c r="F981" s="169"/>
      <c r="G981" s="176"/>
    </row>
    <row r="982" spans="1:7" ht="12.75">
      <c r="A982" s="168" t="e">
        <f t="shared" si="0"/>
        <v>#REF!</v>
      </c>
      <c r="B982" s="175"/>
      <c r="C982" s="175"/>
      <c r="D982" s="175"/>
      <c r="E982" s="170"/>
      <c r="F982" s="169"/>
      <c r="G982" s="176"/>
    </row>
    <row r="983" spans="1:7" ht="12.75">
      <c r="A983" s="168" t="e">
        <f t="shared" si="0"/>
        <v>#REF!</v>
      </c>
      <c r="B983" s="175"/>
      <c r="C983" s="175"/>
      <c r="D983" s="175"/>
      <c r="E983" s="170"/>
      <c r="F983" s="169"/>
      <c r="G983" s="176"/>
    </row>
    <row r="984" spans="1:7" ht="12.75">
      <c r="A984" s="168" t="e">
        <f t="shared" si="0"/>
        <v>#REF!</v>
      </c>
      <c r="B984" s="175"/>
      <c r="C984" s="175"/>
      <c r="D984" s="175"/>
      <c r="E984" s="170"/>
      <c r="F984" s="169"/>
      <c r="G984" s="176"/>
    </row>
    <row r="985" spans="1:7" ht="12.75">
      <c r="A985" s="168" t="e">
        <f t="shared" si="0"/>
        <v>#REF!</v>
      </c>
      <c r="B985" s="175"/>
      <c r="C985" s="175"/>
      <c r="D985" s="175"/>
      <c r="E985" s="170"/>
      <c r="F985" s="169"/>
      <c r="G985" s="176"/>
    </row>
    <row r="986" spans="1:7" ht="12.75">
      <c r="A986" s="168" t="e">
        <f t="shared" si="0"/>
        <v>#REF!</v>
      </c>
      <c r="B986" s="175"/>
      <c r="C986" s="175"/>
      <c r="D986" s="175"/>
      <c r="E986" s="170"/>
      <c r="F986" s="169"/>
      <c r="G986" s="176"/>
    </row>
  </sheetData>
  <mergeCells count="15">
    <mergeCell ref="B14:B15"/>
    <mergeCell ref="C14:C15"/>
    <mergeCell ref="A1:G1"/>
    <mergeCell ref="A3:A6"/>
    <mergeCell ref="B3:B6"/>
    <mergeCell ref="C3:C6"/>
    <mergeCell ref="A7:A8"/>
    <mergeCell ref="B7:B8"/>
    <mergeCell ref="C7:C8"/>
    <mergeCell ref="G3:G6"/>
    <mergeCell ref="G7:G8"/>
    <mergeCell ref="G10:G11"/>
    <mergeCell ref="A10:A11"/>
    <mergeCell ref="B10:B11"/>
    <mergeCell ref="C10:C11"/>
  </mergeCells>
  <conditionalFormatting sqref="E2:E986 F2:F27 F29:F986">
    <cfRule type="cellIs" dxfId="51" priority="1" operator="equal">
      <formula>"ON"</formula>
    </cfRule>
  </conditionalFormatting>
  <conditionalFormatting sqref="E2:E986 F2:F27 F29:F986">
    <cfRule type="cellIs" dxfId="50" priority="2" operator="equal">
      <formula>"OFF"</formula>
    </cfRule>
  </conditionalFormatting>
  <conditionalFormatting sqref="G82 G87:G88">
    <cfRule type="notContainsBlanks" dxfId="49" priority="3">
      <formula>LEN(TRIM(G82))&gt;0</formula>
    </cfRule>
  </conditionalFormatting>
  <conditionalFormatting sqref="G83">
    <cfRule type="notContainsBlanks" dxfId="48" priority="4">
      <formula>LEN(TRIM(G83))&gt;0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9138"/>
    <outlinePr summaryBelow="0" summaryRight="0"/>
    <pageSetUpPr fitToPage="1"/>
  </sheetPr>
  <dimension ref="A1:J967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6" customWidth="1"/>
    <col min="2" max="2" width="14.42578125" customWidth="1"/>
    <col min="3" max="3" width="25.5703125" customWidth="1"/>
    <col min="4" max="6" width="32.85546875" customWidth="1"/>
    <col min="7" max="7" width="17.42578125" customWidth="1"/>
    <col min="8" max="8" width="12.5703125" hidden="1"/>
    <col min="9" max="9" width="27.140625" customWidth="1"/>
  </cols>
  <sheetData>
    <row r="1" spans="1:10" ht="55.5" customHeight="1">
      <c r="A1" s="516" t="s">
        <v>1445</v>
      </c>
      <c r="B1" s="503"/>
      <c r="C1" s="503"/>
      <c r="D1" s="503"/>
      <c r="E1" s="503"/>
      <c r="F1" s="503"/>
      <c r="G1" s="503"/>
    </row>
    <row r="2" spans="1:10" ht="27.75" customHeight="1">
      <c r="A2" s="1" t="s">
        <v>0</v>
      </c>
      <c r="B2" s="1" t="s">
        <v>4</v>
      </c>
      <c r="C2" s="1" t="s">
        <v>1421</v>
      </c>
      <c r="D2" s="1" t="s">
        <v>1448</v>
      </c>
      <c r="E2" s="1" t="s">
        <v>1449</v>
      </c>
      <c r="F2" s="1" t="s">
        <v>1423</v>
      </c>
      <c r="G2" s="1" t="s">
        <v>20</v>
      </c>
      <c r="I2" s="1" t="s">
        <v>1450</v>
      </c>
    </row>
    <row r="3" spans="1:10" ht="12.75">
      <c r="A3" s="41">
        <v>1</v>
      </c>
      <c r="B3" s="154" t="s">
        <v>1452</v>
      </c>
      <c r="C3" s="154" t="s">
        <v>1453</v>
      </c>
      <c r="D3" s="169" t="s">
        <v>173</v>
      </c>
      <c r="E3" s="195" t="s">
        <v>1455</v>
      </c>
      <c r="F3" s="53" t="s">
        <v>1457</v>
      </c>
      <c r="G3" s="44" t="s">
        <v>1458</v>
      </c>
      <c r="H3" s="373">
        <v>45126.437990520833</v>
      </c>
      <c r="I3" s="53" t="s">
        <v>1456</v>
      </c>
      <c r="J3" s="373"/>
    </row>
    <row r="4" spans="1:10" ht="12.75">
      <c r="A4" s="41">
        <v>2</v>
      </c>
      <c r="B4" s="154" t="s">
        <v>1460</v>
      </c>
      <c r="C4" s="154" t="s">
        <v>1462</v>
      </c>
      <c r="D4" s="98" t="s">
        <v>317</v>
      </c>
      <c r="E4" s="342" t="s">
        <v>318</v>
      </c>
      <c r="F4" s="162" t="s">
        <v>1465</v>
      </c>
      <c r="G4" s="96">
        <v>45206</v>
      </c>
      <c r="H4" s="373">
        <v>45126.439094756948</v>
      </c>
      <c r="I4" s="52"/>
    </row>
    <row r="5" spans="1:10" ht="12.75">
      <c r="A5" s="41">
        <v>3</v>
      </c>
      <c r="B5" s="154" t="s">
        <v>1460</v>
      </c>
      <c r="C5" s="154" t="s">
        <v>1468</v>
      </c>
      <c r="D5" s="162" t="s">
        <v>311</v>
      </c>
      <c r="E5" s="401"/>
      <c r="F5" s="162"/>
      <c r="G5" s="45"/>
      <c r="I5" s="52"/>
    </row>
    <row r="6" spans="1:10" ht="12.75">
      <c r="A6" s="41">
        <v>4</v>
      </c>
      <c r="B6" s="154" t="s">
        <v>1460</v>
      </c>
      <c r="C6" s="154" t="s">
        <v>1475</v>
      </c>
      <c r="D6" s="42" t="s">
        <v>216</v>
      </c>
      <c r="E6" s="165" t="s">
        <v>406</v>
      </c>
      <c r="F6" s="162" t="s">
        <v>1477</v>
      </c>
      <c r="G6" s="44" t="s">
        <v>1458</v>
      </c>
      <c r="H6" s="373">
        <v>45126.57034071759</v>
      </c>
      <c r="I6" s="52"/>
    </row>
    <row r="7" spans="1:10" ht="12.75">
      <c r="A7" s="41">
        <v>5</v>
      </c>
      <c r="B7" s="154"/>
      <c r="C7" s="154"/>
      <c r="D7" s="162"/>
      <c r="E7" s="401"/>
      <c r="F7" s="162"/>
      <c r="G7" s="45"/>
      <c r="I7" s="52"/>
    </row>
    <row r="8" spans="1:10" ht="12.75">
      <c r="A8" s="41">
        <v>6</v>
      </c>
      <c r="B8" s="154"/>
      <c r="C8" s="154"/>
      <c r="D8" s="162"/>
      <c r="E8" s="401"/>
      <c r="F8" s="162"/>
      <c r="G8" s="44"/>
      <c r="I8" s="52"/>
    </row>
    <row r="9" spans="1:10" ht="12.75">
      <c r="A9" s="41">
        <v>7</v>
      </c>
      <c r="B9" s="154"/>
      <c r="C9" s="154"/>
      <c r="D9" s="162"/>
      <c r="E9" s="401"/>
      <c r="F9" s="162"/>
      <c r="G9" s="45"/>
      <c r="I9" s="52"/>
    </row>
    <row r="10" spans="1:10" ht="12.75">
      <c r="A10" s="41">
        <v>8</v>
      </c>
      <c r="B10" s="154"/>
      <c r="C10" s="154"/>
      <c r="D10" s="166"/>
      <c r="E10" s="402"/>
      <c r="F10" s="166"/>
      <c r="G10" s="44"/>
      <c r="I10" s="52"/>
    </row>
    <row r="11" spans="1:10" ht="12.75">
      <c r="A11" s="41">
        <v>9</v>
      </c>
      <c r="B11" s="154"/>
      <c r="C11" s="154"/>
      <c r="D11" s="162"/>
      <c r="E11" s="401"/>
      <c r="F11" s="162"/>
      <c r="G11" s="44"/>
      <c r="I11" s="52"/>
    </row>
    <row r="12" spans="1:10" ht="12.75">
      <c r="A12" s="41">
        <v>10</v>
      </c>
      <c r="B12" s="154"/>
      <c r="C12" s="154"/>
      <c r="D12" s="162"/>
      <c r="E12" s="401"/>
      <c r="F12" s="162"/>
      <c r="G12" s="44"/>
      <c r="I12" s="52"/>
    </row>
    <row r="13" spans="1:10" ht="12.75">
      <c r="A13" s="41">
        <v>11</v>
      </c>
      <c r="B13" s="154"/>
      <c r="C13" s="154"/>
      <c r="D13" s="162"/>
      <c r="E13" s="401"/>
      <c r="F13" s="162"/>
      <c r="G13" s="44"/>
      <c r="I13" s="52"/>
    </row>
    <row r="14" spans="1:10" ht="12.75">
      <c r="A14" s="41">
        <v>12</v>
      </c>
      <c r="B14" s="154"/>
      <c r="C14" s="154"/>
      <c r="D14" s="162"/>
      <c r="E14" s="401"/>
      <c r="F14" s="162"/>
      <c r="G14" s="44"/>
      <c r="I14" s="52"/>
    </row>
    <row r="15" spans="1:10" ht="12.75">
      <c r="A15" s="41">
        <v>13</v>
      </c>
      <c r="B15" s="154"/>
      <c r="C15" s="154"/>
      <c r="D15" s="162"/>
      <c r="E15" s="401"/>
      <c r="F15" s="162"/>
      <c r="G15" s="44"/>
      <c r="I15" s="52"/>
    </row>
    <row r="16" spans="1:10" ht="12.75">
      <c r="A16" s="41">
        <v>14</v>
      </c>
      <c r="B16" s="154"/>
      <c r="C16" s="154"/>
      <c r="D16" s="162"/>
      <c r="E16" s="401"/>
      <c r="F16" s="162"/>
      <c r="G16" s="44"/>
      <c r="I16" s="52"/>
    </row>
    <row r="17" spans="1:9" ht="12.75">
      <c r="A17" s="41">
        <v>15</v>
      </c>
      <c r="B17" s="154"/>
      <c r="C17" s="154"/>
      <c r="D17" s="162"/>
      <c r="E17" s="401"/>
      <c r="F17" s="162"/>
      <c r="G17" s="44"/>
      <c r="I17" s="52"/>
    </row>
    <row r="18" spans="1:9" ht="12.75">
      <c r="A18" s="41">
        <v>16</v>
      </c>
      <c r="B18" s="154"/>
      <c r="C18" s="154"/>
      <c r="D18" s="162"/>
      <c r="E18" s="401"/>
      <c r="F18" s="162"/>
      <c r="G18" s="44"/>
      <c r="I18" s="52"/>
    </row>
    <row r="19" spans="1:9" ht="12.75">
      <c r="A19" s="41">
        <v>17</v>
      </c>
      <c r="B19" s="154"/>
      <c r="C19" s="154"/>
      <c r="D19" s="162"/>
      <c r="E19" s="401"/>
      <c r="F19" s="162"/>
      <c r="G19" s="45"/>
      <c r="I19" s="52"/>
    </row>
    <row r="20" spans="1:9" ht="12.75">
      <c r="A20" s="41">
        <v>18</v>
      </c>
      <c r="B20" s="154"/>
      <c r="C20" s="154"/>
      <c r="D20" s="162"/>
      <c r="E20" s="401"/>
      <c r="F20" s="162"/>
      <c r="G20" s="44"/>
      <c r="I20" s="52"/>
    </row>
    <row r="21" spans="1:9" ht="12.75">
      <c r="A21" s="41">
        <v>19</v>
      </c>
      <c r="B21" s="154"/>
      <c r="C21" s="154"/>
      <c r="D21" s="162"/>
      <c r="E21" s="401"/>
      <c r="F21" s="162"/>
      <c r="G21" s="45"/>
      <c r="I21" s="52"/>
    </row>
    <row r="22" spans="1:9" ht="12.75">
      <c r="A22" s="41">
        <v>20</v>
      </c>
      <c r="B22" s="154"/>
      <c r="C22" s="154"/>
      <c r="D22" s="162"/>
      <c r="E22" s="401"/>
      <c r="F22" s="162"/>
      <c r="G22" s="96"/>
      <c r="I22" s="52"/>
    </row>
    <row r="23" spans="1:9" ht="12.75">
      <c r="A23" s="41">
        <v>21</v>
      </c>
      <c r="B23" s="154"/>
      <c r="C23" s="154"/>
      <c r="D23" s="162"/>
      <c r="E23" s="401"/>
      <c r="F23" s="162"/>
      <c r="G23" s="45"/>
      <c r="I23" s="52"/>
    </row>
    <row r="24" spans="1:9" ht="12.75">
      <c r="A24" s="41">
        <v>22</v>
      </c>
      <c r="B24" s="154"/>
      <c r="C24" s="154"/>
      <c r="D24" s="162"/>
      <c r="E24" s="401"/>
      <c r="F24" s="162"/>
      <c r="G24" s="45"/>
      <c r="I24" s="52"/>
    </row>
    <row r="25" spans="1:9" ht="12.75">
      <c r="A25" s="41">
        <v>23</v>
      </c>
      <c r="B25" s="42"/>
      <c r="C25" s="154"/>
      <c r="D25" s="162"/>
      <c r="E25" s="401"/>
      <c r="F25" s="162"/>
      <c r="G25" s="45"/>
      <c r="I25" s="52"/>
    </row>
    <row r="26" spans="1:9" ht="12.75">
      <c r="A26" s="41">
        <v>24</v>
      </c>
      <c r="B26" s="42"/>
      <c r="C26" s="154"/>
      <c r="D26" s="162"/>
      <c r="E26" s="401"/>
      <c r="F26" s="162"/>
      <c r="G26" s="45"/>
      <c r="I26" s="52"/>
    </row>
    <row r="27" spans="1:9" ht="12.75">
      <c r="A27" s="41">
        <v>25</v>
      </c>
      <c r="B27" s="42"/>
      <c r="C27" s="154"/>
      <c r="D27" s="162"/>
      <c r="E27" s="401"/>
      <c r="F27" s="162"/>
      <c r="G27" s="45"/>
      <c r="I27" s="52"/>
    </row>
    <row r="28" spans="1:9" ht="12.75">
      <c r="A28" s="41">
        <v>26</v>
      </c>
      <c r="B28" s="42"/>
      <c r="C28" s="42"/>
      <c r="D28" s="43"/>
      <c r="E28" s="403"/>
      <c r="F28" s="43"/>
      <c r="G28" s="45"/>
      <c r="I28" s="52"/>
    </row>
    <row r="29" spans="1:9" ht="12.75">
      <c r="A29" s="41">
        <v>27</v>
      </c>
      <c r="B29" s="42"/>
      <c r="C29" s="154"/>
      <c r="D29" s="162"/>
      <c r="E29" s="401"/>
      <c r="F29" s="162"/>
      <c r="G29" s="45"/>
      <c r="I29" s="52"/>
    </row>
    <row r="30" spans="1:9" ht="12.75">
      <c r="A30" s="41">
        <v>28</v>
      </c>
      <c r="B30" s="42"/>
      <c r="C30" s="42"/>
      <c r="D30" s="43"/>
      <c r="E30" s="403"/>
      <c r="F30" s="43"/>
      <c r="G30" s="404"/>
      <c r="I30" s="52"/>
    </row>
    <row r="31" spans="1:9" ht="12.75">
      <c r="A31" s="41">
        <v>29</v>
      </c>
      <c r="B31" s="42"/>
      <c r="C31" s="42"/>
      <c r="D31" s="405"/>
      <c r="E31" s="406"/>
      <c r="F31" s="7"/>
      <c r="G31" s="156"/>
      <c r="I31" s="52"/>
    </row>
    <row r="32" spans="1:9" ht="12.75">
      <c r="A32" s="41">
        <v>30</v>
      </c>
      <c r="B32" s="42"/>
      <c r="C32" s="42"/>
      <c r="D32" s="43"/>
      <c r="E32" s="403"/>
      <c r="F32" s="43"/>
      <c r="G32" s="156"/>
      <c r="I32" s="52"/>
    </row>
    <row r="33" spans="1:9" ht="12.75">
      <c r="A33" s="41">
        <v>31</v>
      </c>
      <c r="B33" s="42"/>
      <c r="C33" s="42"/>
      <c r="D33" s="43"/>
      <c r="E33" s="403"/>
      <c r="F33" s="43"/>
      <c r="G33" s="96"/>
      <c r="I33" s="52"/>
    </row>
    <row r="34" spans="1:9" ht="12.75">
      <c r="A34" s="41">
        <v>32</v>
      </c>
      <c r="B34" s="42"/>
      <c r="C34" s="42"/>
      <c r="D34" s="43"/>
      <c r="E34" s="403"/>
      <c r="F34" s="43"/>
      <c r="G34" s="96"/>
      <c r="I34" s="52"/>
    </row>
    <row r="35" spans="1:9" ht="12.75">
      <c r="A35" s="41">
        <v>33</v>
      </c>
      <c r="B35" s="42"/>
      <c r="C35" s="42"/>
      <c r="D35" s="43"/>
      <c r="E35" s="403"/>
      <c r="F35" s="43"/>
      <c r="G35" s="45"/>
      <c r="I35" s="52"/>
    </row>
    <row r="36" spans="1:9" ht="12.75">
      <c r="A36" s="41">
        <v>34</v>
      </c>
      <c r="B36" s="42"/>
      <c r="C36" s="42"/>
      <c r="D36" s="43"/>
      <c r="E36" s="403"/>
      <c r="F36" s="43"/>
      <c r="G36" s="45"/>
      <c r="I36" s="52"/>
    </row>
    <row r="37" spans="1:9" ht="12.75">
      <c r="A37" s="41">
        <v>35</v>
      </c>
      <c r="B37" s="42"/>
      <c r="C37" s="42"/>
      <c r="D37" s="43"/>
      <c r="E37" s="403"/>
      <c r="F37" s="43"/>
      <c r="G37" s="45"/>
      <c r="I37" s="52"/>
    </row>
    <row r="38" spans="1:9" ht="12.75">
      <c r="A38" s="41">
        <v>36</v>
      </c>
      <c r="B38" s="42"/>
      <c r="C38" s="42"/>
      <c r="D38" s="43"/>
      <c r="E38" s="403"/>
      <c r="F38" s="43"/>
      <c r="G38" s="96"/>
      <c r="I38" s="52"/>
    </row>
    <row r="39" spans="1:9" ht="12.75">
      <c r="A39" s="41">
        <v>37</v>
      </c>
      <c r="B39" s="42"/>
      <c r="C39" s="42"/>
      <c r="D39" s="43"/>
      <c r="E39" s="403"/>
      <c r="F39" s="43"/>
      <c r="G39" s="45"/>
      <c r="I39" s="52"/>
    </row>
    <row r="40" spans="1:9" ht="12.75">
      <c r="A40" s="41">
        <v>38</v>
      </c>
      <c r="B40" s="42"/>
      <c r="C40" s="42"/>
      <c r="D40" s="43"/>
      <c r="E40" s="403"/>
      <c r="F40" s="43"/>
      <c r="G40" s="96"/>
      <c r="I40" s="52"/>
    </row>
    <row r="41" spans="1:9" ht="12.75">
      <c r="A41" s="41">
        <v>39</v>
      </c>
      <c r="B41" s="42"/>
      <c r="C41" s="42"/>
      <c r="D41" s="43"/>
      <c r="E41" s="403"/>
      <c r="F41" s="43"/>
      <c r="G41" s="45"/>
      <c r="I41" s="52"/>
    </row>
    <row r="42" spans="1:9" ht="12.75">
      <c r="A42" s="41">
        <v>40</v>
      </c>
      <c r="B42" s="42"/>
      <c r="C42" s="42"/>
      <c r="D42" s="43"/>
      <c r="E42" s="403"/>
      <c r="F42" s="43"/>
      <c r="G42" s="45"/>
      <c r="I42" s="52"/>
    </row>
    <row r="43" spans="1:9" ht="12.75">
      <c r="A43" s="41">
        <v>41</v>
      </c>
      <c r="B43" s="42"/>
      <c r="C43" s="154"/>
      <c r="D43" s="162"/>
      <c r="E43" s="401"/>
      <c r="F43" s="162"/>
      <c r="G43" s="45"/>
      <c r="I43" s="52"/>
    </row>
    <row r="44" spans="1:9" ht="12.75">
      <c r="A44" s="41">
        <v>42</v>
      </c>
      <c r="B44" s="42"/>
      <c r="C44" s="42"/>
      <c r="D44" s="43"/>
      <c r="E44" s="403"/>
      <c r="F44" s="43"/>
      <c r="G44" s="96"/>
      <c r="I44" s="52"/>
    </row>
    <row r="45" spans="1:9" ht="12.75">
      <c r="A45" s="41">
        <v>43</v>
      </c>
      <c r="B45" s="42"/>
      <c r="C45" s="42"/>
      <c r="D45" s="43"/>
      <c r="E45" s="403"/>
      <c r="F45" s="43"/>
      <c r="G45" s="96"/>
      <c r="I45" s="52"/>
    </row>
    <row r="46" spans="1:9" ht="12.75">
      <c r="A46" s="41">
        <v>44</v>
      </c>
      <c r="B46" s="42"/>
      <c r="C46" s="42"/>
      <c r="D46" s="43"/>
      <c r="E46" s="403"/>
      <c r="F46" s="43"/>
      <c r="G46" s="44"/>
      <c r="I46" s="52"/>
    </row>
    <row r="47" spans="1:9" ht="12.75">
      <c r="A47" s="41">
        <v>45</v>
      </c>
      <c r="B47" s="42"/>
      <c r="C47" s="42"/>
      <c r="D47" s="43"/>
      <c r="E47" s="403"/>
      <c r="F47" s="43"/>
      <c r="G47" s="44"/>
      <c r="I47" s="52"/>
    </row>
    <row r="48" spans="1:9" ht="12.75">
      <c r="A48" s="41">
        <v>46</v>
      </c>
      <c r="B48" s="42"/>
      <c r="C48" s="42"/>
      <c r="D48" s="43"/>
      <c r="E48" s="403"/>
      <c r="F48" s="43"/>
      <c r="G48" s="45"/>
      <c r="I48" s="52"/>
    </row>
    <row r="49" spans="1:9" ht="12.75">
      <c r="A49" s="41">
        <v>47</v>
      </c>
      <c r="B49" s="42"/>
      <c r="C49" s="42"/>
      <c r="D49" s="43"/>
      <c r="E49" s="403"/>
      <c r="F49" s="43"/>
      <c r="G49" s="44"/>
      <c r="I49" s="52"/>
    </row>
    <row r="50" spans="1:9" ht="12.75">
      <c r="A50" s="41">
        <v>48</v>
      </c>
      <c r="B50" s="42"/>
      <c r="C50" s="42"/>
      <c r="D50" s="43"/>
      <c r="E50" s="403"/>
      <c r="F50" s="43"/>
      <c r="G50" s="45"/>
      <c r="I50" s="52"/>
    </row>
    <row r="51" spans="1:9" ht="12.75">
      <c r="A51" s="41">
        <v>49</v>
      </c>
      <c r="B51" s="42"/>
      <c r="C51" s="42"/>
      <c r="D51" s="43"/>
      <c r="E51" s="403"/>
      <c r="F51" s="43"/>
      <c r="G51" s="96"/>
      <c r="I51" s="52"/>
    </row>
    <row r="52" spans="1:9" ht="12.75">
      <c r="A52" s="41">
        <v>50</v>
      </c>
      <c r="B52" s="42"/>
      <c r="C52" s="42"/>
      <c r="D52" s="43"/>
      <c r="E52" s="403"/>
      <c r="F52" s="43"/>
      <c r="G52" s="96"/>
      <c r="I52" s="52"/>
    </row>
    <row r="53" spans="1:9" ht="12.75">
      <c r="A53" s="41">
        <v>51</v>
      </c>
      <c r="B53" s="42"/>
      <c r="C53" s="42"/>
      <c r="D53" s="43"/>
      <c r="E53" s="403"/>
      <c r="F53" s="43"/>
      <c r="G53" s="45"/>
      <c r="I53" s="52"/>
    </row>
    <row r="54" spans="1:9" ht="12.75">
      <c r="A54" s="41">
        <v>52</v>
      </c>
      <c r="B54" s="42"/>
      <c r="C54" s="42"/>
      <c r="D54" s="43"/>
      <c r="E54" s="403"/>
      <c r="F54" s="43"/>
      <c r="G54" s="45"/>
      <c r="I54" s="52"/>
    </row>
    <row r="55" spans="1:9" ht="12.75">
      <c r="A55" s="41">
        <v>53</v>
      </c>
      <c r="B55" s="42"/>
      <c r="C55" s="42"/>
      <c r="D55" s="43"/>
      <c r="E55" s="403"/>
      <c r="F55" s="43"/>
      <c r="G55" s="45"/>
      <c r="I55" s="52"/>
    </row>
    <row r="56" spans="1:9" ht="12.75">
      <c r="A56" s="41">
        <v>54</v>
      </c>
      <c r="B56" s="42"/>
      <c r="C56" s="42"/>
      <c r="D56" s="43"/>
      <c r="E56" s="403"/>
      <c r="F56" s="43"/>
      <c r="G56" s="45"/>
      <c r="I56" s="52"/>
    </row>
    <row r="57" spans="1:9" ht="12.75">
      <c r="A57" s="41">
        <v>55</v>
      </c>
      <c r="B57" s="154"/>
      <c r="C57" s="42"/>
      <c r="D57" s="43"/>
      <c r="E57" s="403"/>
      <c r="F57" s="43"/>
      <c r="G57" s="44"/>
      <c r="I57" s="52"/>
    </row>
    <row r="58" spans="1:9" ht="12.75">
      <c r="A58" s="41">
        <v>56</v>
      </c>
      <c r="B58" s="42"/>
      <c r="C58" s="42"/>
      <c r="D58" s="43"/>
      <c r="E58" s="403"/>
      <c r="F58" s="43"/>
      <c r="G58" s="45"/>
      <c r="I58" s="52"/>
    </row>
    <row r="59" spans="1:9" ht="12.75">
      <c r="A59" s="41">
        <v>57</v>
      </c>
      <c r="B59" s="42"/>
      <c r="C59" s="42"/>
      <c r="D59" s="43"/>
      <c r="E59" s="403"/>
      <c r="F59" s="43"/>
      <c r="G59" s="96"/>
      <c r="I59" s="52"/>
    </row>
    <row r="60" spans="1:9" ht="12.75">
      <c r="A60" s="41">
        <v>58</v>
      </c>
      <c r="B60" s="42"/>
      <c r="C60" s="42"/>
      <c r="D60" s="43"/>
      <c r="E60" s="403"/>
      <c r="F60" s="43"/>
      <c r="G60" s="44"/>
      <c r="I60" s="52"/>
    </row>
    <row r="61" spans="1:9" ht="12.75">
      <c r="A61" s="41">
        <v>59</v>
      </c>
      <c r="B61" s="42"/>
      <c r="C61" s="42"/>
      <c r="D61" s="43"/>
      <c r="E61" s="403"/>
      <c r="F61" s="43"/>
      <c r="G61" s="96"/>
      <c r="I61" s="52"/>
    </row>
    <row r="62" spans="1:9" ht="12.75">
      <c r="A62" s="41">
        <v>60</v>
      </c>
      <c r="B62" s="42"/>
      <c r="C62" s="42"/>
      <c r="D62" s="43"/>
      <c r="E62" s="403"/>
      <c r="F62" s="43"/>
      <c r="G62" s="44"/>
      <c r="I62" s="52"/>
    </row>
    <row r="63" spans="1:9" ht="12.75">
      <c r="A63" s="41">
        <v>61</v>
      </c>
      <c r="B63" s="42"/>
      <c r="C63" s="42"/>
      <c r="D63" s="43"/>
      <c r="E63" s="403"/>
      <c r="F63" s="43"/>
      <c r="G63" s="96"/>
      <c r="I63" s="52"/>
    </row>
    <row r="64" spans="1:9" ht="12.75">
      <c r="A64" s="41">
        <v>62</v>
      </c>
      <c r="B64" s="42"/>
      <c r="C64" s="42"/>
      <c r="D64" s="43"/>
      <c r="E64" s="403"/>
      <c r="F64" s="43"/>
      <c r="G64" s="96"/>
      <c r="I64" s="52"/>
    </row>
    <row r="65" spans="1:9" ht="12.75">
      <c r="A65" s="41">
        <v>63</v>
      </c>
      <c r="B65" s="42"/>
      <c r="C65" s="42"/>
      <c r="D65" s="43"/>
      <c r="E65" s="403"/>
      <c r="F65" s="43"/>
      <c r="G65" s="407"/>
      <c r="I65" s="52"/>
    </row>
    <row r="66" spans="1:9" ht="12.75">
      <c r="A66" s="41">
        <v>64</v>
      </c>
      <c r="B66" s="42"/>
      <c r="C66" s="42"/>
      <c r="D66" s="43"/>
      <c r="E66" s="403"/>
      <c r="F66" s="43"/>
      <c r="G66" s="45"/>
      <c r="I66" s="52"/>
    </row>
    <row r="67" spans="1:9" ht="12.75">
      <c r="A67" s="41">
        <v>65</v>
      </c>
      <c r="B67" s="42"/>
      <c r="C67" s="42"/>
      <c r="D67" s="43"/>
      <c r="E67" s="403"/>
      <c r="F67" s="43"/>
      <c r="G67" s="45"/>
      <c r="I67" s="52"/>
    </row>
    <row r="68" spans="1:9" ht="12.75">
      <c r="A68" s="41">
        <v>66</v>
      </c>
      <c r="B68" s="75"/>
      <c r="C68" s="75"/>
      <c r="D68" s="75"/>
      <c r="E68" s="44"/>
      <c r="F68" s="75"/>
      <c r="G68" s="96"/>
      <c r="I68" s="52"/>
    </row>
    <row r="69" spans="1:9" ht="12.75">
      <c r="A69" s="41">
        <v>67</v>
      </c>
      <c r="B69" s="75"/>
      <c r="C69" s="75"/>
      <c r="D69" s="75"/>
      <c r="E69" s="44"/>
      <c r="F69" s="75"/>
      <c r="G69" s="96"/>
      <c r="I69" s="52"/>
    </row>
    <row r="70" spans="1:9" ht="12.75">
      <c r="A70" s="41">
        <v>68</v>
      </c>
      <c r="B70" s="169"/>
      <c r="C70" s="169"/>
      <c r="D70" s="169"/>
      <c r="E70" s="170"/>
      <c r="F70" s="169"/>
      <c r="G70" s="176"/>
      <c r="I70" s="52"/>
    </row>
    <row r="71" spans="1:9" ht="12.75">
      <c r="A71" s="41">
        <v>69</v>
      </c>
      <c r="B71" s="169"/>
      <c r="C71" s="169"/>
      <c r="D71" s="169"/>
      <c r="E71" s="170"/>
      <c r="F71" s="169"/>
      <c r="G71" s="176"/>
      <c r="I71" s="52"/>
    </row>
    <row r="72" spans="1:9" ht="12.75">
      <c r="A72" s="41">
        <v>70</v>
      </c>
      <c r="B72" s="169"/>
      <c r="C72" s="169"/>
      <c r="D72" s="169"/>
      <c r="E72" s="170"/>
      <c r="F72" s="169"/>
      <c r="G72" s="408"/>
      <c r="I72" s="52"/>
    </row>
    <row r="73" spans="1:9" ht="12.75">
      <c r="A73" s="41">
        <v>71</v>
      </c>
      <c r="B73" s="169"/>
      <c r="C73" s="169"/>
      <c r="D73" s="169"/>
      <c r="E73" s="170"/>
      <c r="F73" s="169"/>
      <c r="G73" s="408"/>
      <c r="I73" s="52"/>
    </row>
    <row r="74" spans="1:9" ht="12.75">
      <c r="A74" s="41">
        <v>72</v>
      </c>
      <c r="B74" s="169"/>
      <c r="C74" s="169"/>
      <c r="D74" s="169"/>
      <c r="E74" s="170"/>
      <c r="F74" s="169"/>
      <c r="G74" s="408"/>
      <c r="I74" s="52"/>
    </row>
    <row r="75" spans="1:9" ht="12.75">
      <c r="A75" s="41">
        <v>73</v>
      </c>
      <c r="B75" s="169"/>
      <c r="C75" s="169"/>
      <c r="D75" s="169"/>
      <c r="E75" s="170"/>
      <c r="F75" s="169"/>
      <c r="G75" s="408"/>
      <c r="I75" s="52"/>
    </row>
    <row r="76" spans="1:9" ht="12.75">
      <c r="A76" s="41">
        <v>74</v>
      </c>
      <c r="B76" s="169"/>
      <c r="C76" s="169"/>
      <c r="D76" s="169"/>
      <c r="E76" s="170"/>
      <c r="F76" s="169"/>
      <c r="G76" s="408"/>
      <c r="I76" s="52"/>
    </row>
    <row r="77" spans="1:9" ht="12.75">
      <c r="A77" s="168"/>
      <c r="B77" s="169"/>
      <c r="C77" s="169"/>
      <c r="D77" s="169"/>
      <c r="E77" s="170"/>
      <c r="F77" s="169"/>
      <c r="G77" s="408"/>
      <c r="I77" s="52"/>
    </row>
    <row r="78" spans="1:9" ht="12.75">
      <c r="A78" s="168"/>
      <c r="B78" s="169"/>
      <c r="C78" s="169"/>
      <c r="D78" s="169"/>
      <c r="E78" s="170"/>
      <c r="F78" s="169"/>
      <c r="G78" s="408"/>
      <c r="I78" s="52"/>
    </row>
    <row r="79" spans="1:9" ht="12.75">
      <c r="A79" s="168"/>
      <c r="B79" s="169"/>
      <c r="C79" s="169"/>
      <c r="D79" s="169"/>
      <c r="E79" s="170"/>
      <c r="F79" s="169"/>
      <c r="G79" s="408"/>
      <c r="I79" s="52"/>
    </row>
    <row r="80" spans="1:9" ht="12.75">
      <c r="A80" s="168"/>
      <c r="B80" s="169"/>
      <c r="C80" s="169"/>
      <c r="D80" s="169"/>
      <c r="E80" s="170"/>
      <c r="F80" s="169"/>
      <c r="G80" s="408"/>
      <c r="I80" s="52"/>
    </row>
    <row r="81" spans="1:9" ht="12.75">
      <c r="A81" s="168"/>
      <c r="B81" s="169"/>
      <c r="C81" s="169"/>
      <c r="D81" s="169"/>
      <c r="E81" s="170"/>
      <c r="F81" s="169"/>
      <c r="G81" s="408"/>
      <c r="I81" s="52"/>
    </row>
    <row r="82" spans="1:9" ht="12.75">
      <c r="A82" s="168"/>
      <c r="B82" s="169"/>
      <c r="C82" s="169"/>
      <c r="D82" s="169"/>
      <c r="E82" s="170"/>
      <c r="F82" s="169"/>
      <c r="G82" s="170"/>
      <c r="I82" s="52"/>
    </row>
    <row r="83" spans="1:9" ht="12.75">
      <c r="A83" s="168"/>
      <c r="B83" s="169"/>
      <c r="C83" s="169"/>
      <c r="D83" s="169"/>
      <c r="E83" s="170"/>
      <c r="F83" s="169"/>
      <c r="G83" s="408"/>
      <c r="I83" s="52"/>
    </row>
    <row r="84" spans="1:9" ht="12.75">
      <c r="A84" s="168"/>
      <c r="B84" s="169"/>
      <c r="C84" s="169"/>
      <c r="D84" s="169"/>
      <c r="E84" s="170"/>
      <c r="F84" s="169"/>
      <c r="G84" s="408"/>
      <c r="I84" s="52"/>
    </row>
    <row r="85" spans="1:9" ht="12.75">
      <c r="A85" s="168"/>
      <c r="B85" s="169"/>
      <c r="C85" s="169"/>
      <c r="D85" s="169"/>
      <c r="E85" s="170"/>
      <c r="F85" s="169"/>
      <c r="G85" s="170"/>
      <c r="I85" s="52"/>
    </row>
    <row r="86" spans="1:9" ht="12.75">
      <c r="A86" s="168"/>
      <c r="B86" s="169"/>
      <c r="C86" s="169"/>
      <c r="D86" s="169"/>
      <c r="E86" s="170"/>
      <c r="F86" s="169"/>
      <c r="G86" s="408"/>
      <c r="I86" s="52"/>
    </row>
    <row r="87" spans="1:9" ht="12.75">
      <c r="A87" s="168"/>
      <c r="B87" s="169"/>
      <c r="C87" s="169"/>
      <c r="D87" s="169"/>
      <c r="E87" s="170"/>
      <c r="F87" s="169"/>
      <c r="G87" s="170"/>
      <c r="I87" s="52"/>
    </row>
    <row r="88" spans="1:9" ht="12.75">
      <c r="A88" s="168"/>
      <c r="B88" s="169"/>
      <c r="C88" s="169"/>
      <c r="D88" s="169"/>
      <c r="E88" s="170"/>
      <c r="F88" s="169"/>
      <c r="G88" s="408"/>
      <c r="I88" s="52"/>
    </row>
    <row r="89" spans="1:9" ht="12.75">
      <c r="A89" s="168"/>
      <c r="B89" s="169"/>
      <c r="C89" s="169"/>
      <c r="D89" s="169"/>
      <c r="E89" s="170"/>
      <c r="F89" s="169"/>
      <c r="G89" s="408"/>
      <c r="I89" s="52"/>
    </row>
    <row r="90" spans="1:9" ht="12.75">
      <c r="A90" s="168"/>
      <c r="B90" s="169"/>
      <c r="C90" s="169"/>
      <c r="D90" s="169"/>
      <c r="E90" s="170"/>
      <c r="F90" s="169"/>
      <c r="G90" s="408"/>
      <c r="I90" s="52"/>
    </row>
    <row r="91" spans="1:9" ht="12.75">
      <c r="A91" s="168"/>
      <c r="B91" s="169"/>
      <c r="C91" s="169"/>
      <c r="D91" s="169"/>
      <c r="E91" s="170"/>
      <c r="F91" s="169"/>
      <c r="G91" s="408"/>
      <c r="I91" s="52"/>
    </row>
    <row r="92" spans="1:9" ht="12.75">
      <c r="A92" s="168"/>
      <c r="B92" s="169"/>
      <c r="C92" s="169"/>
      <c r="D92" s="169"/>
      <c r="E92" s="170"/>
      <c r="F92" s="169"/>
      <c r="G92" s="408"/>
      <c r="I92" s="52"/>
    </row>
    <row r="93" spans="1:9" ht="12.75">
      <c r="A93" s="168"/>
      <c r="B93" s="169"/>
      <c r="C93" s="169"/>
      <c r="D93" s="169"/>
      <c r="E93" s="170"/>
      <c r="F93" s="169"/>
      <c r="G93" s="408"/>
      <c r="I93" s="52"/>
    </row>
    <row r="94" spans="1:9" ht="12.75">
      <c r="A94" s="168"/>
      <c r="B94" s="169"/>
      <c r="C94" s="169"/>
      <c r="D94" s="169"/>
      <c r="E94" s="170"/>
      <c r="F94" s="169"/>
      <c r="G94" s="408"/>
      <c r="I94" s="52"/>
    </row>
    <row r="95" spans="1:9" ht="12.75">
      <c r="A95" s="168"/>
      <c r="B95" s="169"/>
      <c r="C95" s="169"/>
      <c r="D95" s="169"/>
      <c r="E95" s="170"/>
      <c r="F95" s="169"/>
      <c r="G95" s="408"/>
      <c r="I95" s="52"/>
    </row>
    <row r="96" spans="1:9" ht="12.75">
      <c r="A96" s="168"/>
      <c r="B96" s="169"/>
      <c r="C96" s="169"/>
      <c r="D96" s="169"/>
      <c r="E96" s="170"/>
      <c r="F96" s="169"/>
      <c r="G96" s="408"/>
      <c r="I96" s="52"/>
    </row>
    <row r="97" spans="1:9" ht="12.75">
      <c r="A97" s="168"/>
      <c r="B97" s="169"/>
      <c r="C97" s="169"/>
      <c r="D97" s="169"/>
      <c r="E97" s="170"/>
      <c r="F97" s="169"/>
      <c r="G97" s="408"/>
      <c r="I97" s="52"/>
    </row>
    <row r="98" spans="1:9" ht="12.75">
      <c r="A98" s="168"/>
      <c r="B98" s="169"/>
      <c r="C98" s="169"/>
      <c r="D98" s="169"/>
      <c r="E98" s="170"/>
      <c r="F98" s="169"/>
      <c r="G98" s="408"/>
      <c r="I98" s="52"/>
    </row>
    <row r="99" spans="1:9" ht="12.75">
      <c r="A99" s="168"/>
      <c r="B99" s="169"/>
      <c r="C99" s="169"/>
      <c r="D99" s="169"/>
      <c r="E99" s="170"/>
      <c r="F99" s="169"/>
      <c r="G99" s="176"/>
      <c r="I99" s="52"/>
    </row>
    <row r="100" spans="1:9" ht="12.75">
      <c r="A100" s="168" t="e">
        <f t="shared" ref="A100:A967" si="0">IF(#REF!="","",A99+1)</f>
        <v>#REF!</v>
      </c>
      <c r="B100" s="175"/>
      <c r="C100" s="175"/>
      <c r="D100" s="169"/>
      <c r="E100" s="170"/>
      <c r="F100" s="169"/>
      <c r="G100" s="176"/>
      <c r="I100" s="52"/>
    </row>
    <row r="101" spans="1:9" ht="12.75">
      <c r="A101" s="168" t="e">
        <f t="shared" si="0"/>
        <v>#REF!</v>
      </c>
      <c r="B101" s="175"/>
      <c r="C101" s="175"/>
      <c r="D101" s="169"/>
      <c r="E101" s="170"/>
      <c r="F101" s="169"/>
      <c r="G101" s="176"/>
      <c r="I101" s="52"/>
    </row>
    <row r="102" spans="1:9" ht="12.75">
      <c r="A102" s="168" t="e">
        <f t="shared" si="0"/>
        <v>#REF!</v>
      </c>
      <c r="B102" s="175"/>
      <c r="C102" s="175"/>
      <c r="D102" s="169"/>
      <c r="E102" s="170"/>
      <c r="F102" s="169"/>
      <c r="G102" s="176"/>
      <c r="I102" s="52"/>
    </row>
    <row r="103" spans="1:9" ht="12.75">
      <c r="A103" s="168" t="e">
        <f t="shared" si="0"/>
        <v>#REF!</v>
      </c>
      <c r="B103" s="175"/>
      <c r="C103" s="175"/>
      <c r="D103" s="169"/>
      <c r="E103" s="170"/>
      <c r="F103" s="169"/>
      <c r="G103" s="176"/>
      <c r="I103" s="52"/>
    </row>
    <row r="104" spans="1:9" ht="12.75">
      <c r="A104" s="168" t="e">
        <f t="shared" si="0"/>
        <v>#REF!</v>
      </c>
      <c r="B104" s="175"/>
      <c r="C104" s="175"/>
      <c r="D104" s="169"/>
      <c r="E104" s="170"/>
      <c r="F104" s="169"/>
      <c r="G104" s="176"/>
      <c r="I104" s="52"/>
    </row>
    <row r="105" spans="1:9" ht="12.75">
      <c r="A105" s="168" t="e">
        <f t="shared" si="0"/>
        <v>#REF!</v>
      </c>
      <c r="B105" s="175"/>
      <c r="C105" s="175"/>
      <c r="D105" s="169"/>
      <c r="E105" s="170"/>
      <c r="F105" s="169"/>
      <c r="G105" s="176"/>
      <c r="I105" s="52"/>
    </row>
    <row r="106" spans="1:9" ht="12.75">
      <c r="A106" s="168" t="e">
        <f t="shared" si="0"/>
        <v>#REF!</v>
      </c>
      <c r="B106" s="175"/>
      <c r="C106" s="175"/>
      <c r="D106" s="169"/>
      <c r="E106" s="170"/>
      <c r="F106" s="169"/>
      <c r="G106" s="176"/>
      <c r="I106" s="52"/>
    </row>
    <row r="107" spans="1:9" ht="12.75">
      <c r="A107" s="168" t="e">
        <f t="shared" si="0"/>
        <v>#REF!</v>
      </c>
      <c r="B107" s="175"/>
      <c r="C107" s="175"/>
      <c r="D107" s="169"/>
      <c r="E107" s="170"/>
      <c r="F107" s="169"/>
      <c r="G107" s="176"/>
      <c r="I107" s="52"/>
    </row>
    <row r="108" spans="1:9" ht="12.75">
      <c r="A108" s="168" t="e">
        <f t="shared" si="0"/>
        <v>#REF!</v>
      </c>
      <c r="B108" s="175"/>
      <c r="C108" s="175"/>
      <c r="D108" s="169"/>
      <c r="E108" s="170"/>
      <c r="F108" s="169"/>
      <c r="G108" s="176"/>
      <c r="I108" s="52"/>
    </row>
    <row r="109" spans="1:9" ht="12.75">
      <c r="A109" s="168" t="e">
        <f t="shared" si="0"/>
        <v>#REF!</v>
      </c>
      <c r="B109" s="175"/>
      <c r="C109" s="175"/>
      <c r="D109" s="169"/>
      <c r="E109" s="170"/>
      <c r="F109" s="169"/>
      <c r="G109" s="176"/>
      <c r="I109" s="52"/>
    </row>
    <row r="110" spans="1:9" ht="12.75">
      <c r="A110" s="168" t="e">
        <f t="shared" si="0"/>
        <v>#REF!</v>
      </c>
      <c r="B110" s="175"/>
      <c r="C110" s="175"/>
      <c r="D110" s="169"/>
      <c r="E110" s="170"/>
      <c r="F110" s="169"/>
      <c r="G110" s="176"/>
      <c r="I110" s="52"/>
    </row>
    <row r="111" spans="1:9" ht="12.75">
      <c r="A111" s="168" t="e">
        <f t="shared" si="0"/>
        <v>#REF!</v>
      </c>
      <c r="B111" s="175"/>
      <c r="C111" s="175"/>
      <c r="D111" s="169"/>
      <c r="E111" s="170"/>
      <c r="F111" s="169"/>
      <c r="G111" s="176"/>
      <c r="I111" s="52"/>
    </row>
    <row r="112" spans="1:9" ht="12.75">
      <c r="A112" s="168" t="e">
        <f t="shared" si="0"/>
        <v>#REF!</v>
      </c>
      <c r="B112" s="175"/>
      <c r="C112" s="175"/>
      <c r="D112" s="169"/>
      <c r="E112" s="170"/>
      <c r="F112" s="169"/>
      <c r="G112" s="176"/>
      <c r="I112" s="52"/>
    </row>
    <row r="113" spans="1:9" ht="12.75">
      <c r="A113" s="168" t="e">
        <f t="shared" si="0"/>
        <v>#REF!</v>
      </c>
      <c r="B113" s="175"/>
      <c r="C113" s="175"/>
      <c r="D113" s="169"/>
      <c r="E113" s="170"/>
      <c r="F113" s="169"/>
      <c r="G113" s="176"/>
      <c r="I113" s="52"/>
    </row>
    <row r="114" spans="1:9" ht="12.75">
      <c r="A114" s="168" t="e">
        <f t="shared" si="0"/>
        <v>#REF!</v>
      </c>
      <c r="B114" s="175"/>
      <c r="C114" s="175"/>
      <c r="D114" s="169"/>
      <c r="E114" s="170"/>
      <c r="F114" s="169"/>
      <c r="G114" s="176"/>
      <c r="I114" s="52"/>
    </row>
    <row r="115" spans="1:9" ht="12.75">
      <c r="A115" s="168" t="e">
        <f t="shared" si="0"/>
        <v>#REF!</v>
      </c>
      <c r="B115" s="175"/>
      <c r="C115" s="175"/>
      <c r="D115" s="169"/>
      <c r="E115" s="170"/>
      <c r="F115" s="169"/>
      <c r="G115" s="176"/>
      <c r="I115" s="52"/>
    </row>
    <row r="116" spans="1:9" ht="12.75">
      <c r="A116" s="168" t="e">
        <f t="shared" si="0"/>
        <v>#REF!</v>
      </c>
      <c r="B116" s="175"/>
      <c r="C116" s="175"/>
      <c r="D116" s="169"/>
      <c r="E116" s="170"/>
      <c r="F116" s="169"/>
      <c r="G116" s="176"/>
      <c r="I116" s="52"/>
    </row>
    <row r="117" spans="1:9" ht="12.75">
      <c r="A117" s="168" t="e">
        <f t="shared" si="0"/>
        <v>#REF!</v>
      </c>
      <c r="B117" s="175"/>
      <c r="C117" s="175"/>
      <c r="D117" s="169"/>
      <c r="E117" s="170"/>
      <c r="F117" s="169"/>
      <c r="G117" s="176"/>
      <c r="I117" s="52"/>
    </row>
    <row r="118" spans="1:9" ht="12.75">
      <c r="A118" s="168" t="e">
        <f t="shared" si="0"/>
        <v>#REF!</v>
      </c>
      <c r="B118" s="175"/>
      <c r="C118" s="175"/>
      <c r="D118" s="169"/>
      <c r="E118" s="170"/>
      <c r="F118" s="169"/>
      <c r="G118" s="176"/>
      <c r="I118" s="52"/>
    </row>
    <row r="119" spans="1:9" ht="12.75">
      <c r="A119" s="168" t="e">
        <f t="shared" si="0"/>
        <v>#REF!</v>
      </c>
      <c r="B119" s="175"/>
      <c r="C119" s="175"/>
      <c r="D119" s="169"/>
      <c r="E119" s="170"/>
      <c r="F119" s="169"/>
      <c r="G119" s="176"/>
      <c r="I119" s="52"/>
    </row>
    <row r="120" spans="1:9" ht="12.75">
      <c r="A120" s="168" t="e">
        <f t="shared" si="0"/>
        <v>#REF!</v>
      </c>
      <c r="B120" s="175"/>
      <c r="C120" s="175"/>
      <c r="D120" s="169"/>
      <c r="E120" s="170"/>
      <c r="F120" s="169"/>
      <c r="G120" s="176"/>
      <c r="I120" s="52"/>
    </row>
    <row r="121" spans="1:9" ht="12.75">
      <c r="A121" s="168" t="e">
        <f t="shared" si="0"/>
        <v>#REF!</v>
      </c>
      <c r="B121" s="175"/>
      <c r="C121" s="175"/>
      <c r="D121" s="169"/>
      <c r="E121" s="170"/>
      <c r="F121" s="169"/>
      <c r="G121" s="176"/>
      <c r="I121" s="52"/>
    </row>
    <row r="122" spans="1:9" ht="12.75">
      <c r="A122" s="168" t="e">
        <f t="shared" si="0"/>
        <v>#REF!</v>
      </c>
      <c r="B122" s="175"/>
      <c r="C122" s="175"/>
      <c r="D122" s="169"/>
      <c r="E122" s="170"/>
      <c r="F122" s="169"/>
      <c r="G122" s="176"/>
      <c r="I122" s="52"/>
    </row>
    <row r="123" spans="1:9" ht="12.75">
      <c r="A123" s="168" t="e">
        <f t="shared" si="0"/>
        <v>#REF!</v>
      </c>
      <c r="B123" s="175"/>
      <c r="C123" s="175"/>
      <c r="D123" s="169"/>
      <c r="E123" s="170"/>
      <c r="F123" s="169"/>
      <c r="G123" s="176"/>
      <c r="I123" s="52"/>
    </row>
    <row r="124" spans="1:9" ht="12.75">
      <c r="A124" s="168" t="e">
        <f t="shared" si="0"/>
        <v>#REF!</v>
      </c>
      <c r="B124" s="175"/>
      <c r="C124" s="175"/>
      <c r="D124" s="169"/>
      <c r="E124" s="170"/>
      <c r="F124" s="169"/>
      <c r="G124" s="176"/>
      <c r="I124" s="52"/>
    </row>
    <row r="125" spans="1:9" ht="12.75">
      <c r="A125" s="168" t="e">
        <f t="shared" si="0"/>
        <v>#REF!</v>
      </c>
      <c r="B125" s="175"/>
      <c r="C125" s="175"/>
      <c r="D125" s="169"/>
      <c r="E125" s="170"/>
      <c r="F125" s="169"/>
      <c r="G125" s="176"/>
      <c r="I125" s="52"/>
    </row>
    <row r="126" spans="1:9" ht="12.75">
      <c r="A126" s="168" t="e">
        <f t="shared" si="0"/>
        <v>#REF!</v>
      </c>
      <c r="B126" s="175"/>
      <c r="C126" s="175"/>
      <c r="D126" s="169"/>
      <c r="E126" s="170"/>
      <c r="F126" s="169"/>
      <c r="G126" s="176"/>
      <c r="I126" s="52"/>
    </row>
    <row r="127" spans="1:9" ht="12.75">
      <c r="A127" s="168" t="e">
        <f t="shared" si="0"/>
        <v>#REF!</v>
      </c>
      <c r="B127" s="175"/>
      <c r="C127" s="175"/>
      <c r="D127" s="169"/>
      <c r="E127" s="170"/>
      <c r="F127" s="169"/>
      <c r="G127" s="176"/>
      <c r="I127" s="52"/>
    </row>
    <row r="128" spans="1:9" ht="12.75">
      <c r="A128" s="168" t="e">
        <f t="shared" si="0"/>
        <v>#REF!</v>
      </c>
      <c r="B128" s="175"/>
      <c r="C128" s="175"/>
      <c r="D128" s="169"/>
      <c r="E128" s="170"/>
      <c r="F128" s="169"/>
      <c r="G128" s="176"/>
      <c r="I128" s="52"/>
    </row>
    <row r="129" spans="1:9" ht="12.75">
      <c r="A129" s="168" t="e">
        <f t="shared" si="0"/>
        <v>#REF!</v>
      </c>
      <c r="B129" s="175"/>
      <c r="C129" s="175"/>
      <c r="D129" s="169"/>
      <c r="E129" s="170"/>
      <c r="F129" s="169"/>
      <c r="G129" s="176"/>
      <c r="I129" s="52"/>
    </row>
    <row r="130" spans="1:9" ht="12.75">
      <c r="A130" s="168" t="e">
        <f t="shared" si="0"/>
        <v>#REF!</v>
      </c>
      <c r="B130" s="175"/>
      <c r="C130" s="175"/>
      <c r="D130" s="169"/>
      <c r="E130" s="170"/>
      <c r="F130" s="169"/>
      <c r="G130" s="176"/>
      <c r="I130" s="52"/>
    </row>
    <row r="131" spans="1:9" ht="12.75">
      <c r="A131" s="168" t="e">
        <f t="shared" si="0"/>
        <v>#REF!</v>
      </c>
      <c r="B131" s="175"/>
      <c r="C131" s="175"/>
      <c r="D131" s="169"/>
      <c r="E131" s="170"/>
      <c r="F131" s="169"/>
      <c r="G131" s="176"/>
      <c r="I131" s="52"/>
    </row>
    <row r="132" spans="1:9" ht="12.75">
      <c r="A132" s="168" t="e">
        <f t="shared" si="0"/>
        <v>#REF!</v>
      </c>
      <c r="B132" s="175"/>
      <c r="C132" s="175"/>
      <c r="D132" s="169"/>
      <c r="E132" s="170"/>
      <c r="F132" s="169"/>
      <c r="G132" s="176"/>
      <c r="I132" s="52"/>
    </row>
    <row r="133" spans="1:9" ht="12.75">
      <c r="A133" s="168" t="e">
        <f t="shared" si="0"/>
        <v>#REF!</v>
      </c>
      <c r="B133" s="175"/>
      <c r="C133" s="175"/>
      <c r="D133" s="169"/>
      <c r="E133" s="170"/>
      <c r="F133" s="169"/>
      <c r="G133" s="176"/>
      <c r="I133" s="52"/>
    </row>
    <row r="134" spans="1:9" ht="12.75">
      <c r="A134" s="168" t="e">
        <f t="shared" si="0"/>
        <v>#REF!</v>
      </c>
      <c r="B134" s="175"/>
      <c r="C134" s="175"/>
      <c r="D134" s="169"/>
      <c r="E134" s="170"/>
      <c r="F134" s="169"/>
      <c r="G134" s="176"/>
      <c r="I134" s="52"/>
    </row>
    <row r="135" spans="1:9" ht="12.75">
      <c r="A135" s="168" t="e">
        <f t="shared" si="0"/>
        <v>#REF!</v>
      </c>
      <c r="B135" s="175"/>
      <c r="C135" s="175"/>
      <c r="D135" s="169"/>
      <c r="E135" s="170"/>
      <c r="F135" s="169"/>
      <c r="G135" s="176"/>
      <c r="I135" s="52"/>
    </row>
    <row r="136" spans="1:9" ht="12.75">
      <c r="A136" s="168" t="e">
        <f t="shared" si="0"/>
        <v>#REF!</v>
      </c>
      <c r="B136" s="175"/>
      <c r="C136" s="175"/>
      <c r="D136" s="169"/>
      <c r="E136" s="170"/>
      <c r="F136" s="169"/>
      <c r="G136" s="176"/>
      <c r="I136" s="52"/>
    </row>
    <row r="137" spans="1:9" ht="12.75">
      <c r="A137" s="168" t="e">
        <f t="shared" si="0"/>
        <v>#REF!</v>
      </c>
      <c r="B137" s="175"/>
      <c r="C137" s="175"/>
      <c r="D137" s="169"/>
      <c r="E137" s="170"/>
      <c r="F137" s="169"/>
      <c r="G137" s="176"/>
      <c r="I137" s="52"/>
    </row>
    <row r="138" spans="1:9" ht="12.75">
      <c r="A138" s="168" t="e">
        <f t="shared" si="0"/>
        <v>#REF!</v>
      </c>
      <c r="B138" s="175"/>
      <c r="C138" s="175"/>
      <c r="D138" s="169"/>
      <c r="E138" s="170"/>
      <c r="F138" s="169"/>
      <c r="G138" s="176"/>
      <c r="I138" s="52"/>
    </row>
    <row r="139" spans="1:9" ht="12.75">
      <c r="A139" s="168" t="e">
        <f t="shared" si="0"/>
        <v>#REF!</v>
      </c>
      <c r="B139" s="175"/>
      <c r="C139" s="175"/>
      <c r="D139" s="169"/>
      <c r="E139" s="170"/>
      <c r="F139" s="169"/>
      <c r="G139" s="176"/>
      <c r="I139" s="52"/>
    </row>
    <row r="140" spans="1:9" ht="12.75">
      <c r="A140" s="168" t="e">
        <f t="shared" si="0"/>
        <v>#REF!</v>
      </c>
      <c r="B140" s="175"/>
      <c r="C140" s="175"/>
      <c r="D140" s="169"/>
      <c r="E140" s="170"/>
      <c r="F140" s="169"/>
      <c r="G140" s="176"/>
      <c r="I140" s="52"/>
    </row>
    <row r="141" spans="1:9" ht="12.75">
      <c r="A141" s="168" t="e">
        <f t="shared" si="0"/>
        <v>#REF!</v>
      </c>
      <c r="B141" s="175"/>
      <c r="C141" s="175"/>
      <c r="D141" s="169"/>
      <c r="E141" s="170"/>
      <c r="F141" s="169"/>
      <c r="G141" s="176"/>
      <c r="I141" s="52"/>
    </row>
    <row r="142" spans="1:9" ht="12.75">
      <c r="A142" s="168" t="e">
        <f t="shared" si="0"/>
        <v>#REF!</v>
      </c>
      <c r="B142" s="175"/>
      <c r="C142" s="175"/>
      <c r="D142" s="169"/>
      <c r="E142" s="170"/>
      <c r="F142" s="169"/>
      <c r="G142" s="176"/>
      <c r="I142" s="52"/>
    </row>
    <row r="143" spans="1:9" ht="12.75">
      <c r="A143" s="168" t="e">
        <f t="shared" si="0"/>
        <v>#REF!</v>
      </c>
      <c r="B143" s="175"/>
      <c r="C143" s="175"/>
      <c r="D143" s="169"/>
      <c r="E143" s="170"/>
      <c r="F143" s="169"/>
      <c r="G143" s="176"/>
      <c r="I143" s="52"/>
    </row>
    <row r="144" spans="1:9" ht="12.75">
      <c r="A144" s="168" t="e">
        <f t="shared" si="0"/>
        <v>#REF!</v>
      </c>
      <c r="B144" s="175"/>
      <c r="C144" s="175"/>
      <c r="D144" s="169"/>
      <c r="E144" s="170"/>
      <c r="F144" s="169"/>
      <c r="G144" s="176"/>
      <c r="I144" s="52"/>
    </row>
    <row r="145" spans="1:9" ht="12.75">
      <c r="A145" s="168" t="e">
        <f t="shared" si="0"/>
        <v>#REF!</v>
      </c>
      <c r="B145" s="175"/>
      <c r="C145" s="175"/>
      <c r="D145" s="169"/>
      <c r="E145" s="170"/>
      <c r="F145" s="169"/>
      <c r="G145" s="176"/>
      <c r="I145" s="52"/>
    </row>
    <row r="146" spans="1:9" ht="12.75">
      <c r="A146" s="168" t="e">
        <f t="shared" si="0"/>
        <v>#REF!</v>
      </c>
      <c r="B146" s="175"/>
      <c r="C146" s="175"/>
      <c r="D146" s="169"/>
      <c r="E146" s="170"/>
      <c r="F146" s="169"/>
      <c r="G146" s="176"/>
      <c r="I146" s="52"/>
    </row>
    <row r="147" spans="1:9" ht="12.75">
      <c r="A147" s="168" t="e">
        <f t="shared" si="0"/>
        <v>#REF!</v>
      </c>
      <c r="B147" s="175"/>
      <c r="C147" s="175"/>
      <c r="D147" s="169"/>
      <c r="E147" s="170"/>
      <c r="F147" s="169"/>
      <c r="G147" s="176"/>
      <c r="I147" s="52"/>
    </row>
    <row r="148" spans="1:9" ht="12.75">
      <c r="A148" s="168" t="e">
        <f t="shared" si="0"/>
        <v>#REF!</v>
      </c>
      <c r="B148" s="175"/>
      <c r="C148" s="175"/>
      <c r="D148" s="169"/>
      <c r="E148" s="170"/>
      <c r="F148" s="169"/>
      <c r="G148" s="176"/>
      <c r="I148" s="52"/>
    </row>
    <row r="149" spans="1:9" ht="12.75">
      <c r="A149" s="168" t="e">
        <f t="shared" si="0"/>
        <v>#REF!</v>
      </c>
      <c r="B149" s="175"/>
      <c r="C149" s="175"/>
      <c r="D149" s="169"/>
      <c r="E149" s="170"/>
      <c r="F149" s="169"/>
      <c r="G149" s="176"/>
      <c r="I149" s="52"/>
    </row>
    <row r="150" spans="1:9" ht="12.75">
      <c r="A150" s="168" t="e">
        <f t="shared" si="0"/>
        <v>#REF!</v>
      </c>
      <c r="B150" s="175"/>
      <c r="C150" s="175"/>
      <c r="D150" s="169"/>
      <c r="E150" s="170"/>
      <c r="F150" s="169"/>
      <c r="G150" s="176"/>
      <c r="I150" s="52"/>
    </row>
    <row r="151" spans="1:9" ht="12.75">
      <c r="A151" s="168" t="e">
        <f t="shared" si="0"/>
        <v>#REF!</v>
      </c>
      <c r="B151" s="175"/>
      <c r="C151" s="175"/>
      <c r="D151" s="169"/>
      <c r="E151" s="170"/>
      <c r="F151" s="169"/>
      <c r="G151" s="176"/>
      <c r="I151" s="52"/>
    </row>
    <row r="152" spans="1:9" ht="12.75">
      <c r="A152" s="168" t="e">
        <f t="shared" si="0"/>
        <v>#REF!</v>
      </c>
      <c r="B152" s="175"/>
      <c r="C152" s="175"/>
      <c r="D152" s="169"/>
      <c r="E152" s="170"/>
      <c r="F152" s="169"/>
      <c r="G152" s="176"/>
      <c r="I152" s="52"/>
    </row>
    <row r="153" spans="1:9" ht="12.75">
      <c r="A153" s="168" t="e">
        <f t="shared" si="0"/>
        <v>#REF!</v>
      </c>
      <c r="B153" s="175"/>
      <c r="C153" s="175"/>
      <c r="D153" s="169"/>
      <c r="E153" s="170"/>
      <c r="F153" s="169"/>
      <c r="G153" s="176"/>
      <c r="I153" s="52"/>
    </row>
    <row r="154" spans="1:9" ht="12.75">
      <c r="A154" s="168" t="e">
        <f t="shared" si="0"/>
        <v>#REF!</v>
      </c>
      <c r="B154" s="175"/>
      <c r="C154" s="175"/>
      <c r="D154" s="169"/>
      <c r="E154" s="170"/>
      <c r="F154" s="169"/>
      <c r="G154" s="176"/>
      <c r="I154" s="52"/>
    </row>
    <row r="155" spans="1:9" ht="12.75">
      <c r="A155" s="168" t="e">
        <f t="shared" si="0"/>
        <v>#REF!</v>
      </c>
      <c r="B155" s="175"/>
      <c r="C155" s="175"/>
      <c r="D155" s="169"/>
      <c r="E155" s="170"/>
      <c r="F155" s="169"/>
      <c r="G155" s="176"/>
      <c r="I155" s="52"/>
    </row>
    <row r="156" spans="1:9" ht="12.75">
      <c r="A156" s="168" t="e">
        <f t="shared" si="0"/>
        <v>#REF!</v>
      </c>
      <c r="B156" s="175"/>
      <c r="C156" s="175"/>
      <c r="D156" s="169"/>
      <c r="E156" s="170"/>
      <c r="F156" s="169"/>
      <c r="G156" s="176"/>
      <c r="I156" s="52"/>
    </row>
    <row r="157" spans="1:9" ht="12.75">
      <c r="A157" s="168" t="e">
        <f t="shared" si="0"/>
        <v>#REF!</v>
      </c>
      <c r="B157" s="175"/>
      <c r="C157" s="175"/>
      <c r="D157" s="169"/>
      <c r="E157" s="170"/>
      <c r="F157" s="169"/>
      <c r="G157" s="176"/>
      <c r="I157" s="52"/>
    </row>
    <row r="158" spans="1:9" ht="12.75">
      <c r="A158" s="168" t="e">
        <f t="shared" si="0"/>
        <v>#REF!</v>
      </c>
      <c r="B158" s="175"/>
      <c r="C158" s="175"/>
      <c r="D158" s="169"/>
      <c r="E158" s="170"/>
      <c r="F158" s="169"/>
      <c r="G158" s="176"/>
      <c r="I158" s="52"/>
    </row>
    <row r="159" spans="1:9" ht="12.75">
      <c r="A159" s="168" t="e">
        <f t="shared" si="0"/>
        <v>#REF!</v>
      </c>
      <c r="B159" s="175"/>
      <c r="C159" s="175"/>
      <c r="D159" s="169"/>
      <c r="E159" s="170"/>
      <c r="F159" s="169"/>
      <c r="G159" s="176"/>
      <c r="I159" s="52"/>
    </row>
    <row r="160" spans="1:9" ht="12.75">
      <c r="A160" s="168" t="e">
        <f t="shared" si="0"/>
        <v>#REF!</v>
      </c>
      <c r="B160" s="175"/>
      <c r="C160" s="175"/>
      <c r="D160" s="169"/>
      <c r="E160" s="170"/>
      <c r="F160" s="169"/>
      <c r="G160" s="176"/>
      <c r="I160" s="52"/>
    </row>
    <row r="161" spans="1:9" ht="12.75">
      <c r="A161" s="168" t="e">
        <f t="shared" si="0"/>
        <v>#REF!</v>
      </c>
      <c r="B161" s="175"/>
      <c r="C161" s="175"/>
      <c r="D161" s="169"/>
      <c r="E161" s="170"/>
      <c r="F161" s="169"/>
      <c r="G161" s="176"/>
      <c r="I161" s="52"/>
    </row>
    <row r="162" spans="1:9" ht="12.75">
      <c r="A162" s="168" t="e">
        <f t="shared" si="0"/>
        <v>#REF!</v>
      </c>
      <c r="B162" s="175"/>
      <c r="C162" s="175"/>
      <c r="D162" s="169"/>
      <c r="E162" s="170"/>
      <c r="F162" s="169"/>
      <c r="G162" s="176"/>
      <c r="I162" s="52"/>
    </row>
    <row r="163" spans="1:9" ht="12.75">
      <c r="A163" s="168" t="e">
        <f t="shared" si="0"/>
        <v>#REF!</v>
      </c>
      <c r="B163" s="175"/>
      <c r="C163" s="175"/>
      <c r="D163" s="169"/>
      <c r="E163" s="170"/>
      <c r="F163" s="169"/>
      <c r="G163" s="176"/>
      <c r="I163" s="52"/>
    </row>
    <row r="164" spans="1:9" ht="12.75">
      <c r="A164" s="168" t="e">
        <f t="shared" si="0"/>
        <v>#REF!</v>
      </c>
      <c r="B164" s="175"/>
      <c r="C164" s="175"/>
      <c r="D164" s="169"/>
      <c r="E164" s="170"/>
      <c r="F164" s="169"/>
      <c r="G164" s="176"/>
      <c r="I164" s="52"/>
    </row>
    <row r="165" spans="1:9" ht="12.75">
      <c r="A165" s="168" t="e">
        <f t="shared" si="0"/>
        <v>#REF!</v>
      </c>
      <c r="B165" s="175"/>
      <c r="C165" s="175"/>
      <c r="D165" s="169"/>
      <c r="E165" s="170"/>
      <c r="F165" s="169"/>
      <c r="G165" s="176"/>
      <c r="I165" s="52"/>
    </row>
    <row r="166" spans="1:9" ht="12.75">
      <c r="A166" s="168" t="e">
        <f t="shared" si="0"/>
        <v>#REF!</v>
      </c>
      <c r="B166" s="175"/>
      <c r="C166" s="175"/>
      <c r="D166" s="169"/>
      <c r="E166" s="170"/>
      <c r="F166" s="169"/>
      <c r="G166" s="176"/>
      <c r="I166" s="52"/>
    </row>
    <row r="167" spans="1:9" ht="12.75">
      <c r="A167" s="168" t="e">
        <f t="shared" si="0"/>
        <v>#REF!</v>
      </c>
      <c r="B167" s="175"/>
      <c r="C167" s="175"/>
      <c r="D167" s="169"/>
      <c r="E167" s="170"/>
      <c r="F167" s="169"/>
      <c r="G167" s="176"/>
      <c r="I167" s="52"/>
    </row>
    <row r="168" spans="1:9" ht="12.75">
      <c r="A168" s="168" t="e">
        <f t="shared" si="0"/>
        <v>#REF!</v>
      </c>
      <c r="B168" s="175"/>
      <c r="C168" s="175"/>
      <c r="D168" s="169"/>
      <c r="E168" s="170"/>
      <c r="F168" s="169"/>
      <c r="G168" s="176"/>
      <c r="I168" s="52"/>
    </row>
    <row r="169" spans="1:9" ht="12.75">
      <c r="A169" s="168" t="e">
        <f t="shared" si="0"/>
        <v>#REF!</v>
      </c>
      <c r="B169" s="175"/>
      <c r="C169" s="175"/>
      <c r="D169" s="169"/>
      <c r="E169" s="170"/>
      <c r="F169" s="169"/>
      <c r="G169" s="176"/>
      <c r="I169" s="52"/>
    </row>
    <row r="170" spans="1:9" ht="12.75">
      <c r="A170" s="168" t="e">
        <f t="shared" si="0"/>
        <v>#REF!</v>
      </c>
      <c r="B170" s="175"/>
      <c r="C170" s="175"/>
      <c r="D170" s="169"/>
      <c r="E170" s="170"/>
      <c r="F170" s="169"/>
      <c r="G170" s="176"/>
      <c r="I170" s="52"/>
    </row>
    <row r="171" spans="1:9" ht="12.75">
      <c r="A171" s="168" t="e">
        <f t="shared" si="0"/>
        <v>#REF!</v>
      </c>
      <c r="B171" s="175"/>
      <c r="C171" s="175"/>
      <c r="D171" s="169"/>
      <c r="E171" s="170"/>
      <c r="F171" s="169"/>
      <c r="G171" s="176"/>
      <c r="I171" s="52"/>
    </row>
    <row r="172" spans="1:9" ht="12.75">
      <c r="A172" s="168" t="e">
        <f t="shared" si="0"/>
        <v>#REF!</v>
      </c>
      <c r="B172" s="175"/>
      <c r="C172" s="175"/>
      <c r="D172" s="169"/>
      <c r="E172" s="170"/>
      <c r="F172" s="169"/>
      <c r="G172" s="176"/>
      <c r="I172" s="52"/>
    </row>
    <row r="173" spans="1:9" ht="12.75">
      <c r="A173" s="168" t="e">
        <f t="shared" si="0"/>
        <v>#REF!</v>
      </c>
      <c r="B173" s="175"/>
      <c r="C173" s="175"/>
      <c r="D173" s="169"/>
      <c r="E173" s="170"/>
      <c r="F173" s="169"/>
      <c r="G173" s="176"/>
      <c r="I173" s="52"/>
    </row>
    <row r="174" spans="1:9" ht="12.75">
      <c r="A174" s="168" t="e">
        <f t="shared" si="0"/>
        <v>#REF!</v>
      </c>
      <c r="B174" s="175"/>
      <c r="C174" s="175"/>
      <c r="D174" s="169"/>
      <c r="E174" s="170"/>
      <c r="F174" s="169"/>
      <c r="G174" s="176"/>
      <c r="I174" s="52"/>
    </row>
    <row r="175" spans="1:9" ht="12.75">
      <c r="A175" s="168" t="e">
        <f t="shared" si="0"/>
        <v>#REF!</v>
      </c>
      <c r="B175" s="175"/>
      <c r="C175" s="175"/>
      <c r="D175" s="169"/>
      <c r="E175" s="170"/>
      <c r="F175" s="169"/>
      <c r="G175" s="176"/>
      <c r="I175" s="52"/>
    </row>
    <row r="176" spans="1:9" ht="12.75">
      <c r="A176" s="168" t="e">
        <f t="shared" si="0"/>
        <v>#REF!</v>
      </c>
      <c r="B176" s="175"/>
      <c r="C176" s="175"/>
      <c r="D176" s="169"/>
      <c r="E176" s="170"/>
      <c r="F176" s="169"/>
      <c r="G176" s="176"/>
      <c r="I176" s="52"/>
    </row>
    <row r="177" spans="1:9" ht="12.75">
      <c r="A177" s="168" t="e">
        <f t="shared" si="0"/>
        <v>#REF!</v>
      </c>
      <c r="B177" s="175"/>
      <c r="C177" s="175"/>
      <c r="D177" s="169"/>
      <c r="E177" s="170"/>
      <c r="F177" s="169"/>
      <c r="G177" s="176"/>
      <c r="I177" s="52"/>
    </row>
    <row r="178" spans="1:9" ht="12.75">
      <c r="A178" s="168" t="e">
        <f t="shared" si="0"/>
        <v>#REF!</v>
      </c>
      <c r="B178" s="175"/>
      <c r="C178" s="175"/>
      <c r="D178" s="169"/>
      <c r="E178" s="170"/>
      <c r="F178" s="169"/>
      <c r="G178" s="176"/>
      <c r="I178" s="52"/>
    </row>
    <row r="179" spans="1:9" ht="12.75">
      <c r="A179" s="168" t="e">
        <f t="shared" si="0"/>
        <v>#REF!</v>
      </c>
      <c r="B179" s="175"/>
      <c r="C179" s="175"/>
      <c r="D179" s="169"/>
      <c r="E179" s="170"/>
      <c r="F179" s="169"/>
      <c r="G179" s="176"/>
      <c r="I179" s="52"/>
    </row>
    <row r="180" spans="1:9" ht="12.75">
      <c r="A180" s="168" t="e">
        <f t="shared" si="0"/>
        <v>#REF!</v>
      </c>
      <c r="B180" s="175"/>
      <c r="C180" s="175"/>
      <c r="D180" s="169"/>
      <c r="E180" s="170"/>
      <c r="F180" s="169"/>
      <c r="G180" s="176"/>
      <c r="I180" s="52"/>
    </row>
    <row r="181" spans="1:9" ht="12.75">
      <c r="A181" s="168" t="e">
        <f t="shared" si="0"/>
        <v>#REF!</v>
      </c>
      <c r="B181" s="175"/>
      <c r="C181" s="175"/>
      <c r="D181" s="169"/>
      <c r="E181" s="170"/>
      <c r="F181" s="169"/>
      <c r="G181" s="176"/>
      <c r="I181" s="52"/>
    </row>
    <row r="182" spans="1:9" ht="12.75">
      <c r="A182" s="168" t="e">
        <f t="shared" si="0"/>
        <v>#REF!</v>
      </c>
      <c r="B182" s="175"/>
      <c r="C182" s="175"/>
      <c r="D182" s="169"/>
      <c r="E182" s="170"/>
      <c r="F182" s="169"/>
      <c r="G182" s="176"/>
      <c r="I182" s="52"/>
    </row>
    <row r="183" spans="1:9" ht="12.75">
      <c r="A183" s="168" t="e">
        <f t="shared" si="0"/>
        <v>#REF!</v>
      </c>
      <c r="B183" s="175"/>
      <c r="C183" s="175"/>
      <c r="D183" s="169"/>
      <c r="E183" s="170"/>
      <c r="F183" s="169"/>
      <c r="G183" s="176"/>
      <c r="I183" s="52"/>
    </row>
    <row r="184" spans="1:9" ht="12.75">
      <c r="A184" s="168" t="e">
        <f t="shared" si="0"/>
        <v>#REF!</v>
      </c>
      <c r="B184" s="175"/>
      <c r="C184" s="175"/>
      <c r="D184" s="169"/>
      <c r="E184" s="170"/>
      <c r="F184" s="169"/>
      <c r="G184" s="176"/>
      <c r="I184" s="52"/>
    </row>
    <row r="185" spans="1:9" ht="12.75">
      <c r="A185" s="168" t="e">
        <f t="shared" si="0"/>
        <v>#REF!</v>
      </c>
      <c r="B185" s="175"/>
      <c r="C185" s="175"/>
      <c r="D185" s="169"/>
      <c r="E185" s="170"/>
      <c r="F185" s="169"/>
      <c r="G185" s="176"/>
      <c r="I185" s="52"/>
    </row>
    <row r="186" spans="1:9" ht="12.75">
      <c r="A186" s="168" t="e">
        <f t="shared" si="0"/>
        <v>#REF!</v>
      </c>
      <c r="B186" s="175"/>
      <c r="C186" s="175"/>
      <c r="D186" s="169"/>
      <c r="E186" s="170"/>
      <c r="F186" s="169"/>
      <c r="G186" s="176"/>
      <c r="I186" s="52"/>
    </row>
    <row r="187" spans="1:9" ht="12.75">
      <c r="A187" s="168" t="e">
        <f t="shared" si="0"/>
        <v>#REF!</v>
      </c>
      <c r="B187" s="175"/>
      <c r="C187" s="175"/>
      <c r="D187" s="169"/>
      <c r="E187" s="170"/>
      <c r="F187" s="169"/>
      <c r="G187" s="176"/>
      <c r="I187" s="52"/>
    </row>
    <row r="188" spans="1:9" ht="12.75">
      <c r="A188" s="168" t="e">
        <f t="shared" si="0"/>
        <v>#REF!</v>
      </c>
      <c r="B188" s="175"/>
      <c r="C188" s="175"/>
      <c r="D188" s="169"/>
      <c r="E188" s="170"/>
      <c r="F188" s="169"/>
      <c r="G188" s="176"/>
      <c r="I188" s="52"/>
    </row>
    <row r="189" spans="1:9" ht="12.75">
      <c r="A189" s="168" t="e">
        <f t="shared" si="0"/>
        <v>#REF!</v>
      </c>
      <c r="B189" s="175"/>
      <c r="C189" s="175"/>
      <c r="D189" s="169"/>
      <c r="E189" s="170"/>
      <c r="F189" s="169"/>
      <c r="G189" s="176"/>
      <c r="I189" s="52"/>
    </row>
    <row r="190" spans="1:9" ht="12.75">
      <c r="A190" s="168" t="e">
        <f t="shared" si="0"/>
        <v>#REF!</v>
      </c>
      <c r="B190" s="175"/>
      <c r="C190" s="175"/>
      <c r="D190" s="169"/>
      <c r="E190" s="170"/>
      <c r="F190" s="169"/>
      <c r="G190" s="176"/>
      <c r="I190" s="52"/>
    </row>
    <row r="191" spans="1:9" ht="12.75">
      <c r="A191" s="168" t="e">
        <f t="shared" si="0"/>
        <v>#REF!</v>
      </c>
      <c r="B191" s="175"/>
      <c r="C191" s="175"/>
      <c r="D191" s="169"/>
      <c r="E191" s="170"/>
      <c r="F191" s="169"/>
      <c r="G191" s="176"/>
      <c r="I191" s="52"/>
    </row>
    <row r="192" spans="1:9" ht="12.75">
      <c r="A192" s="168" t="e">
        <f t="shared" si="0"/>
        <v>#REF!</v>
      </c>
      <c r="B192" s="175"/>
      <c r="C192" s="175"/>
      <c r="D192" s="169"/>
      <c r="E192" s="170"/>
      <c r="F192" s="169"/>
      <c r="G192" s="176"/>
      <c r="I192" s="52"/>
    </row>
    <row r="193" spans="1:9" ht="12.75">
      <c r="A193" s="168" t="e">
        <f t="shared" si="0"/>
        <v>#REF!</v>
      </c>
      <c r="B193" s="175"/>
      <c r="C193" s="175"/>
      <c r="D193" s="169"/>
      <c r="E193" s="170"/>
      <c r="F193" s="169"/>
      <c r="G193" s="176"/>
      <c r="I193" s="52"/>
    </row>
    <row r="194" spans="1:9" ht="12.75">
      <c r="A194" s="168" t="e">
        <f t="shared" si="0"/>
        <v>#REF!</v>
      </c>
      <c r="B194" s="175"/>
      <c r="C194" s="175"/>
      <c r="D194" s="169"/>
      <c r="E194" s="170"/>
      <c r="F194" s="169"/>
      <c r="G194" s="176"/>
      <c r="I194" s="52"/>
    </row>
    <row r="195" spans="1:9" ht="12.75">
      <c r="A195" s="168" t="e">
        <f t="shared" si="0"/>
        <v>#REF!</v>
      </c>
      <c r="B195" s="175"/>
      <c r="C195" s="175"/>
      <c r="D195" s="169"/>
      <c r="E195" s="170"/>
      <c r="F195" s="169"/>
      <c r="G195" s="176"/>
      <c r="I195" s="52"/>
    </row>
    <row r="196" spans="1:9" ht="12.75">
      <c r="A196" s="168" t="e">
        <f t="shared" si="0"/>
        <v>#REF!</v>
      </c>
      <c r="B196" s="175"/>
      <c r="C196" s="175"/>
      <c r="D196" s="169"/>
      <c r="E196" s="170"/>
      <c r="F196" s="169"/>
      <c r="G196" s="176"/>
    </row>
    <row r="197" spans="1:9" ht="12.75">
      <c r="A197" s="168" t="e">
        <f t="shared" si="0"/>
        <v>#REF!</v>
      </c>
      <c r="B197" s="175"/>
      <c r="C197" s="175"/>
      <c r="D197" s="169"/>
      <c r="E197" s="170"/>
      <c r="F197" s="169"/>
      <c r="G197" s="176"/>
    </row>
    <row r="198" spans="1:9" ht="12.75">
      <c r="A198" s="168" t="e">
        <f t="shared" si="0"/>
        <v>#REF!</v>
      </c>
      <c r="B198" s="175"/>
      <c r="C198" s="175"/>
      <c r="D198" s="169"/>
      <c r="E198" s="170"/>
      <c r="F198" s="169"/>
      <c r="G198" s="176"/>
    </row>
    <row r="199" spans="1:9" ht="12.75">
      <c r="A199" s="168" t="e">
        <f t="shared" si="0"/>
        <v>#REF!</v>
      </c>
      <c r="B199" s="175"/>
      <c r="C199" s="175"/>
      <c r="D199" s="169"/>
      <c r="E199" s="170"/>
      <c r="F199" s="169"/>
      <c r="G199" s="176"/>
    </row>
    <row r="200" spans="1:9" ht="12.75">
      <c r="A200" s="168" t="e">
        <f t="shared" si="0"/>
        <v>#REF!</v>
      </c>
      <c r="B200" s="175"/>
      <c r="C200" s="175"/>
      <c r="D200" s="169"/>
      <c r="E200" s="170"/>
      <c r="F200" s="169"/>
      <c r="G200" s="176"/>
    </row>
    <row r="201" spans="1:9" ht="12.75">
      <c r="A201" s="168" t="e">
        <f t="shared" si="0"/>
        <v>#REF!</v>
      </c>
      <c r="B201" s="175"/>
      <c r="C201" s="175"/>
      <c r="D201" s="169"/>
      <c r="E201" s="170"/>
      <c r="F201" s="169"/>
      <c r="G201" s="176"/>
    </row>
    <row r="202" spans="1:9" ht="12.75">
      <c r="A202" s="168" t="e">
        <f t="shared" si="0"/>
        <v>#REF!</v>
      </c>
      <c r="B202" s="175"/>
      <c r="C202" s="175"/>
      <c r="D202" s="169"/>
      <c r="E202" s="170"/>
      <c r="F202" s="169"/>
      <c r="G202" s="176"/>
    </row>
    <row r="203" spans="1:9" ht="12.75">
      <c r="A203" s="168" t="e">
        <f t="shared" si="0"/>
        <v>#REF!</v>
      </c>
      <c r="B203" s="175"/>
      <c r="C203" s="175"/>
      <c r="D203" s="169"/>
      <c r="E203" s="170"/>
      <c r="F203" s="169"/>
      <c r="G203" s="176"/>
    </row>
    <row r="204" spans="1:9" ht="12.75">
      <c r="A204" s="168" t="e">
        <f t="shared" si="0"/>
        <v>#REF!</v>
      </c>
      <c r="B204" s="175"/>
      <c r="C204" s="175"/>
      <c r="D204" s="169"/>
      <c r="E204" s="170"/>
      <c r="F204" s="169"/>
      <c r="G204" s="176"/>
    </row>
    <row r="205" spans="1:9" ht="12.75">
      <c r="A205" s="168" t="e">
        <f t="shared" si="0"/>
        <v>#REF!</v>
      </c>
      <c r="B205" s="175"/>
      <c r="C205" s="175"/>
      <c r="D205" s="169"/>
      <c r="E205" s="170"/>
      <c r="F205" s="169"/>
      <c r="G205" s="176"/>
    </row>
    <row r="206" spans="1:9" ht="12.75">
      <c r="A206" s="168" t="e">
        <f t="shared" si="0"/>
        <v>#REF!</v>
      </c>
      <c r="B206" s="175"/>
      <c r="C206" s="175"/>
      <c r="D206" s="169"/>
      <c r="E206" s="170"/>
      <c r="F206" s="169"/>
      <c r="G206" s="176"/>
    </row>
    <row r="207" spans="1:9" ht="12.75">
      <c r="A207" s="168" t="e">
        <f t="shared" si="0"/>
        <v>#REF!</v>
      </c>
      <c r="B207" s="175"/>
      <c r="C207" s="175"/>
      <c r="D207" s="169"/>
      <c r="E207" s="170"/>
      <c r="F207" s="169"/>
      <c r="G207" s="176"/>
    </row>
    <row r="208" spans="1:9" ht="12.75">
      <c r="A208" s="168" t="e">
        <f t="shared" si="0"/>
        <v>#REF!</v>
      </c>
      <c r="B208" s="175"/>
      <c r="C208" s="175"/>
      <c r="D208" s="169"/>
      <c r="E208" s="170"/>
      <c r="F208" s="169"/>
      <c r="G208" s="176"/>
    </row>
    <row r="209" spans="1:7" ht="12.75">
      <c r="A209" s="168" t="e">
        <f t="shared" si="0"/>
        <v>#REF!</v>
      </c>
      <c r="B209" s="175"/>
      <c r="C209" s="175"/>
      <c r="D209" s="169"/>
      <c r="E209" s="170"/>
      <c r="F209" s="169"/>
      <c r="G209" s="176"/>
    </row>
    <row r="210" spans="1:7" ht="12.75">
      <c r="A210" s="168" t="e">
        <f t="shared" si="0"/>
        <v>#REF!</v>
      </c>
      <c r="B210" s="175"/>
      <c r="C210" s="175"/>
      <c r="D210" s="169"/>
      <c r="E210" s="170"/>
      <c r="F210" s="169"/>
      <c r="G210" s="176"/>
    </row>
    <row r="211" spans="1:7" ht="12.75">
      <c r="A211" s="168" t="e">
        <f t="shared" si="0"/>
        <v>#REF!</v>
      </c>
      <c r="B211" s="175"/>
      <c r="C211" s="175"/>
      <c r="D211" s="169"/>
      <c r="E211" s="170"/>
      <c r="F211" s="169"/>
      <c r="G211" s="176"/>
    </row>
    <row r="212" spans="1:7" ht="12.75">
      <c r="A212" s="168" t="e">
        <f t="shared" si="0"/>
        <v>#REF!</v>
      </c>
      <c r="B212" s="175"/>
      <c r="C212" s="175"/>
      <c r="D212" s="169"/>
      <c r="E212" s="170"/>
      <c r="F212" s="169"/>
      <c r="G212" s="176"/>
    </row>
    <row r="213" spans="1:7" ht="12.75">
      <c r="A213" s="168" t="e">
        <f t="shared" si="0"/>
        <v>#REF!</v>
      </c>
      <c r="B213" s="175"/>
      <c r="C213" s="175"/>
      <c r="D213" s="169"/>
      <c r="E213" s="170"/>
      <c r="F213" s="169"/>
      <c r="G213" s="176"/>
    </row>
    <row r="214" spans="1:7" ht="12.75">
      <c r="A214" s="168" t="e">
        <f t="shared" si="0"/>
        <v>#REF!</v>
      </c>
      <c r="B214" s="175"/>
      <c r="C214" s="175"/>
      <c r="D214" s="169"/>
      <c r="E214" s="170"/>
      <c r="F214" s="169"/>
      <c r="G214" s="176"/>
    </row>
    <row r="215" spans="1:7" ht="12.75">
      <c r="A215" s="168" t="e">
        <f t="shared" si="0"/>
        <v>#REF!</v>
      </c>
      <c r="B215" s="175"/>
      <c r="C215" s="175"/>
      <c r="D215" s="169"/>
      <c r="E215" s="170"/>
      <c r="F215" s="169"/>
      <c r="G215" s="176"/>
    </row>
    <row r="216" spans="1:7" ht="12.75">
      <c r="A216" s="168" t="e">
        <f t="shared" si="0"/>
        <v>#REF!</v>
      </c>
      <c r="B216" s="175"/>
      <c r="C216" s="175"/>
      <c r="D216" s="169"/>
      <c r="E216" s="170"/>
      <c r="F216" s="169"/>
      <c r="G216" s="176"/>
    </row>
    <row r="217" spans="1:7" ht="12.75">
      <c r="A217" s="168" t="e">
        <f t="shared" si="0"/>
        <v>#REF!</v>
      </c>
      <c r="B217" s="175"/>
      <c r="C217" s="175"/>
      <c r="D217" s="169"/>
      <c r="E217" s="170"/>
      <c r="F217" s="169"/>
      <c r="G217" s="176"/>
    </row>
    <row r="218" spans="1:7" ht="12.75">
      <c r="A218" s="168" t="e">
        <f t="shared" si="0"/>
        <v>#REF!</v>
      </c>
      <c r="B218" s="175"/>
      <c r="C218" s="175"/>
      <c r="D218" s="169"/>
      <c r="E218" s="170"/>
      <c r="F218" s="169"/>
      <c r="G218" s="176"/>
    </row>
    <row r="219" spans="1:7" ht="12.75">
      <c r="A219" s="168" t="e">
        <f t="shared" si="0"/>
        <v>#REF!</v>
      </c>
      <c r="B219" s="175"/>
      <c r="C219" s="175"/>
      <c r="D219" s="169"/>
      <c r="E219" s="170"/>
      <c r="F219" s="169"/>
      <c r="G219" s="176"/>
    </row>
    <row r="220" spans="1:7" ht="12.75">
      <c r="A220" s="168" t="e">
        <f t="shared" si="0"/>
        <v>#REF!</v>
      </c>
      <c r="B220" s="175"/>
      <c r="C220" s="175"/>
      <c r="D220" s="169"/>
      <c r="E220" s="170"/>
      <c r="F220" s="169"/>
      <c r="G220" s="176"/>
    </row>
    <row r="221" spans="1:7" ht="12.75">
      <c r="A221" s="168" t="e">
        <f t="shared" si="0"/>
        <v>#REF!</v>
      </c>
      <c r="B221" s="175"/>
      <c r="C221" s="175"/>
      <c r="D221" s="169"/>
      <c r="E221" s="170"/>
      <c r="F221" s="169"/>
      <c r="G221" s="176"/>
    </row>
    <row r="222" spans="1:7" ht="12.75">
      <c r="A222" s="168" t="e">
        <f t="shared" si="0"/>
        <v>#REF!</v>
      </c>
      <c r="B222" s="175"/>
      <c r="C222" s="175"/>
      <c r="D222" s="169"/>
      <c r="E222" s="170"/>
      <c r="F222" s="169"/>
      <c r="G222" s="176"/>
    </row>
    <row r="223" spans="1:7" ht="12.75">
      <c r="A223" s="168" t="e">
        <f t="shared" si="0"/>
        <v>#REF!</v>
      </c>
      <c r="B223" s="175"/>
      <c r="C223" s="175"/>
      <c r="D223" s="169"/>
      <c r="E223" s="170"/>
      <c r="F223" s="169"/>
      <c r="G223" s="176"/>
    </row>
    <row r="224" spans="1:7" ht="12.75">
      <c r="A224" s="168" t="e">
        <f t="shared" si="0"/>
        <v>#REF!</v>
      </c>
      <c r="B224" s="175"/>
      <c r="C224" s="175"/>
      <c r="D224" s="169"/>
      <c r="E224" s="170"/>
      <c r="F224" s="169"/>
      <c r="G224" s="176"/>
    </row>
    <row r="225" spans="1:7" ht="12.75">
      <c r="A225" s="168" t="e">
        <f t="shared" si="0"/>
        <v>#REF!</v>
      </c>
      <c r="B225" s="175"/>
      <c r="C225" s="175"/>
      <c r="D225" s="169"/>
      <c r="E225" s="170"/>
      <c r="F225" s="169"/>
      <c r="G225" s="176"/>
    </row>
    <row r="226" spans="1:7" ht="12.75">
      <c r="A226" s="168" t="e">
        <f t="shared" si="0"/>
        <v>#REF!</v>
      </c>
      <c r="B226" s="175"/>
      <c r="C226" s="175"/>
      <c r="D226" s="169"/>
      <c r="E226" s="170"/>
      <c r="F226" s="169"/>
      <c r="G226" s="176"/>
    </row>
    <row r="227" spans="1:7" ht="12.75">
      <c r="A227" s="168" t="e">
        <f t="shared" si="0"/>
        <v>#REF!</v>
      </c>
      <c r="B227" s="175"/>
      <c r="C227" s="175"/>
      <c r="D227" s="169"/>
      <c r="E227" s="170"/>
      <c r="F227" s="169"/>
      <c r="G227" s="176"/>
    </row>
    <row r="228" spans="1:7" ht="12.75">
      <c r="A228" s="168" t="e">
        <f t="shared" si="0"/>
        <v>#REF!</v>
      </c>
      <c r="B228" s="175"/>
      <c r="C228" s="175"/>
      <c r="D228" s="169"/>
      <c r="E228" s="170"/>
      <c r="F228" s="169"/>
      <c r="G228" s="176"/>
    </row>
    <row r="229" spans="1:7" ht="12.75">
      <c r="A229" s="168" t="e">
        <f t="shared" si="0"/>
        <v>#REF!</v>
      </c>
      <c r="B229" s="175"/>
      <c r="C229" s="175"/>
      <c r="D229" s="169"/>
      <c r="E229" s="170"/>
      <c r="F229" s="169"/>
      <c r="G229" s="176"/>
    </row>
    <row r="230" spans="1:7" ht="12.75">
      <c r="A230" s="168" t="e">
        <f t="shared" si="0"/>
        <v>#REF!</v>
      </c>
      <c r="B230" s="175"/>
      <c r="C230" s="175"/>
      <c r="D230" s="169"/>
      <c r="E230" s="170"/>
      <c r="F230" s="169"/>
      <c r="G230" s="176"/>
    </row>
    <row r="231" spans="1:7" ht="12.75">
      <c r="A231" s="168" t="e">
        <f t="shared" si="0"/>
        <v>#REF!</v>
      </c>
      <c r="B231" s="175"/>
      <c r="C231" s="175"/>
      <c r="D231" s="169"/>
      <c r="E231" s="170"/>
      <c r="F231" s="169"/>
      <c r="G231" s="176"/>
    </row>
    <row r="232" spans="1:7" ht="12.75">
      <c r="A232" s="168" t="e">
        <f t="shared" si="0"/>
        <v>#REF!</v>
      </c>
      <c r="B232" s="175"/>
      <c r="C232" s="175"/>
      <c r="D232" s="169"/>
      <c r="E232" s="170"/>
      <c r="F232" s="169"/>
      <c r="G232" s="176"/>
    </row>
    <row r="233" spans="1:7" ht="12.75">
      <c r="A233" s="168" t="e">
        <f t="shared" si="0"/>
        <v>#REF!</v>
      </c>
      <c r="B233" s="175"/>
      <c r="C233" s="175"/>
      <c r="D233" s="169"/>
      <c r="E233" s="170"/>
      <c r="F233" s="169"/>
      <c r="G233" s="176"/>
    </row>
    <row r="234" spans="1:7" ht="12.75">
      <c r="A234" s="168" t="e">
        <f t="shared" si="0"/>
        <v>#REF!</v>
      </c>
      <c r="B234" s="175"/>
      <c r="C234" s="175"/>
      <c r="D234" s="169"/>
      <c r="E234" s="170"/>
      <c r="F234" s="169"/>
      <c r="G234" s="176"/>
    </row>
    <row r="235" spans="1:7" ht="12.75">
      <c r="A235" s="168" t="e">
        <f t="shared" si="0"/>
        <v>#REF!</v>
      </c>
      <c r="B235" s="175"/>
      <c r="C235" s="175"/>
      <c r="D235" s="169"/>
      <c r="E235" s="170"/>
      <c r="F235" s="169"/>
      <c r="G235" s="176"/>
    </row>
    <row r="236" spans="1:7" ht="12.75">
      <c r="A236" s="168" t="e">
        <f t="shared" si="0"/>
        <v>#REF!</v>
      </c>
      <c r="B236" s="175"/>
      <c r="C236" s="175"/>
      <c r="D236" s="169"/>
      <c r="E236" s="170"/>
      <c r="F236" s="169"/>
      <c r="G236" s="176"/>
    </row>
    <row r="237" spans="1:7" ht="12.75">
      <c r="A237" s="168" t="e">
        <f t="shared" si="0"/>
        <v>#REF!</v>
      </c>
      <c r="B237" s="175"/>
      <c r="C237" s="175"/>
      <c r="D237" s="169"/>
      <c r="E237" s="170"/>
      <c r="F237" s="169"/>
      <c r="G237" s="176"/>
    </row>
    <row r="238" spans="1:7" ht="12.75">
      <c r="A238" s="168" t="e">
        <f t="shared" si="0"/>
        <v>#REF!</v>
      </c>
      <c r="B238" s="175"/>
      <c r="C238" s="175"/>
      <c r="D238" s="169"/>
      <c r="E238" s="170"/>
      <c r="F238" s="169"/>
      <c r="G238" s="176"/>
    </row>
    <row r="239" spans="1:7" ht="12.75">
      <c r="A239" s="168" t="e">
        <f t="shared" si="0"/>
        <v>#REF!</v>
      </c>
      <c r="B239" s="175"/>
      <c r="C239" s="175"/>
      <c r="D239" s="169"/>
      <c r="E239" s="170"/>
      <c r="F239" s="169"/>
      <c r="G239" s="176"/>
    </row>
    <row r="240" spans="1:7" ht="12.75">
      <c r="A240" s="168" t="e">
        <f t="shared" si="0"/>
        <v>#REF!</v>
      </c>
      <c r="B240" s="175"/>
      <c r="C240" s="175"/>
      <c r="D240" s="169"/>
      <c r="E240" s="170"/>
      <c r="F240" s="169"/>
      <c r="G240" s="176"/>
    </row>
    <row r="241" spans="1:7" ht="12.75">
      <c r="A241" s="168" t="e">
        <f t="shared" si="0"/>
        <v>#REF!</v>
      </c>
      <c r="B241" s="175"/>
      <c r="C241" s="175"/>
      <c r="D241" s="169"/>
      <c r="E241" s="170"/>
      <c r="F241" s="169"/>
      <c r="G241" s="176"/>
    </row>
    <row r="242" spans="1:7" ht="12.75">
      <c r="A242" s="168" t="e">
        <f t="shared" si="0"/>
        <v>#REF!</v>
      </c>
      <c r="B242" s="175"/>
      <c r="C242" s="175"/>
      <c r="D242" s="169"/>
      <c r="E242" s="170"/>
      <c r="F242" s="169"/>
      <c r="G242" s="176"/>
    </row>
    <row r="243" spans="1:7" ht="12.75">
      <c r="A243" s="168" t="e">
        <f t="shared" si="0"/>
        <v>#REF!</v>
      </c>
      <c r="B243" s="175"/>
      <c r="C243" s="175"/>
      <c r="D243" s="169"/>
      <c r="E243" s="170"/>
      <c r="F243" s="169"/>
      <c r="G243" s="176"/>
    </row>
    <row r="244" spans="1:7" ht="12.75">
      <c r="A244" s="168" t="e">
        <f t="shared" si="0"/>
        <v>#REF!</v>
      </c>
      <c r="B244" s="175"/>
      <c r="C244" s="175"/>
      <c r="D244" s="169"/>
      <c r="E244" s="170"/>
      <c r="F244" s="169"/>
      <c r="G244" s="176"/>
    </row>
    <row r="245" spans="1:7" ht="12.75">
      <c r="A245" s="168" t="e">
        <f t="shared" si="0"/>
        <v>#REF!</v>
      </c>
      <c r="B245" s="175"/>
      <c r="C245" s="175"/>
      <c r="D245" s="169"/>
      <c r="E245" s="170"/>
      <c r="F245" s="169"/>
      <c r="G245" s="176"/>
    </row>
    <row r="246" spans="1:7" ht="12.75">
      <c r="A246" s="168" t="e">
        <f t="shared" si="0"/>
        <v>#REF!</v>
      </c>
      <c r="B246" s="175"/>
      <c r="C246" s="175"/>
      <c r="D246" s="169"/>
      <c r="E246" s="170"/>
      <c r="F246" s="169"/>
      <c r="G246" s="176"/>
    </row>
    <row r="247" spans="1:7" ht="12.75">
      <c r="A247" s="168" t="e">
        <f t="shared" si="0"/>
        <v>#REF!</v>
      </c>
      <c r="B247" s="175"/>
      <c r="C247" s="175"/>
      <c r="D247" s="169"/>
      <c r="E247" s="170"/>
      <c r="F247" s="169"/>
      <c r="G247" s="176"/>
    </row>
    <row r="248" spans="1:7" ht="12.75">
      <c r="A248" s="168" t="e">
        <f t="shared" si="0"/>
        <v>#REF!</v>
      </c>
      <c r="B248" s="175"/>
      <c r="C248" s="175"/>
      <c r="D248" s="169"/>
      <c r="E248" s="170"/>
      <c r="F248" s="169"/>
      <c r="G248" s="176"/>
    </row>
    <row r="249" spans="1:7" ht="12.75">
      <c r="A249" s="168" t="e">
        <f t="shared" si="0"/>
        <v>#REF!</v>
      </c>
      <c r="B249" s="175"/>
      <c r="C249" s="175"/>
      <c r="D249" s="169"/>
      <c r="E249" s="170"/>
      <c r="F249" s="169"/>
      <c r="G249" s="176"/>
    </row>
    <row r="250" spans="1:7" ht="12.75">
      <c r="A250" s="168" t="e">
        <f t="shared" si="0"/>
        <v>#REF!</v>
      </c>
      <c r="B250" s="175"/>
      <c r="C250" s="175"/>
      <c r="D250" s="169"/>
      <c r="E250" s="170"/>
      <c r="F250" s="169"/>
      <c r="G250" s="176"/>
    </row>
    <row r="251" spans="1:7" ht="12.75">
      <c r="A251" s="168" t="e">
        <f t="shared" si="0"/>
        <v>#REF!</v>
      </c>
      <c r="B251" s="175"/>
      <c r="C251" s="175"/>
      <c r="D251" s="169"/>
      <c r="E251" s="170"/>
      <c r="F251" s="169"/>
      <c r="G251" s="176"/>
    </row>
    <row r="252" spans="1:7" ht="12.75">
      <c r="A252" s="168" t="e">
        <f t="shared" si="0"/>
        <v>#REF!</v>
      </c>
      <c r="B252" s="175"/>
      <c r="C252" s="175"/>
      <c r="D252" s="169"/>
      <c r="E252" s="170"/>
      <c r="F252" s="169"/>
      <c r="G252" s="176"/>
    </row>
    <row r="253" spans="1:7" ht="12.75">
      <c r="A253" s="168" t="e">
        <f t="shared" si="0"/>
        <v>#REF!</v>
      </c>
      <c r="B253" s="175"/>
      <c r="C253" s="175"/>
      <c r="D253" s="169"/>
      <c r="E253" s="170"/>
      <c r="F253" s="169"/>
      <c r="G253" s="176"/>
    </row>
    <row r="254" spans="1:7" ht="12.75">
      <c r="A254" s="168" t="e">
        <f t="shared" si="0"/>
        <v>#REF!</v>
      </c>
      <c r="B254" s="175"/>
      <c r="C254" s="175"/>
      <c r="D254" s="169"/>
      <c r="E254" s="170"/>
      <c r="F254" s="169"/>
      <c r="G254" s="176"/>
    </row>
    <row r="255" spans="1:7" ht="12.75">
      <c r="A255" s="168" t="e">
        <f t="shared" si="0"/>
        <v>#REF!</v>
      </c>
      <c r="B255" s="175"/>
      <c r="C255" s="175"/>
      <c r="D255" s="169"/>
      <c r="E255" s="170"/>
      <c r="F255" s="169"/>
      <c r="G255" s="176"/>
    </row>
    <row r="256" spans="1:7" ht="12.75">
      <c r="A256" s="168" t="e">
        <f t="shared" si="0"/>
        <v>#REF!</v>
      </c>
      <c r="B256" s="175"/>
      <c r="C256" s="175"/>
      <c r="D256" s="169"/>
      <c r="E256" s="170"/>
      <c r="F256" s="169"/>
      <c r="G256" s="176"/>
    </row>
    <row r="257" spans="1:7" ht="12.75">
      <c r="A257" s="168" t="e">
        <f t="shared" si="0"/>
        <v>#REF!</v>
      </c>
      <c r="B257" s="175"/>
      <c r="C257" s="175"/>
      <c r="D257" s="169"/>
      <c r="E257" s="170"/>
      <c r="F257" s="169"/>
      <c r="G257" s="176"/>
    </row>
    <row r="258" spans="1:7" ht="12.75">
      <c r="A258" s="168" t="e">
        <f t="shared" si="0"/>
        <v>#REF!</v>
      </c>
      <c r="B258" s="175"/>
      <c r="C258" s="175"/>
      <c r="D258" s="169"/>
      <c r="E258" s="170"/>
      <c r="F258" s="169"/>
      <c r="G258" s="176"/>
    </row>
    <row r="259" spans="1:7" ht="12.75">
      <c r="A259" s="168" t="e">
        <f t="shared" si="0"/>
        <v>#REF!</v>
      </c>
      <c r="B259" s="175"/>
      <c r="C259" s="175"/>
      <c r="D259" s="169"/>
      <c r="E259" s="170"/>
      <c r="F259" s="169"/>
      <c r="G259" s="176"/>
    </row>
    <row r="260" spans="1:7" ht="12.75">
      <c r="A260" s="168" t="e">
        <f t="shared" si="0"/>
        <v>#REF!</v>
      </c>
      <c r="B260" s="175"/>
      <c r="C260" s="175"/>
      <c r="D260" s="169"/>
      <c r="E260" s="170"/>
      <c r="F260" s="169"/>
      <c r="G260" s="176"/>
    </row>
    <row r="261" spans="1:7" ht="12.75">
      <c r="A261" s="168" t="e">
        <f t="shared" si="0"/>
        <v>#REF!</v>
      </c>
      <c r="B261" s="175"/>
      <c r="C261" s="175"/>
      <c r="D261" s="169"/>
      <c r="E261" s="170"/>
      <c r="F261" s="169"/>
      <c r="G261" s="176"/>
    </row>
    <row r="262" spans="1:7" ht="12.75">
      <c r="A262" s="168" t="e">
        <f t="shared" si="0"/>
        <v>#REF!</v>
      </c>
      <c r="B262" s="175"/>
      <c r="C262" s="175"/>
      <c r="D262" s="169"/>
      <c r="E262" s="170"/>
      <c r="F262" s="169"/>
      <c r="G262" s="176"/>
    </row>
    <row r="263" spans="1:7" ht="12.75">
      <c r="A263" s="168" t="e">
        <f t="shared" si="0"/>
        <v>#REF!</v>
      </c>
      <c r="B263" s="175"/>
      <c r="C263" s="175"/>
      <c r="D263" s="169"/>
      <c r="E263" s="170"/>
      <c r="F263" s="169"/>
      <c r="G263" s="176"/>
    </row>
    <row r="264" spans="1:7" ht="12.75">
      <c r="A264" s="168" t="e">
        <f t="shared" si="0"/>
        <v>#REF!</v>
      </c>
      <c r="B264" s="175"/>
      <c r="C264" s="175"/>
      <c r="D264" s="169"/>
      <c r="E264" s="170"/>
      <c r="F264" s="169"/>
      <c r="G264" s="176"/>
    </row>
    <row r="265" spans="1:7" ht="12.75">
      <c r="A265" s="168" t="e">
        <f t="shared" si="0"/>
        <v>#REF!</v>
      </c>
      <c r="B265" s="175"/>
      <c r="C265" s="175"/>
      <c r="D265" s="169"/>
      <c r="E265" s="170"/>
      <c r="F265" s="169"/>
      <c r="G265" s="176"/>
    </row>
    <row r="266" spans="1:7" ht="12.75">
      <c r="A266" s="168" t="e">
        <f t="shared" si="0"/>
        <v>#REF!</v>
      </c>
      <c r="B266" s="175"/>
      <c r="C266" s="175"/>
      <c r="D266" s="169"/>
      <c r="E266" s="170"/>
      <c r="F266" s="169"/>
      <c r="G266" s="176"/>
    </row>
    <row r="267" spans="1:7" ht="12.75">
      <c r="A267" s="168" t="e">
        <f t="shared" si="0"/>
        <v>#REF!</v>
      </c>
      <c r="B267" s="175"/>
      <c r="C267" s="175"/>
      <c r="D267" s="169"/>
      <c r="E267" s="170"/>
      <c r="F267" s="169"/>
      <c r="G267" s="176"/>
    </row>
    <row r="268" spans="1:7" ht="12.75">
      <c r="A268" s="168" t="e">
        <f t="shared" si="0"/>
        <v>#REF!</v>
      </c>
      <c r="B268" s="175"/>
      <c r="C268" s="175"/>
      <c r="D268" s="169"/>
      <c r="E268" s="170"/>
      <c r="F268" s="169"/>
      <c r="G268" s="176"/>
    </row>
    <row r="269" spans="1:7" ht="12.75">
      <c r="A269" s="168" t="e">
        <f t="shared" si="0"/>
        <v>#REF!</v>
      </c>
      <c r="B269" s="175"/>
      <c r="C269" s="175"/>
      <c r="D269" s="169"/>
      <c r="E269" s="170"/>
      <c r="F269" s="169"/>
      <c r="G269" s="176"/>
    </row>
    <row r="270" spans="1:7" ht="12.75">
      <c r="A270" s="168" t="e">
        <f t="shared" si="0"/>
        <v>#REF!</v>
      </c>
      <c r="B270" s="175"/>
      <c r="C270" s="175"/>
      <c r="D270" s="169"/>
      <c r="E270" s="170"/>
      <c r="F270" s="169"/>
      <c r="G270" s="176"/>
    </row>
    <row r="271" spans="1:7" ht="12.75">
      <c r="A271" s="168" t="e">
        <f t="shared" si="0"/>
        <v>#REF!</v>
      </c>
      <c r="B271" s="175"/>
      <c r="C271" s="175"/>
      <c r="D271" s="169"/>
      <c r="E271" s="170"/>
      <c r="F271" s="169"/>
      <c r="G271" s="176"/>
    </row>
    <row r="272" spans="1:7" ht="12.75">
      <c r="A272" s="168" t="e">
        <f t="shared" si="0"/>
        <v>#REF!</v>
      </c>
      <c r="B272" s="175"/>
      <c r="C272" s="175"/>
      <c r="D272" s="169"/>
      <c r="E272" s="170"/>
      <c r="F272" s="169"/>
      <c r="G272" s="176"/>
    </row>
    <row r="273" spans="1:7" ht="12.75">
      <c r="A273" s="168" t="e">
        <f t="shared" si="0"/>
        <v>#REF!</v>
      </c>
      <c r="B273" s="175"/>
      <c r="C273" s="175"/>
      <c r="D273" s="169"/>
      <c r="E273" s="170"/>
      <c r="F273" s="169"/>
      <c r="G273" s="176"/>
    </row>
    <row r="274" spans="1:7" ht="12.75">
      <c r="A274" s="168" t="e">
        <f t="shared" si="0"/>
        <v>#REF!</v>
      </c>
      <c r="B274" s="175"/>
      <c r="C274" s="175"/>
      <c r="D274" s="169"/>
      <c r="E274" s="170"/>
      <c r="F274" s="169"/>
      <c r="G274" s="176"/>
    </row>
    <row r="275" spans="1:7" ht="12.75">
      <c r="A275" s="168" t="e">
        <f t="shared" si="0"/>
        <v>#REF!</v>
      </c>
      <c r="B275" s="175"/>
      <c r="C275" s="175"/>
      <c r="D275" s="169"/>
      <c r="E275" s="170"/>
      <c r="F275" s="169"/>
      <c r="G275" s="176"/>
    </row>
    <row r="276" spans="1:7" ht="12.75">
      <c r="A276" s="168" t="e">
        <f t="shared" si="0"/>
        <v>#REF!</v>
      </c>
      <c r="B276" s="175"/>
      <c r="C276" s="175"/>
      <c r="D276" s="169"/>
      <c r="E276" s="170"/>
      <c r="F276" s="169"/>
      <c r="G276" s="176"/>
    </row>
    <row r="277" spans="1:7" ht="12.75">
      <c r="A277" s="168" t="e">
        <f t="shared" si="0"/>
        <v>#REF!</v>
      </c>
      <c r="B277" s="175"/>
      <c r="C277" s="175"/>
      <c r="D277" s="169"/>
      <c r="E277" s="170"/>
      <c r="F277" s="169"/>
      <c r="G277" s="176"/>
    </row>
    <row r="278" spans="1:7" ht="12.75">
      <c r="A278" s="168" t="e">
        <f t="shared" si="0"/>
        <v>#REF!</v>
      </c>
      <c r="B278" s="175"/>
      <c r="C278" s="175"/>
      <c r="D278" s="169"/>
      <c r="E278" s="170"/>
      <c r="F278" s="169"/>
      <c r="G278" s="176"/>
    </row>
    <row r="279" spans="1:7" ht="12.75">
      <c r="A279" s="168" t="e">
        <f t="shared" si="0"/>
        <v>#REF!</v>
      </c>
      <c r="B279" s="175"/>
      <c r="C279" s="175"/>
      <c r="D279" s="169"/>
      <c r="E279" s="170"/>
      <c r="F279" s="169"/>
      <c r="G279" s="176"/>
    </row>
    <row r="280" spans="1:7" ht="12.75">
      <c r="A280" s="168" t="e">
        <f t="shared" si="0"/>
        <v>#REF!</v>
      </c>
      <c r="B280" s="175"/>
      <c r="C280" s="175"/>
      <c r="D280" s="169"/>
      <c r="E280" s="170"/>
      <c r="F280" s="169"/>
      <c r="G280" s="176"/>
    </row>
    <row r="281" spans="1:7" ht="12.75">
      <c r="A281" s="168" t="e">
        <f t="shared" si="0"/>
        <v>#REF!</v>
      </c>
      <c r="B281" s="175"/>
      <c r="C281" s="175"/>
      <c r="D281" s="169"/>
      <c r="E281" s="170"/>
      <c r="F281" s="169"/>
      <c r="G281" s="176"/>
    </row>
    <row r="282" spans="1:7" ht="12.75">
      <c r="A282" s="168" t="e">
        <f t="shared" si="0"/>
        <v>#REF!</v>
      </c>
      <c r="B282" s="175"/>
      <c r="C282" s="175"/>
      <c r="D282" s="169"/>
      <c r="E282" s="170"/>
      <c r="F282" s="169"/>
      <c r="G282" s="176"/>
    </row>
    <row r="283" spans="1:7" ht="12.75">
      <c r="A283" s="168" t="e">
        <f t="shared" si="0"/>
        <v>#REF!</v>
      </c>
      <c r="B283" s="175"/>
      <c r="C283" s="175"/>
      <c r="D283" s="169"/>
      <c r="E283" s="170"/>
      <c r="F283" s="169"/>
      <c r="G283" s="176"/>
    </row>
    <row r="284" spans="1:7" ht="12.75">
      <c r="A284" s="168" t="e">
        <f t="shared" si="0"/>
        <v>#REF!</v>
      </c>
      <c r="B284" s="175"/>
      <c r="C284" s="175"/>
      <c r="D284" s="169"/>
      <c r="E284" s="170"/>
      <c r="F284" s="169"/>
      <c r="G284" s="176"/>
    </row>
    <row r="285" spans="1:7" ht="12.75">
      <c r="A285" s="168" t="e">
        <f t="shared" si="0"/>
        <v>#REF!</v>
      </c>
      <c r="B285" s="175"/>
      <c r="C285" s="175"/>
      <c r="D285" s="169"/>
      <c r="E285" s="170"/>
      <c r="F285" s="169"/>
      <c r="G285" s="176"/>
    </row>
    <row r="286" spans="1:7" ht="12.75">
      <c r="A286" s="168" t="e">
        <f t="shared" si="0"/>
        <v>#REF!</v>
      </c>
      <c r="B286" s="175"/>
      <c r="C286" s="175"/>
      <c r="D286" s="169"/>
      <c r="E286" s="170"/>
      <c r="F286" s="169"/>
      <c r="G286" s="176"/>
    </row>
    <row r="287" spans="1:7" ht="12.75">
      <c r="A287" s="168" t="e">
        <f t="shared" si="0"/>
        <v>#REF!</v>
      </c>
      <c r="B287" s="175"/>
      <c r="C287" s="175"/>
      <c r="D287" s="169"/>
      <c r="E287" s="170"/>
      <c r="F287" s="169"/>
      <c r="G287" s="176"/>
    </row>
    <row r="288" spans="1:7" ht="12.75">
      <c r="A288" s="168" t="e">
        <f t="shared" si="0"/>
        <v>#REF!</v>
      </c>
      <c r="B288" s="175"/>
      <c r="C288" s="175"/>
      <c r="D288" s="169"/>
      <c r="E288" s="170"/>
      <c r="F288" s="169"/>
      <c r="G288" s="176"/>
    </row>
    <row r="289" spans="1:7" ht="12.75">
      <c r="A289" s="168" t="e">
        <f t="shared" si="0"/>
        <v>#REF!</v>
      </c>
      <c r="B289" s="175"/>
      <c r="C289" s="175"/>
      <c r="D289" s="169"/>
      <c r="E289" s="170"/>
      <c r="F289" s="169"/>
      <c r="G289" s="176"/>
    </row>
    <row r="290" spans="1:7" ht="12.75">
      <c r="A290" s="168" t="e">
        <f t="shared" si="0"/>
        <v>#REF!</v>
      </c>
      <c r="B290" s="175"/>
      <c r="C290" s="175"/>
      <c r="D290" s="169"/>
      <c r="E290" s="170"/>
      <c r="F290" s="169"/>
      <c r="G290" s="176"/>
    </row>
    <row r="291" spans="1:7" ht="12.75">
      <c r="A291" s="168" t="e">
        <f t="shared" si="0"/>
        <v>#REF!</v>
      </c>
      <c r="B291" s="175"/>
      <c r="C291" s="175"/>
      <c r="D291" s="169"/>
      <c r="E291" s="170"/>
      <c r="F291" s="169"/>
      <c r="G291" s="176"/>
    </row>
    <row r="292" spans="1:7" ht="12.75">
      <c r="A292" s="168" t="e">
        <f t="shared" si="0"/>
        <v>#REF!</v>
      </c>
      <c r="B292" s="175"/>
      <c r="C292" s="175"/>
      <c r="D292" s="169"/>
      <c r="E292" s="170"/>
      <c r="F292" s="169"/>
      <c r="G292" s="176"/>
    </row>
    <row r="293" spans="1:7" ht="12.75">
      <c r="A293" s="168" t="e">
        <f t="shared" si="0"/>
        <v>#REF!</v>
      </c>
      <c r="B293" s="175"/>
      <c r="C293" s="175"/>
      <c r="D293" s="169"/>
      <c r="E293" s="170"/>
      <c r="F293" s="169"/>
      <c r="G293" s="176"/>
    </row>
    <row r="294" spans="1:7" ht="12.75">
      <c r="A294" s="168" t="e">
        <f t="shared" si="0"/>
        <v>#REF!</v>
      </c>
      <c r="B294" s="175"/>
      <c r="C294" s="175"/>
      <c r="D294" s="169"/>
      <c r="E294" s="170"/>
      <c r="F294" s="169"/>
      <c r="G294" s="176"/>
    </row>
    <row r="295" spans="1:7" ht="12.75">
      <c r="A295" s="168" t="e">
        <f t="shared" si="0"/>
        <v>#REF!</v>
      </c>
      <c r="B295" s="175"/>
      <c r="C295" s="175"/>
      <c r="D295" s="169"/>
      <c r="E295" s="170"/>
      <c r="F295" s="169"/>
      <c r="G295" s="176"/>
    </row>
    <row r="296" spans="1:7" ht="12.75">
      <c r="A296" s="168" t="e">
        <f t="shared" si="0"/>
        <v>#REF!</v>
      </c>
      <c r="B296" s="175"/>
      <c r="C296" s="175"/>
      <c r="D296" s="169"/>
      <c r="E296" s="170"/>
      <c r="F296" s="169"/>
      <c r="G296" s="176"/>
    </row>
    <row r="297" spans="1:7" ht="12.75">
      <c r="A297" s="168" t="e">
        <f t="shared" si="0"/>
        <v>#REF!</v>
      </c>
      <c r="B297" s="175"/>
      <c r="C297" s="175"/>
      <c r="D297" s="169"/>
      <c r="E297" s="170"/>
      <c r="F297" s="169"/>
      <c r="G297" s="176"/>
    </row>
    <row r="298" spans="1:7" ht="12.75">
      <c r="A298" s="168" t="e">
        <f t="shared" si="0"/>
        <v>#REF!</v>
      </c>
      <c r="B298" s="175"/>
      <c r="C298" s="175"/>
      <c r="D298" s="169"/>
      <c r="E298" s="170"/>
      <c r="F298" s="169"/>
      <c r="G298" s="176"/>
    </row>
    <row r="299" spans="1:7" ht="12.75">
      <c r="A299" s="168" t="e">
        <f t="shared" si="0"/>
        <v>#REF!</v>
      </c>
      <c r="B299" s="175"/>
      <c r="C299" s="175"/>
      <c r="D299" s="169"/>
      <c r="E299" s="170"/>
      <c r="F299" s="169"/>
      <c r="G299" s="176"/>
    </row>
    <row r="300" spans="1:7" ht="12.75">
      <c r="A300" s="168" t="e">
        <f t="shared" si="0"/>
        <v>#REF!</v>
      </c>
      <c r="B300" s="175"/>
      <c r="C300" s="175"/>
      <c r="D300" s="169"/>
      <c r="E300" s="170"/>
      <c r="F300" s="169"/>
      <c r="G300" s="176"/>
    </row>
    <row r="301" spans="1:7" ht="12.75">
      <c r="A301" s="168" t="e">
        <f t="shared" si="0"/>
        <v>#REF!</v>
      </c>
      <c r="B301" s="175"/>
      <c r="C301" s="175"/>
      <c r="D301" s="169"/>
      <c r="E301" s="170"/>
      <c r="F301" s="169"/>
      <c r="G301" s="176"/>
    </row>
    <row r="302" spans="1:7" ht="12.75">
      <c r="A302" s="168" t="e">
        <f t="shared" si="0"/>
        <v>#REF!</v>
      </c>
      <c r="B302" s="175"/>
      <c r="C302" s="175"/>
      <c r="D302" s="169"/>
      <c r="E302" s="170"/>
      <c r="F302" s="169"/>
      <c r="G302" s="176"/>
    </row>
    <row r="303" spans="1:7" ht="12.75">
      <c r="A303" s="168" t="e">
        <f t="shared" si="0"/>
        <v>#REF!</v>
      </c>
      <c r="B303" s="175"/>
      <c r="C303" s="175"/>
      <c r="D303" s="169"/>
      <c r="E303" s="170"/>
      <c r="F303" s="169"/>
      <c r="G303" s="176"/>
    </row>
    <row r="304" spans="1:7" ht="12.75">
      <c r="A304" s="168" t="e">
        <f t="shared" si="0"/>
        <v>#REF!</v>
      </c>
      <c r="B304" s="175"/>
      <c r="C304" s="175"/>
      <c r="D304" s="169"/>
      <c r="E304" s="170"/>
      <c r="F304" s="169"/>
      <c r="G304" s="176"/>
    </row>
    <row r="305" spans="1:7" ht="12.75">
      <c r="A305" s="168" t="e">
        <f t="shared" si="0"/>
        <v>#REF!</v>
      </c>
      <c r="B305" s="175"/>
      <c r="C305" s="175"/>
      <c r="D305" s="169"/>
      <c r="E305" s="170"/>
      <c r="F305" s="169"/>
      <c r="G305" s="176"/>
    </row>
    <row r="306" spans="1:7" ht="12.75">
      <c r="A306" s="168" t="e">
        <f t="shared" si="0"/>
        <v>#REF!</v>
      </c>
      <c r="B306" s="175"/>
      <c r="C306" s="175"/>
      <c r="D306" s="169"/>
      <c r="E306" s="170"/>
      <c r="F306" s="169"/>
      <c r="G306" s="176"/>
    </row>
    <row r="307" spans="1:7" ht="12.75">
      <c r="A307" s="168" t="e">
        <f t="shared" si="0"/>
        <v>#REF!</v>
      </c>
      <c r="B307" s="175"/>
      <c r="C307" s="175"/>
      <c r="D307" s="169"/>
      <c r="E307" s="170"/>
      <c r="F307" s="169"/>
      <c r="G307" s="176"/>
    </row>
    <row r="308" spans="1:7" ht="12.75">
      <c r="A308" s="168" t="e">
        <f t="shared" si="0"/>
        <v>#REF!</v>
      </c>
      <c r="B308" s="175"/>
      <c r="C308" s="175"/>
      <c r="D308" s="169"/>
      <c r="E308" s="170"/>
      <c r="F308" s="169"/>
      <c r="G308" s="176"/>
    </row>
    <row r="309" spans="1:7" ht="12.75">
      <c r="A309" s="168" t="e">
        <f t="shared" si="0"/>
        <v>#REF!</v>
      </c>
      <c r="B309" s="175"/>
      <c r="C309" s="175"/>
      <c r="D309" s="169"/>
      <c r="E309" s="170"/>
      <c r="F309" s="169"/>
      <c r="G309" s="176"/>
    </row>
    <row r="310" spans="1:7" ht="12.75">
      <c r="A310" s="168" t="e">
        <f t="shared" si="0"/>
        <v>#REF!</v>
      </c>
      <c r="B310" s="175"/>
      <c r="C310" s="175"/>
      <c r="D310" s="169"/>
      <c r="E310" s="170"/>
      <c r="F310" s="169"/>
      <c r="G310" s="176"/>
    </row>
    <row r="311" spans="1:7" ht="12.75">
      <c r="A311" s="168" t="e">
        <f t="shared" si="0"/>
        <v>#REF!</v>
      </c>
      <c r="B311" s="175"/>
      <c r="C311" s="175"/>
      <c r="D311" s="169"/>
      <c r="E311" s="170"/>
      <c r="F311" s="169"/>
      <c r="G311" s="176"/>
    </row>
    <row r="312" spans="1:7" ht="12.75">
      <c r="A312" s="168" t="e">
        <f t="shared" si="0"/>
        <v>#REF!</v>
      </c>
      <c r="B312" s="175"/>
      <c r="C312" s="175"/>
      <c r="D312" s="169"/>
      <c r="E312" s="170"/>
      <c r="F312" s="169"/>
      <c r="G312" s="176"/>
    </row>
    <row r="313" spans="1:7" ht="12.75">
      <c r="A313" s="168" t="e">
        <f t="shared" si="0"/>
        <v>#REF!</v>
      </c>
      <c r="B313" s="175"/>
      <c r="C313" s="175"/>
      <c r="D313" s="169"/>
      <c r="E313" s="170"/>
      <c r="F313" s="169"/>
      <c r="G313" s="176"/>
    </row>
    <row r="314" spans="1:7" ht="12.75">
      <c r="A314" s="168" t="e">
        <f t="shared" si="0"/>
        <v>#REF!</v>
      </c>
      <c r="B314" s="175"/>
      <c r="C314" s="175"/>
      <c r="D314" s="169"/>
      <c r="E314" s="170"/>
      <c r="F314" s="169"/>
      <c r="G314" s="176"/>
    </row>
    <row r="315" spans="1:7" ht="12.75">
      <c r="A315" s="168" t="e">
        <f t="shared" si="0"/>
        <v>#REF!</v>
      </c>
      <c r="B315" s="175"/>
      <c r="C315" s="175"/>
      <c r="D315" s="169"/>
      <c r="E315" s="170"/>
      <c r="F315" s="169"/>
      <c r="G315" s="176"/>
    </row>
    <row r="316" spans="1:7" ht="12.75">
      <c r="A316" s="168" t="e">
        <f t="shared" si="0"/>
        <v>#REF!</v>
      </c>
      <c r="B316" s="175"/>
      <c r="C316" s="175"/>
      <c r="D316" s="169"/>
      <c r="E316" s="170"/>
      <c r="F316" s="169"/>
      <c r="G316" s="176"/>
    </row>
    <row r="317" spans="1:7" ht="12.75">
      <c r="A317" s="168" t="e">
        <f t="shared" si="0"/>
        <v>#REF!</v>
      </c>
      <c r="B317" s="175"/>
      <c r="C317" s="175"/>
      <c r="D317" s="169"/>
      <c r="E317" s="170"/>
      <c r="F317" s="169"/>
      <c r="G317" s="176"/>
    </row>
    <row r="318" spans="1:7" ht="12.75">
      <c r="A318" s="168" t="e">
        <f t="shared" si="0"/>
        <v>#REF!</v>
      </c>
      <c r="B318" s="175"/>
      <c r="C318" s="175"/>
      <c r="D318" s="169"/>
      <c r="E318" s="170"/>
      <c r="F318" s="169"/>
      <c r="G318" s="176"/>
    </row>
    <row r="319" spans="1:7" ht="12.75">
      <c r="A319" s="168" t="e">
        <f t="shared" si="0"/>
        <v>#REF!</v>
      </c>
      <c r="B319" s="175"/>
      <c r="C319" s="175"/>
      <c r="D319" s="169"/>
      <c r="E319" s="170"/>
      <c r="F319" s="169"/>
      <c r="G319" s="176"/>
    </row>
    <row r="320" spans="1:7" ht="12.75">
      <c r="A320" s="168" t="e">
        <f t="shared" si="0"/>
        <v>#REF!</v>
      </c>
      <c r="B320" s="175"/>
      <c r="C320" s="175"/>
      <c r="D320" s="169"/>
      <c r="E320" s="170"/>
      <c r="F320" s="169"/>
      <c r="G320" s="176"/>
    </row>
    <row r="321" spans="1:7" ht="12.75">
      <c r="A321" s="168" t="e">
        <f t="shared" si="0"/>
        <v>#REF!</v>
      </c>
      <c r="B321" s="175"/>
      <c r="C321" s="175"/>
      <c r="D321" s="169"/>
      <c r="E321" s="170"/>
      <c r="F321" s="169"/>
      <c r="G321" s="176"/>
    </row>
    <row r="322" spans="1:7" ht="12.75">
      <c r="A322" s="168" t="e">
        <f t="shared" si="0"/>
        <v>#REF!</v>
      </c>
      <c r="B322" s="175"/>
      <c r="C322" s="175"/>
      <c r="D322" s="169"/>
      <c r="E322" s="170"/>
      <c r="F322" s="169"/>
      <c r="G322" s="176"/>
    </row>
    <row r="323" spans="1:7" ht="12.75">
      <c r="A323" s="168" t="e">
        <f t="shared" si="0"/>
        <v>#REF!</v>
      </c>
      <c r="B323" s="175"/>
      <c r="C323" s="175"/>
      <c r="D323" s="169"/>
      <c r="E323" s="170"/>
      <c r="F323" s="169"/>
      <c r="G323" s="176"/>
    </row>
    <row r="324" spans="1:7" ht="12.75">
      <c r="A324" s="168" t="e">
        <f t="shared" si="0"/>
        <v>#REF!</v>
      </c>
      <c r="B324" s="175"/>
      <c r="C324" s="175"/>
      <c r="D324" s="169"/>
      <c r="E324" s="170"/>
      <c r="F324" s="169"/>
      <c r="G324" s="176"/>
    </row>
    <row r="325" spans="1:7" ht="12.75">
      <c r="A325" s="168" t="e">
        <f t="shared" si="0"/>
        <v>#REF!</v>
      </c>
      <c r="B325" s="175"/>
      <c r="C325" s="175"/>
      <c r="D325" s="169"/>
      <c r="E325" s="170"/>
      <c r="F325" s="169"/>
      <c r="G325" s="176"/>
    </row>
    <row r="326" spans="1:7" ht="12.75">
      <c r="A326" s="168" t="e">
        <f t="shared" si="0"/>
        <v>#REF!</v>
      </c>
      <c r="B326" s="175"/>
      <c r="C326" s="175"/>
      <c r="D326" s="169"/>
      <c r="E326" s="170"/>
      <c r="F326" s="169"/>
      <c r="G326" s="176"/>
    </row>
    <row r="327" spans="1:7" ht="12.75">
      <c r="A327" s="168" t="e">
        <f t="shared" si="0"/>
        <v>#REF!</v>
      </c>
      <c r="B327" s="175"/>
      <c r="C327" s="175"/>
      <c r="D327" s="169"/>
      <c r="E327" s="170"/>
      <c r="F327" s="169"/>
      <c r="G327" s="176"/>
    </row>
    <row r="328" spans="1:7" ht="12.75">
      <c r="A328" s="168" t="e">
        <f t="shared" si="0"/>
        <v>#REF!</v>
      </c>
      <c r="B328" s="175"/>
      <c r="C328" s="175"/>
      <c r="D328" s="169"/>
      <c r="E328" s="170"/>
      <c r="F328" s="169"/>
      <c r="G328" s="176"/>
    </row>
    <row r="329" spans="1:7" ht="12.75">
      <c r="A329" s="168" t="e">
        <f t="shared" si="0"/>
        <v>#REF!</v>
      </c>
      <c r="B329" s="175"/>
      <c r="C329" s="175"/>
      <c r="D329" s="169"/>
      <c r="E329" s="170"/>
      <c r="F329" s="169"/>
      <c r="G329" s="176"/>
    </row>
    <row r="330" spans="1:7" ht="12.75">
      <c r="A330" s="168" t="e">
        <f t="shared" si="0"/>
        <v>#REF!</v>
      </c>
      <c r="B330" s="175"/>
      <c r="C330" s="175"/>
      <c r="D330" s="169"/>
      <c r="E330" s="170"/>
      <c r="F330" s="169"/>
      <c r="G330" s="176"/>
    </row>
    <row r="331" spans="1:7" ht="12.75">
      <c r="A331" s="168" t="e">
        <f t="shared" si="0"/>
        <v>#REF!</v>
      </c>
      <c r="B331" s="175"/>
      <c r="C331" s="175"/>
      <c r="D331" s="169"/>
      <c r="E331" s="170"/>
      <c r="F331" s="169"/>
      <c r="G331" s="176"/>
    </row>
    <row r="332" spans="1:7" ht="12.75">
      <c r="A332" s="168" t="e">
        <f t="shared" si="0"/>
        <v>#REF!</v>
      </c>
      <c r="B332" s="175"/>
      <c r="C332" s="175"/>
      <c r="D332" s="169"/>
      <c r="E332" s="170"/>
      <c r="F332" s="169"/>
      <c r="G332" s="176"/>
    </row>
    <row r="333" spans="1:7" ht="12.75">
      <c r="A333" s="168" t="e">
        <f t="shared" si="0"/>
        <v>#REF!</v>
      </c>
      <c r="B333" s="175"/>
      <c r="C333" s="175"/>
      <c r="D333" s="169"/>
      <c r="E333" s="170"/>
      <c r="F333" s="169"/>
      <c r="G333" s="176"/>
    </row>
    <row r="334" spans="1:7" ht="12.75">
      <c r="A334" s="168" t="e">
        <f t="shared" si="0"/>
        <v>#REF!</v>
      </c>
      <c r="B334" s="175"/>
      <c r="C334" s="175"/>
      <c r="D334" s="169"/>
      <c r="E334" s="170"/>
      <c r="F334" s="169"/>
      <c r="G334" s="176"/>
    </row>
    <row r="335" spans="1:7" ht="12.75">
      <c r="A335" s="168" t="e">
        <f t="shared" si="0"/>
        <v>#REF!</v>
      </c>
      <c r="B335" s="175"/>
      <c r="C335" s="175"/>
      <c r="D335" s="169"/>
      <c r="E335" s="170"/>
      <c r="F335" s="169"/>
      <c r="G335" s="176"/>
    </row>
    <row r="336" spans="1:7" ht="12.75">
      <c r="A336" s="168" t="e">
        <f t="shared" si="0"/>
        <v>#REF!</v>
      </c>
      <c r="B336" s="175"/>
      <c r="C336" s="175"/>
      <c r="D336" s="169"/>
      <c r="E336" s="170"/>
      <c r="F336" s="169"/>
      <c r="G336" s="176"/>
    </row>
    <row r="337" spans="1:7" ht="12.75">
      <c r="A337" s="168" t="e">
        <f t="shared" si="0"/>
        <v>#REF!</v>
      </c>
      <c r="B337" s="175"/>
      <c r="C337" s="175"/>
      <c r="D337" s="169"/>
      <c r="E337" s="170"/>
      <c r="F337" s="169"/>
      <c r="G337" s="176"/>
    </row>
    <row r="338" spans="1:7" ht="12.75">
      <c r="A338" s="168" t="e">
        <f t="shared" si="0"/>
        <v>#REF!</v>
      </c>
      <c r="B338" s="175"/>
      <c r="C338" s="175"/>
      <c r="D338" s="169"/>
      <c r="E338" s="170"/>
      <c r="F338" s="169"/>
      <c r="G338" s="176"/>
    </row>
    <row r="339" spans="1:7" ht="12.75">
      <c r="A339" s="168" t="e">
        <f t="shared" si="0"/>
        <v>#REF!</v>
      </c>
      <c r="B339" s="175"/>
      <c r="C339" s="175"/>
      <c r="D339" s="169"/>
      <c r="E339" s="170"/>
      <c r="F339" s="169"/>
      <c r="G339" s="176"/>
    </row>
    <row r="340" spans="1:7" ht="12.75">
      <c r="A340" s="168" t="e">
        <f t="shared" si="0"/>
        <v>#REF!</v>
      </c>
      <c r="B340" s="175"/>
      <c r="C340" s="175"/>
      <c r="D340" s="169"/>
      <c r="E340" s="170"/>
      <c r="F340" s="169"/>
      <c r="G340" s="176"/>
    </row>
    <row r="341" spans="1:7" ht="12.75">
      <c r="A341" s="168" t="e">
        <f t="shared" si="0"/>
        <v>#REF!</v>
      </c>
      <c r="B341" s="175"/>
      <c r="C341" s="175"/>
      <c r="D341" s="169"/>
      <c r="E341" s="170"/>
      <c r="F341" s="169"/>
      <c r="G341" s="176"/>
    </row>
    <row r="342" spans="1:7" ht="12.75">
      <c r="A342" s="168" t="e">
        <f t="shared" si="0"/>
        <v>#REF!</v>
      </c>
      <c r="B342" s="175"/>
      <c r="C342" s="175"/>
      <c r="D342" s="169"/>
      <c r="E342" s="170"/>
      <c r="F342" s="169"/>
      <c r="G342" s="176"/>
    </row>
    <row r="343" spans="1:7" ht="12.75">
      <c r="A343" s="168" t="e">
        <f t="shared" si="0"/>
        <v>#REF!</v>
      </c>
      <c r="B343" s="175"/>
      <c r="C343" s="175"/>
      <c r="D343" s="169"/>
      <c r="E343" s="170"/>
      <c r="F343" s="169"/>
      <c r="G343" s="176"/>
    </row>
    <row r="344" spans="1:7" ht="12.75">
      <c r="A344" s="168" t="e">
        <f t="shared" si="0"/>
        <v>#REF!</v>
      </c>
      <c r="B344" s="175"/>
      <c r="C344" s="175"/>
      <c r="D344" s="169"/>
      <c r="E344" s="170"/>
      <c r="F344" s="169"/>
      <c r="G344" s="176"/>
    </row>
    <row r="345" spans="1:7" ht="12.75">
      <c r="A345" s="168" t="e">
        <f t="shared" si="0"/>
        <v>#REF!</v>
      </c>
      <c r="B345" s="175"/>
      <c r="C345" s="175"/>
      <c r="D345" s="169"/>
      <c r="E345" s="170"/>
      <c r="F345" s="169"/>
      <c r="G345" s="176"/>
    </row>
    <row r="346" spans="1:7" ht="12.75">
      <c r="A346" s="168" t="e">
        <f t="shared" si="0"/>
        <v>#REF!</v>
      </c>
      <c r="B346" s="175"/>
      <c r="C346" s="175"/>
      <c r="D346" s="169"/>
      <c r="E346" s="170"/>
      <c r="F346" s="169"/>
      <c r="G346" s="176"/>
    </row>
    <row r="347" spans="1:7" ht="12.75">
      <c r="A347" s="168" t="e">
        <f t="shared" si="0"/>
        <v>#REF!</v>
      </c>
      <c r="B347" s="175"/>
      <c r="C347" s="175"/>
      <c r="D347" s="169"/>
      <c r="E347" s="170"/>
      <c r="F347" s="169"/>
      <c r="G347" s="176"/>
    </row>
    <row r="348" spans="1:7" ht="12.75">
      <c r="A348" s="168" t="e">
        <f t="shared" si="0"/>
        <v>#REF!</v>
      </c>
      <c r="B348" s="175"/>
      <c r="C348" s="175"/>
      <c r="D348" s="169"/>
      <c r="E348" s="170"/>
      <c r="F348" s="169"/>
      <c r="G348" s="176"/>
    </row>
    <row r="349" spans="1:7" ht="12.75">
      <c r="A349" s="168" t="e">
        <f t="shared" si="0"/>
        <v>#REF!</v>
      </c>
      <c r="B349" s="175"/>
      <c r="C349" s="175"/>
      <c r="D349" s="169"/>
      <c r="E349" s="170"/>
      <c r="F349" s="169"/>
      <c r="G349" s="176"/>
    </row>
    <row r="350" spans="1:7" ht="12.75">
      <c r="A350" s="168" t="e">
        <f t="shared" si="0"/>
        <v>#REF!</v>
      </c>
      <c r="B350" s="175"/>
      <c r="C350" s="175"/>
      <c r="D350" s="169"/>
      <c r="E350" s="170"/>
      <c r="F350" s="169"/>
      <c r="G350" s="176"/>
    </row>
    <row r="351" spans="1:7" ht="12.75">
      <c r="A351" s="168" t="e">
        <f t="shared" si="0"/>
        <v>#REF!</v>
      </c>
      <c r="B351" s="175"/>
      <c r="C351" s="175"/>
      <c r="D351" s="169"/>
      <c r="E351" s="170"/>
      <c r="F351" s="169"/>
      <c r="G351" s="176"/>
    </row>
    <row r="352" spans="1:7" ht="12.75">
      <c r="A352" s="168" t="e">
        <f t="shared" si="0"/>
        <v>#REF!</v>
      </c>
      <c r="B352" s="175"/>
      <c r="C352" s="175"/>
      <c r="D352" s="169"/>
      <c r="E352" s="170"/>
      <c r="F352" s="169"/>
      <c r="G352" s="176"/>
    </row>
    <row r="353" spans="1:7" ht="12.75">
      <c r="A353" s="168" t="e">
        <f t="shared" si="0"/>
        <v>#REF!</v>
      </c>
      <c r="B353" s="175"/>
      <c r="C353" s="175"/>
      <c r="D353" s="169"/>
      <c r="E353" s="170"/>
      <c r="F353" s="169"/>
      <c r="G353" s="176"/>
    </row>
    <row r="354" spans="1:7" ht="12.75">
      <c r="A354" s="168" t="e">
        <f t="shared" si="0"/>
        <v>#REF!</v>
      </c>
      <c r="B354" s="175"/>
      <c r="C354" s="175"/>
      <c r="D354" s="169"/>
      <c r="E354" s="170"/>
      <c r="F354" s="169"/>
      <c r="G354" s="176"/>
    </row>
    <row r="355" spans="1:7" ht="12.75">
      <c r="A355" s="168" t="e">
        <f t="shared" si="0"/>
        <v>#REF!</v>
      </c>
      <c r="B355" s="175"/>
      <c r="C355" s="175"/>
      <c r="D355" s="169"/>
      <c r="E355" s="170"/>
      <c r="F355" s="169"/>
      <c r="G355" s="176"/>
    </row>
    <row r="356" spans="1:7" ht="12.75">
      <c r="A356" s="168" t="e">
        <f t="shared" si="0"/>
        <v>#REF!</v>
      </c>
      <c r="B356" s="175"/>
      <c r="C356" s="175"/>
      <c r="D356" s="169"/>
      <c r="E356" s="170"/>
      <c r="F356" s="169"/>
      <c r="G356" s="176"/>
    </row>
    <row r="357" spans="1:7" ht="12.75">
      <c r="A357" s="168" t="e">
        <f t="shared" si="0"/>
        <v>#REF!</v>
      </c>
      <c r="B357" s="175"/>
      <c r="C357" s="175"/>
      <c r="D357" s="169"/>
      <c r="E357" s="170"/>
      <c r="F357" s="169"/>
      <c r="G357" s="176"/>
    </row>
    <row r="358" spans="1:7" ht="12.75">
      <c r="A358" s="168" t="e">
        <f t="shared" si="0"/>
        <v>#REF!</v>
      </c>
      <c r="B358" s="175"/>
      <c r="C358" s="175"/>
      <c r="D358" s="169"/>
      <c r="E358" s="170"/>
      <c r="F358" s="169"/>
      <c r="G358" s="176"/>
    </row>
    <row r="359" spans="1:7" ht="12.75">
      <c r="A359" s="168" t="e">
        <f t="shared" si="0"/>
        <v>#REF!</v>
      </c>
      <c r="B359" s="175"/>
      <c r="C359" s="175"/>
      <c r="D359" s="169"/>
      <c r="E359" s="170"/>
      <c r="F359" s="169"/>
      <c r="G359" s="176"/>
    </row>
    <row r="360" spans="1:7" ht="12.75">
      <c r="A360" s="168" t="e">
        <f t="shared" si="0"/>
        <v>#REF!</v>
      </c>
      <c r="B360" s="175"/>
      <c r="C360" s="175"/>
      <c r="D360" s="169"/>
      <c r="E360" s="170"/>
      <c r="F360" s="169"/>
      <c r="G360" s="176"/>
    </row>
    <row r="361" spans="1:7" ht="12.75">
      <c r="A361" s="168" t="e">
        <f t="shared" si="0"/>
        <v>#REF!</v>
      </c>
      <c r="B361" s="175"/>
      <c r="C361" s="175"/>
      <c r="D361" s="169"/>
      <c r="E361" s="170"/>
      <c r="F361" s="169"/>
      <c r="G361" s="176"/>
    </row>
    <row r="362" spans="1:7" ht="12.75">
      <c r="A362" s="168" t="e">
        <f t="shared" si="0"/>
        <v>#REF!</v>
      </c>
      <c r="B362" s="175"/>
      <c r="C362" s="175"/>
      <c r="D362" s="169"/>
      <c r="E362" s="170"/>
      <c r="F362" s="169"/>
      <c r="G362" s="176"/>
    </row>
    <row r="363" spans="1:7" ht="12.75">
      <c r="A363" s="168" t="e">
        <f t="shared" si="0"/>
        <v>#REF!</v>
      </c>
      <c r="B363" s="175"/>
      <c r="C363" s="175"/>
      <c r="D363" s="169"/>
      <c r="E363" s="170"/>
      <c r="F363" s="169"/>
      <c r="G363" s="176"/>
    </row>
    <row r="364" spans="1:7" ht="12.75">
      <c r="A364" s="168" t="e">
        <f t="shared" si="0"/>
        <v>#REF!</v>
      </c>
      <c r="B364" s="175"/>
      <c r="C364" s="175"/>
      <c r="D364" s="169"/>
      <c r="E364" s="170"/>
      <c r="F364" s="169"/>
      <c r="G364" s="176"/>
    </row>
    <row r="365" spans="1:7" ht="12.75">
      <c r="A365" s="168" t="e">
        <f t="shared" si="0"/>
        <v>#REF!</v>
      </c>
      <c r="B365" s="175"/>
      <c r="C365" s="175"/>
      <c r="D365" s="169"/>
      <c r="E365" s="170"/>
      <c r="F365" s="169"/>
      <c r="G365" s="176"/>
    </row>
    <row r="366" spans="1:7" ht="12.75">
      <c r="A366" s="168" t="e">
        <f t="shared" si="0"/>
        <v>#REF!</v>
      </c>
      <c r="B366" s="175"/>
      <c r="C366" s="175"/>
      <c r="D366" s="169"/>
      <c r="E366" s="170"/>
      <c r="F366" s="169"/>
      <c r="G366" s="176"/>
    </row>
    <row r="367" spans="1:7" ht="12.75">
      <c r="A367" s="168" t="e">
        <f t="shared" si="0"/>
        <v>#REF!</v>
      </c>
      <c r="B367" s="175"/>
      <c r="C367" s="175"/>
      <c r="D367" s="169"/>
      <c r="E367" s="170"/>
      <c r="F367" s="169"/>
      <c r="G367" s="176"/>
    </row>
    <row r="368" spans="1:7" ht="12.75">
      <c r="A368" s="168" t="e">
        <f t="shared" si="0"/>
        <v>#REF!</v>
      </c>
      <c r="B368" s="175"/>
      <c r="C368" s="175"/>
      <c r="D368" s="169"/>
      <c r="E368" s="170"/>
      <c r="F368" s="169"/>
      <c r="G368" s="176"/>
    </row>
    <row r="369" spans="1:7" ht="12.75">
      <c r="A369" s="168" t="e">
        <f t="shared" si="0"/>
        <v>#REF!</v>
      </c>
      <c r="B369" s="175"/>
      <c r="C369" s="175"/>
      <c r="D369" s="169"/>
      <c r="E369" s="170"/>
      <c r="F369" s="169"/>
      <c r="G369" s="176"/>
    </row>
    <row r="370" spans="1:7" ht="12.75">
      <c r="A370" s="168" t="e">
        <f t="shared" si="0"/>
        <v>#REF!</v>
      </c>
      <c r="B370" s="175"/>
      <c r="C370" s="175"/>
      <c r="D370" s="169"/>
      <c r="E370" s="170"/>
      <c r="F370" s="169"/>
      <c r="G370" s="176"/>
    </row>
    <row r="371" spans="1:7" ht="12.75">
      <c r="A371" s="168" t="e">
        <f t="shared" si="0"/>
        <v>#REF!</v>
      </c>
      <c r="B371" s="175"/>
      <c r="C371" s="175"/>
      <c r="D371" s="169"/>
      <c r="E371" s="170"/>
      <c r="F371" s="169"/>
      <c r="G371" s="176"/>
    </row>
    <row r="372" spans="1:7" ht="12.75">
      <c r="A372" s="168" t="e">
        <f t="shared" si="0"/>
        <v>#REF!</v>
      </c>
      <c r="B372" s="175"/>
      <c r="C372" s="175"/>
      <c r="D372" s="169"/>
      <c r="E372" s="170"/>
      <c r="F372" s="169"/>
      <c r="G372" s="176"/>
    </row>
    <row r="373" spans="1:7" ht="12.75">
      <c r="A373" s="168" t="e">
        <f t="shared" si="0"/>
        <v>#REF!</v>
      </c>
      <c r="B373" s="175"/>
      <c r="C373" s="175"/>
      <c r="D373" s="169"/>
      <c r="E373" s="170"/>
      <c r="F373" s="169"/>
      <c r="G373" s="176"/>
    </row>
    <row r="374" spans="1:7" ht="12.75">
      <c r="A374" s="168" t="e">
        <f t="shared" si="0"/>
        <v>#REF!</v>
      </c>
      <c r="B374" s="175"/>
      <c r="C374" s="175"/>
      <c r="D374" s="169"/>
      <c r="E374" s="170"/>
      <c r="F374" s="169"/>
      <c r="G374" s="176"/>
    </row>
    <row r="375" spans="1:7" ht="12.75">
      <c r="A375" s="168" t="e">
        <f t="shared" si="0"/>
        <v>#REF!</v>
      </c>
      <c r="B375" s="175"/>
      <c r="C375" s="175"/>
      <c r="D375" s="169"/>
      <c r="E375" s="170"/>
      <c r="F375" s="169"/>
      <c r="G375" s="176"/>
    </row>
    <row r="376" spans="1:7" ht="12.75">
      <c r="A376" s="168" t="e">
        <f t="shared" si="0"/>
        <v>#REF!</v>
      </c>
      <c r="B376" s="175"/>
      <c r="C376" s="175"/>
      <c r="D376" s="169"/>
      <c r="E376" s="170"/>
      <c r="F376" s="169"/>
      <c r="G376" s="176"/>
    </row>
    <row r="377" spans="1:7" ht="12.75">
      <c r="A377" s="168" t="e">
        <f t="shared" si="0"/>
        <v>#REF!</v>
      </c>
      <c r="B377" s="175"/>
      <c r="C377" s="175"/>
      <c r="D377" s="169"/>
      <c r="E377" s="170"/>
      <c r="F377" s="169"/>
      <c r="G377" s="176"/>
    </row>
    <row r="378" spans="1:7" ht="12.75">
      <c r="A378" s="168" t="e">
        <f t="shared" si="0"/>
        <v>#REF!</v>
      </c>
      <c r="B378" s="175"/>
      <c r="C378" s="175"/>
      <c r="D378" s="169"/>
      <c r="E378" s="170"/>
      <c r="F378" s="169"/>
      <c r="G378" s="176"/>
    </row>
    <row r="379" spans="1:7" ht="12.75">
      <c r="A379" s="168" t="e">
        <f t="shared" si="0"/>
        <v>#REF!</v>
      </c>
      <c r="B379" s="175"/>
      <c r="C379" s="175"/>
      <c r="D379" s="169"/>
      <c r="E379" s="170"/>
      <c r="F379" s="169"/>
      <c r="G379" s="176"/>
    </row>
    <row r="380" spans="1:7" ht="12.75">
      <c r="A380" s="168" t="e">
        <f t="shared" si="0"/>
        <v>#REF!</v>
      </c>
      <c r="B380" s="175"/>
      <c r="C380" s="175"/>
      <c r="D380" s="169"/>
      <c r="E380" s="170"/>
      <c r="F380" s="169"/>
      <c r="G380" s="176"/>
    </row>
    <row r="381" spans="1:7" ht="12.75">
      <c r="A381" s="168" t="e">
        <f t="shared" si="0"/>
        <v>#REF!</v>
      </c>
      <c r="B381" s="175"/>
      <c r="C381" s="175"/>
      <c r="D381" s="169"/>
      <c r="E381" s="170"/>
      <c r="F381" s="169"/>
      <c r="G381" s="176"/>
    </row>
    <row r="382" spans="1:7" ht="12.75">
      <c r="A382" s="168" t="e">
        <f t="shared" si="0"/>
        <v>#REF!</v>
      </c>
      <c r="B382" s="175"/>
      <c r="C382" s="175"/>
      <c r="D382" s="169"/>
      <c r="E382" s="170"/>
      <c r="F382" s="169"/>
      <c r="G382" s="176"/>
    </row>
    <row r="383" spans="1:7" ht="12.75">
      <c r="A383" s="168" t="e">
        <f t="shared" si="0"/>
        <v>#REF!</v>
      </c>
      <c r="B383" s="175"/>
      <c r="C383" s="175"/>
      <c r="D383" s="169"/>
      <c r="E383" s="170"/>
      <c r="F383" s="169"/>
      <c r="G383" s="176"/>
    </row>
    <row r="384" spans="1:7" ht="12.75">
      <c r="A384" s="168" t="e">
        <f t="shared" si="0"/>
        <v>#REF!</v>
      </c>
      <c r="B384" s="175"/>
      <c r="C384" s="175"/>
      <c r="D384" s="169"/>
      <c r="E384" s="170"/>
      <c r="F384" s="169"/>
      <c r="G384" s="176"/>
    </row>
    <row r="385" spans="1:7" ht="12.75">
      <c r="A385" s="168" t="e">
        <f t="shared" si="0"/>
        <v>#REF!</v>
      </c>
      <c r="B385" s="175"/>
      <c r="C385" s="175"/>
      <c r="D385" s="169"/>
      <c r="E385" s="170"/>
      <c r="F385" s="169"/>
      <c r="G385" s="176"/>
    </row>
    <row r="386" spans="1:7" ht="12.75">
      <c r="A386" s="168" t="e">
        <f t="shared" si="0"/>
        <v>#REF!</v>
      </c>
      <c r="B386" s="175"/>
      <c r="C386" s="175"/>
      <c r="D386" s="169"/>
      <c r="E386" s="170"/>
      <c r="F386" s="169"/>
      <c r="G386" s="176"/>
    </row>
    <row r="387" spans="1:7" ht="12.75">
      <c r="A387" s="168" t="e">
        <f t="shared" si="0"/>
        <v>#REF!</v>
      </c>
      <c r="B387" s="175"/>
      <c r="C387" s="175"/>
      <c r="D387" s="169"/>
      <c r="E387" s="170"/>
      <c r="F387" s="169"/>
      <c r="G387" s="176"/>
    </row>
    <row r="388" spans="1:7" ht="12.75">
      <c r="A388" s="168" t="e">
        <f t="shared" si="0"/>
        <v>#REF!</v>
      </c>
      <c r="B388" s="175"/>
      <c r="C388" s="175"/>
      <c r="D388" s="169"/>
      <c r="E388" s="170"/>
      <c r="F388" s="169"/>
      <c r="G388" s="176"/>
    </row>
    <row r="389" spans="1:7" ht="12.75">
      <c r="A389" s="168" t="e">
        <f t="shared" si="0"/>
        <v>#REF!</v>
      </c>
      <c r="B389" s="175"/>
      <c r="C389" s="175"/>
      <c r="D389" s="169"/>
      <c r="E389" s="170"/>
      <c r="F389" s="169"/>
      <c r="G389" s="176"/>
    </row>
    <row r="390" spans="1:7" ht="12.75">
      <c r="A390" s="168" t="e">
        <f t="shared" si="0"/>
        <v>#REF!</v>
      </c>
      <c r="B390" s="175"/>
      <c r="C390" s="175"/>
      <c r="D390" s="169"/>
      <c r="E390" s="170"/>
      <c r="F390" s="169"/>
      <c r="G390" s="176"/>
    </row>
    <row r="391" spans="1:7" ht="12.75">
      <c r="A391" s="168" t="e">
        <f t="shared" si="0"/>
        <v>#REF!</v>
      </c>
      <c r="B391" s="175"/>
      <c r="C391" s="175"/>
      <c r="D391" s="169"/>
      <c r="E391" s="170"/>
      <c r="F391" s="169"/>
      <c r="G391" s="176"/>
    </row>
    <row r="392" spans="1:7" ht="12.75">
      <c r="A392" s="168" t="e">
        <f t="shared" si="0"/>
        <v>#REF!</v>
      </c>
      <c r="B392" s="175"/>
      <c r="C392" s="175"/>
      <c r="D392" s="169"/>
      <c r="E392" s="170"/>
      <c r="F392" s="169"/>
      <c r="G392" s="176"/>
    </row>
    <row r="393" spans="1:7" ht="12.75">
      <c r="A393" s="168" t="e">
        <f t="shared" si="0"/>
        <v>#REF!</v>
      </c>
      <c r="B393" s="175"/>
      <c r="C393" s="175"/>
      <c r="D393" s="169"/>
      <c r="E393" s="170"/>
      <c r="F393" s="169"/>
      <c r="G393" s="176"/>
    </row>
    <row r="394" spans="1:7" ht="12.75">
      <c r="A394" s="168" t="e">
        <f t="shared" si="0"/>
        <v>#REF!</v>
      </c>
      <c r="B394" s="175"/>
      <c r="C394" s="175"/>
      <c r="D394" s="169"/>
      <c r="E394" s="170"/>
      <c r="F394" s="169"/>
      <c r="G394" s="176"/>
    </row>
    <row r="395" spans="1:7" ht="12.75">
      <c r="A395" s="168" t="e">
        <f t="shared" si="0"/>
        <v>#REF!</v>
      </c>
      <c r="B395" s="175"/>
      <c r="C395" s="175"/>
      <c r="D395" s="169"/>
      <c r="E395" s="170"/>
      <c r="F395" s="169"/>
      <c r="G395" s="176"/>
    </row>
    <row r="396" spans="1:7" ht="12.75">
      <c r="A396" s="168" t="e">
        <f t="shared" si="0"/>
        <v>#REF!</v>
      </c>
      <c r="B396" s="175"/>
      <c r="C396" s="175"/>
      <c r="D396" s="169"/>
      <c r="E396" s="170"/>
      <c r="F396" s="169"/>
      <c r="G396" s="176"/>
    </row>
    <row r="397" spans="1:7" ht="12.75">
      <c r="A397" s="168" t="e">
        <f t="shared" si="0"/>
        <v>#REF!</v>
      </c>
      <c r="B397" s="175"/>
      <c r="C397" s="175"/>
      <c r="D397" s="169"/>
      <c r="E397" s="170"/>
      <c r="F397" s="169"/>
      <c r="G397" s="176"/>
    </row>
    <row r="398" spans="1:7" ht="12.75">
      <c r="A398" s="168" t="e">
        <f t="shared" si="0"/>
        <v>#REF!</v>
      </c>
      <c r="B398" s="175"/>
      <c r="C398" s="175"/>
      <c r="D398" s="169"/>
      <c r="E398" s="170"/>
      <c r="F398" s="169"/>
      <c r="G398" s="176"/>
    </row>
    <row r="399" spans="1:7" ht="12.75">
      <c r="A399" s="168" t="e">
        <f t="shared" si="0"/>
        <v>#REF!</v>
      </c>
      <c r="B399" s="175"/>
      <c r="C399" s="175"/>
      <c r="D399" s="169"/>
      <c r="E399" s="170"/>
      <c r="F399" s="169"/>
      <c r="G399" s="176"/>
    </row>
    <row r="400" spans="1:7" ht="12.75">
      <c r="A400" s="168" t="e">
        <f t="shared" si="0"/>
        <v>#REF!</v>
      </c>
      <c r="B400" s="175"/>
      <c r="C400" s="175"/>
      <c r="D400" s="169"/>
      <c r="E400" s="170"/>
      <c r="F400" s="169"/>
      <c r="G400" s="176"/>
    </row>
    <row r="401" spans="1:7" ht="12.75">
      <c r="A401" s="168" t="e">
        <f t="shared" si="0"/>
        <v>#REF!</v>
      </c>
      <c r="B401" s="175"/>
      <c r="C401" s="175"/>
      <c r="D401" s="169"/>
      <c r="E401" s="170"/>
      <c r="F401" s="169"/>
      <c r="G401" s="176"/>
    </row>
    <row r="402" spans="1:7" ht="12.75">
      <c r="A402" s="168" t="e">
        <f t="shared" si="0"/>
        <v>#REF!</v>
      </c>
      <c r="B402" s="175"/>
      <c r="C402" s="175"/>
      <c r="D402" s="169"/>
      <c r="E402" s="170"/>
      <c r="F402" s="169"/>
      <c r="G402" s="176"/>
    </row>
    <row r="403" spans="1:7" ht="12.75">
      <c r="A403" s="168" t="e">
        <f t="shared" si="0"/>
        <v>#REF!</v>
      </c>
      <c r="B403" s="175"/>
      <c r="C403" s="175"/>
      <c r="D403" s="169"/>
      <c r="E403" s="170"/>
      <c r="F403" s="169"/>
      <c r="G403" s="176"/>
    </row>
    <row r="404" spans="1:7" ht="12.75">
      <c r="A404" s="168" t="e">
        <f t="shared" si="0"/>
        <v>#REF!</v>
      </c>
      <c r="B404" s="175"/>
      <c r="C404" s="175"/>
      <c r="D404" s="169"/>
      <c r="E404" s="170"/>
      <c r="F404" s="169"/>
      <c r="G404" s="176"/>
    </row>
    <row r="405" spans="1:7" ht="12.75">
      <c r="A405" s="168" t="e">
        <f t="shared" si="0"/>
        <v>#REF!</v>
      </c>
      <c r="B405" s="175"/>
      <c r="C405" s="175"/>
      <c r="D405" s="169"/>
      <c r="E405" s="170"/>
      <c r="F405" s="169"/>
      <c r="G405" s="176"/>
    </row>
    <row r="406" spans="1:7" ht="12.75">
      <c r="A406" s="168" t="e">
        <f t="shared" si="0"/>
        <v>#REF!</v>
      </c>
      <c r="B406" s="175"/>
      <c r="C406" s="175"/>
      <c r="D406" s="169"/>
      <c r="E406" s="170"/>
      <c r="F406" s="169"/>
      <c r="G406" s="176"/>
    </row>
    <row r="407" spans="1:7" ht="12.75">
      <c r="A407" s="168" t="e">
        <f t="shared" si="0"/>
        <v>#REF!</v>
      </c>
      <c r="B407" s="175"/>
      <c r="C407" s="175"/>
      <c r="D407" s="169"/>
      <c r="E407" s="170"/>
      <c r="F407" s="169"/>
      <c r="G407" s="176"/>
    </row>
    <row r="408" spans="1:7" ht="12.75">
      <c r="A408" s="168" t="e">
        <f t="shared" si="0"/>
        <v>#REF!</v>
      </c>
      <c r="B408" s="175"/>
      <c r="C408" s="175"/>
      <c r="D408" s="169"/>
      <c r="E408" s="170"/>
      <c r="F408" s="169"/>
      <c r="G408" s="176"/>
    </row>
    <row r="409" spans="1:7" ht="12.75">
      <c r="A409" s="168" t="e">
        <f t="shared" si="0"/>
        <v>#REF!</v>
      </c>
      <c r="B409" s="175"/>
      <c r="C409" s="175"/>
      <c r="D409" s="169"/>
      <c r="E409" s="170"/>
      <c r="F409" s="169"/>
      <c r="G409" s="176"/>
    </row>
    <row r="410" spans="1:7" ht="12.75">
      <c r="A410" s="168" t="e">
        <f t="shared" si="0"/>
        <v>#REF!</v>
      </c>
      <c r="B410" s="175"/>
      <c r="C410" s="175"/>
      <c r="D410" s="169"/>
      <c r="E410" s="170"/>
      <c r="F410" s="169"/>
      <c r="G410" s="176"/>
    </row>
    <row r="411" spans="1:7" ht="12.75">
      <c r="A411" s="168" t="e">
        <f t="shared" si="0"/>
        <v>#REF!</v>
      </c>
      <c r="B411" s="175"/>
      <c r="C411" s="175"/>
      <c r="D411" s="169"/>
      <c r="E411" s="170"/>
      <c r="F411" s="169"/>
      <c r="G411" s="176"/>
    </row>
    <row r="412" spans="1:7" ht="12.75">
      <c r="A412" s="168" t="e">
        <f t="shared" si="0"/>
        <v>#REF!</v>
      </c>
      <c r="B412" s="175"/>
      <c r="C412" s="175"/>
      <c r="D412" s="169"/>
      <c r="E412" s="170"/>
      <c r="F412" s="169"/>
      <c r="G412" s="176"/>
    </row>
    <row r="413" spans="1:7" ht="12.75">
      <c r="A413" s="168" t="e">
        <f t="shared" si="0"/>
        <v>#REF!</v>
      </c>
      <c r="B413" s="175"/>
      <c r="C413" s="175"/>
      <c r="D413" s="169"/>
      <c r="E413" s="170"/>
      <c r="F413" s="169"/>
      <c r="G413" s="176"/>
    </row>
    <row r="414" spans="1:7" ht="12.75">
      <c r="A414" s="168" t="e">
        <f t="shared" si="0"/>
        <v>#REF!</v>
      </c>
      <c r="B414" s="175"/>
      <c r="C414" s="175"/>
      <c r="D414" s="169"/>
      <c r="E414" s="170"/>
      <c r="F414" s="169"/>
      <c r="G414" s="176"/>
    </row>
    <row r="415" spans="1:7" ht="12.75">
      <c r="A415" s="168" t="e">
        <f t="shared" si="0"/>
        <v>#REF!</v>
      </c>
      <c r="B415" s="175"/>
      <c r="C415" s="175"/>
      <c r="D415" s="169"/>
      <c r="E415" s="170"/>
      <c r="F415" s="169"/>
      <c r="G415" s="176"/>
    </row>
    <row r="416" spans="1:7" ht="12.75">
      <c r="A416" s="168" t="e">
        <f t="shared" si="0"/>
        <v>#REF!</v>
      </c>
      <c r="B416" s="175"/>
      <c r="C416" s="175"/>
      <c r="D416" s="169"/>
      <c r="E416" s="170"/>
      <c r="F416" s="169"/>
      <c r="G416" s="176"/>
    </row>
    <row r="417" spans="1:7" ht="12.75">
      <c r="A417" s="168" t="e">
        <f t="shared" si="0"/>
        <v>#REF!</v>
      </c>
      <c r="B417" s="175"/>
      <c r="C417" s="175"/>
      <c r="D417" s="169"/>
      <c r="E417" s="170"/>
      <c r="F417" s="169"/>
      <c r="G417" s="176"/>
    </row>
    <row r="418" spans="1:7" ht="12.75">
      <c r="A418" s="168" t="e">
        <f t="shared" si="0"/>
        <v>#REF!</v>
      </c>
      <c r="B418" s="175"/>
      <c r="C418" s="175"/>
      <c r="D418" s="169"/>
      <c r="E418" s="170"/>
      <c r="F418" s="169"/>
      <c r="G418" s="176"/>
    </row>
    <row r="419" spans="1:7" ht="12.75">
      <c r="A419" s="168" t="e">
        <f t="shared" si="0"/>
        <v>#REF!</v>
      </c>
      <c r="B419" s="175"/>
      <c r="C419" s="175"/>
      <c r="D419" s="169"/>
      <c r="E419" s="170"/>
      <c r="F419" s="169"/>
      <c r="G419" s="176"/>
    </row>
    <row r="420" spans="1:7" ht="12.75">
      <c r="A420" s="168" t="e">
        <f t="shared" si="0"/>
        <v>#REF!</v>
      </c>
      <c r="B420" s="175"/>
      <c r="C420" s="175"/>
      <c r="D420" s="169"/>
      <c r="E420" s="170"/>
      <c r="F420" s="169"/>
      <c r="G420" s="176"/>
    </row>
    <row r="421" spans="1:7" ht="12.75">
      <c r="A421" s="168" t="e">
        <f t="shared" si="0"/>
        <v>#REF!</v>
      </c>
      <c r="B421" s="175"/>
      <c r="C421" s="175"/>
      <c r="D421" s="169"/>
      <c r="E421" s="170"/>
      <c r="F421" s="169"/>
      <c r="G421" s="176"/>
    </row>
    <row r="422" spans="1:7" ht="12.75">
      <c r="A422" s="168" t="e">
        <f t="shared" si="0"/>
        <v>#REF!</v>
      </c>
      <c r="B422" s="175"/>
      <c r="C422" s="175"/>
      <c r="D422" s="169"/>
      <c r="E422" s="170"/>
      <c r="F422" s="169"/>
      <c r="G422" s="176"/>
    </row>
    <row r="423" spans="1:7" ht="12.75">
      <c r="A423" s="168" t="e">
        <f t="shared" si="0"/>
        <v>#REF!</v>
      </c>
      <c r="B423" s="175"/>
      <c r="C423" s="175"/>
      <c r="D423" s="169"/>
      <c r="E423" s="170"/>
      <c r="F423" s="169"/>
      <c r="G423" s="176"/>
    </row>
    <row r="424" spans="1:7" ht="12.75">
      <c r="A424" s="168" t="e">
        <f t="shared" si="0"/>
        <v>#REF!</v>
      </c>
      <c r="B424" s="175"/>
      <c r="C424" s="175"/>
      <c r="D424" s="169"/>
      <c r="E424" s="170"/>
      <c r="F424" s="169"/>
      <c r="G424" s="176"/>
    </row>
    <row r="425" spans="1:7" ht="12.75">
      <c r="A425" s="168" t="e">
        <f t="shared" si="0"/>
        <v>#REF!</v>
      </c>
      <c r="B425" s="175"/>
      <c r="C425" s="175"/>
      <c r="D425" s="169"/>
      <c r="E425" s="170"/>
      <c r="F425" s="169"/>
      <c r="G425" s="176"/>
    </row>
    <row r="426" spans="1:7" ht="12.75">
      <c r="A426" s="168" t="e">
        <f t="shared" si="0"/>
        <v>#REF!</v>
      </c>
      <c r="B426" s="175"/>
      <c r="C426" s="175"/>
      <c r="D426" s="169"/>
      <c r="E426" s="170"/>
      <c r="F426" s="169"/>
      <c r="G426" s="176"/>
    </row>
    <row r="427" spans="1:7" ht="12.75">
      <c r="A427" s="168" t="e">
        <f t="shared" si="0"/>
        <v>#REF!</v>
      </c>
      <c r="B427" s="175"/>
      <c r="C427" s="175"/>
      <c r="D427" s="169"/>
      <c r="E427" s="170"/>
      <c r="F427" s="169"/>
      <c r="G427" s="176"/>
    </row>
    <row r="428" spans="1:7" ht="12.75">
      <c r="A428" s="168" t="e">
        <f t="shared" si="0"/>
        <v>#REF!</v>
      </c>
      <c r="B428" s="175"/>
      <c r="C428" s="175"/>
      <c r="D428" s="169"/>
      <c r="E428" s="170"/>
      <c r="F428" s="169"/>
      <c r="G428" s="176"/>
    </row>
    <row r="429" spans="1:7" ht="12.75">
      <c r="A429" s="168" t="e">
        <f t="shared" si="0"/>
        <v>#REF!</v>
      </c>
      <c r="B429" s="175"/>
      <c r="C429" s="175"/>
      <c r="D429" s="169"/>
      <c r="E429" s="170"/>
      <c r="F429" s="169"/>
      <c r="G429" s="176"/>
    </row>
    <row r="430" spans="1:7" ht="12.75">
      <c r="A430" s="168" t="e">
        <f t="shared" si="0"/>
        <v>#REF!</v>
      </c>
      <c r="B430" s="175"/>
      <c r="C430" s="175"/>
      <c r="D430" s="169"/>
      <c r="E430" s="170"/>
      <c r="F430" s="169"/>
      <c r="G430" s="176"/>
    </row>
    <row r="431" spans="1:7" ht="12.75">
      <c r="A431" s="168" t="e">
        <f t="shared" si="0"/>
        <v>#REF!</v>
      </c>
      <c r="B431" s="175"/>
      <c r="C431" s="175"/>
      <c r="D431" s="169"/>
      <c r="E431" s="170"/>
      <c r="F431" s="169"/>
      <c r="G431" s="176"/>
    </row>
    <row r="432" spans="1:7" ht="12.75">
      <c r="A432" s="168" t="e">
        <f t="shared" si="0"/>
        <v>#REF!</v>
      </c>
      <c r="B432" s="175"/>
      <c r="C432" s="175"/>
      <c r="D432" s="169"/>
      <c r="E432" s="170"/>
      <c r="F432" s="169"/>
      <c r="G432" s="176"/>
    </row>
    <row r="433" spans="1:7" ht="12.75">
      <c r="A433" s="168" t="e">
        <f t="shared" si="0"/>
        <v>#REF!</v>
      </c>
      <c r="B433" s="175"/>
      <c r="C433" s="175"/>
      <c r="D433" s="169"/>
      <c r="E433" s="170"/>
      <c r="F433" s="169"/>
      <c r="G433" s="176"/>
    </row>
    <row r="434" spans="1:7" ht="12.75">
      <c r="A434" s="168" t="e">
        <f t="shared" si="0"/>
        <v>#REF!</v>
      </c>
      <c r="B434" s="175"/>
      <c r="C434" s="175"/>
      <c r="D434" s="169"/>
      <c r="E434" s="170"/>
      <c r="F434" s="169"/>
      <c r="G434" s="176"/>
    </row>
    <row r="435" spans="1:7" ht="12.75">
      <c r="A435" s="168" t="e">
        <f t="shared" si="0"/>
        <v>#REF!</v>
      </c>
      <c r="B435" s="175"/>
      <c r="C435" s="175"/>
      <c r="D435" s="169"/>
      <c r="E435" s="170"/>
      <c r="F435" s="169"/>
      <c r="G435" s="176"/>
    </row>
    <row r="436" spans="1:7" ht="12.75">
      <c r="A436" s="168" t="e">
        <f t="shared" si="0"/>
        <v>#REF!</v>
      </c>
      <c r="B436" s="175"/>
      <c r="C436" s="175"/>
      <c r="D436" s="169"/>
      <c r="E436" s="170"/>
      <c r="F436" s="169"/>
      <c r="G436" s="176"/>
    </row>
    <row r="437" spans="1:7" ht="12.75">
      <c r="A437" s="168" t="e">
        <f t="shared" si="0"/>
        <v>#REF!</v>
      </c>
      <c r="B437" s="175"/>
      <c r="C437" s="175"/>
      <c r="D437" s="169"/>
      <c r="E437" s="170"/>
      <c r="F437" s="169"/>
      <c r="G437" s="176"/>
    </row>
    <row r="438" spans="1:7" ht="12.75">
      <c r="A438" s="168" t="e">
        <f t="shared" si="0"/>
        <v>#REF!</v>
      </c>
      <c r="B438" s="175"/>
      <c r="C438" s="175"/>
      <c r="D438" s="169"/>
      <c r="E438" s="170"/>
      <c r="F438" s="169"/>
      <c r="G438" s="176"/>
    </row>
    <row r="439" spans="1:7" ht="12.75">
      <c r="A439" s="168" t="e">
        <f t="shared" si="0"/>
        <v>#REF!</v>
      </c>
      <c r="B439" s="175"/>
      <c r="C439" s="175"/>
      <c r="D439" s="169"/>
      <c r="E439" s="170"/>
      <c r="F439" s="169"/>
      <c r="G439" s="176"/>
    </row>
    <row r="440" spans="1:7" ht="12.75">
      <c r="A440" s="168" t="e">
        <f t="shared" si="0"/>
        <v>#REF!</v>
      </c>
      <c r="B440" s="175"/>
      <c r="C440" s="175"/>
      <c r="D440" s="169"/>
      <c r="E440" s="170"/>
      <c r="F440" s="169"/>
      <c r="G440" s="176"/>
    </row>
    <row r="441" spans="1:7" ht="12.75">
      <c r="A441" s="168" t="e">
        <f t="shared" si="0"/>
        <v>#REF!</v>
      </c>
      <c r="B441" s="175"/>
      <c r="C441" s="175"/>
      <c r="D441" s="169"/>
      <c r="E441" s="170"/>
      <c r="F441" s="169"/>
      <c r="G441" s="176"/>
    </row>
    <row r="442" spans="1:7" ht="12.75">
      <c r="A442" s="168" t="e">
        <f t="shared" si="0"/>
        <v>#REF!</v>
      </c>
      <c r="B442" s="175"/>
      <c r="C442" s="175"/>
      <c r="D442" s="169"/>
      <c r="E442" s="170"/>
      <c r="F442" s="169"/>
      <c r="G442" s="176"/>
    </row>
    <row r="443" spans="1:7" ht="12.75">
      <c r="A443" s="168" t="e">
        <f t="shared" si="0"/>
        <v>#REF!</v>
      </c>
      <c r="B443" s="175"/>
      <c r="C443" s="175"/>
      <c r="D443" s="169"/>
      <c r="E443" s="170"/>
      <c r="F443" s="169"/>
      <c r="G443" s="176"/>
    </row>
    <row r="444" spans="1:7" ht="12.75">
      <c r="A444" s="168" t="e">
        <f t="shared" si="0"/>
        <v>#REF!</v>
      </c>
      <c r="B444" s="175"/>
      <c r="C444" s="175"/>
      <c r="D444" s="169"/>
      <c r="E444" s="170"/>
      <c r="F444" s="169"/>
      <c r="G444" s="176"/>
    </row>
    <row r="445" spans="1:7" ht="12.75">
      <c r="A445" s="168" t="e">
        <f t="shared" si="0"/>
        <v>#REF!</v>
      </c>
      <c r="B445" s="175"/>
      <c r="C445" s="175"/>
      <c r="D445" s="169"/>
      <c r="E445" s="170"/>
      <c r="F445" s="169"/>
      <c r="G445" s="176"/>
    </row>
    <row r="446" spans="1:7" ht="12.75">
      <c r="A446" s="168" t="e">
        <f t="shared" si="0"/>
        <v>#REF!</v>
      </c>
      <c r="B446" s="175"/>
      <c r="C446" s="175"/>
      <c r="D446" s="169"/>
      <c r="E446" s="170"/>
      <c r="F446" s="169"/>
      <c r="G446" s="176"/>
    </row>
    <row r="447" spans="1:7" ht="12.75">
      <c r="A447" s="168" t="e">
        <f t="shared" si="0"/>
        <v>#REF!</v>
      </c>
      <c r="B447" s="175"/>
      <c r="C447" s="175"/>
      <c r="D447" s="169"/>
      <c r="E447" s="170"/>
      <c r="F447" s="169"/>
      <c r="G447" s="176"/>
    </row>
    <row r="448" spans="1:7" ht="12.75">
      <c r="A448" s="168" t="e">
        <f t="shared" si="0"/>
        <v>#REF!</v>
      </c>
      <c r="B448" s="175"/>
      <c r="C448" s="175"/>
      <c r="D448" s="169"/>
      <c r="E448" s="170"/>
      <c r="F448" s="169"/>
      <c r="G448" s="176"/>
    </row>
    <row r="449" spans="1:7" ht="12.75">
      <c r="A449" s="168" t="e">
        <f t="shared" si="0"/>
        <v>#REF!</v>
      </c>
      <c r="B449" s="175"/>
      <c r="C449" s="175"/>
      <c r="D449" s="169"/>
      <c r="E449" s="170"/>
      <c r="F449" s="169"/>
      <c r="G449" s="176"/>
    </row>
    <row r="450" spans="1:7" ht="12.75">
      <c r="A450" s="168" t="e">
        <f t="shared" si="0"/>
        <v>#REF!</v>
      </c>
      <c r="B450" s="175"/>
      <c r="C450" s="175"/>
      <c r="D450" s="169"/>
      <c r="E450" s="170"/>
      <c r="F450" s="169"/>
      <c r="G450" s="176"/>
    </row>
    <row r="451" spans="1:7" ht="12.75">
      <c r="A451" s="168" t="e">
        <f t="shared" si="0"/>
        <v>#REF!</v>
      </c>
      <c r="B451" s="175"/>
      <c r="C451" s="175"/>
      <c r="D451" s="169"/>
      <c r="E451" s="170"/>
      <c r="F451" s="169"/>
      <c r="G451" s="176"/>
    </row>
    <row r="452" spans="1:7" ht="12.75">
      <c r="A452" s="168" t="e">
        <f t="shared" si="0"/>
        <v>#REF!</v>
      </c>
      <c r="B452" s="175"/>
      <c r="C452" s="175"/>
      <c r="D452" s="169"/>
      <c r="E452" s="170"/>
      <c r="F452" s="169"/>
      <c r="G452" s="176"/>
    </row>
    <row r="453" spans="1:7" ht="12.75">
      <c r="A453" s="168" t="e">
        <f t="shared" si="0"/>
        <v>#REF!</v>
      </c>
      <c r="B453" s="175"/>
      <c r="C453" s="175"/>
      <c r="D453" s="169"/>
      <c r="E453" s="170"/>
      <c r="F453" s="169"/>
      <c r="G453" s="176"/>
    </row>
    <row r="454" spans="1:7" ht="12.75">
      <c r="A454" s="168" t="e">
        <f t="shared" si="0"/>
        <v>#REF!</v>
      </c>
      <c r="B454" s="175"/>
      <c r="C454" s="175"/>
      <c r="D454" s="169"/>
      <c r="E454" s="170"/>
      <c r="F454" s="169"/>
      <c r="G454" s="176"/>
    </row>
    <row r="455" spans="1:7" ht="12.75">
      <c r="A455" s="168" t="e">
        <f t="shared" si="0"/>
        <v>#REF!</v>
      </c>
      <c r="B455" s="175"/>
      <c r="C455" s="175"/>
      <c r="D455" s="169"/>
      <c r="E455" s="170"/>
      <c r="F455" s="169"/>
      <c r="G455" s="176"/>
    </row>
    <row r="456" spans="1:7" ht="12.75">
      <c r="A456" s="168" t="e">
        <f t="shared" si="0"/>
        <v>#REF!</v>
      </c>
      <c r="B456" s="175"/>
      <c r="C456" s="175"/>
      <c r="D456" s="169"/>
      <c r="E456" s="170"/>
      <c r="F456" s="169"/>
      <c r="G456" s="176"/>
    </row>
    <row r="457" spans="1:7" ht="12.75">
      <c r="A457" s="168" t="e">
        <f t="shared" si="0"/>
        <v>#REF!</v>
      </c>
      <c r="B457" s="175"/>
      <c r="C457" s="175"/>
      <c r="D457" s="169"/>
      <c r="E457" s="170"/>
      <c r="F457" s="169"/>
      <c r="G457" s="176"/>
    </row>
    <row r="458" spans="1:7" ht="12.75">
      <c r="A458" s="168" t="e">
        <f t="shared" si="0"/>
        <v>#REF!</v>
      </c>
      <c r="B458" s="175"/>
      <c r="C458" s="175"/>
      <c r="D458" s="169"/>
      <c r="E458" s="170"/>
      <c r="F458" s="169"/>
      <c r="G458" s="176"/>
    </row>
    <row r="459" spans="1:7" ht="12.75">
      <c r="A459" s="168" t="e">
        <f t="shared" si="0"/>
        <v>#REF!</v>
      </c>
      <c r="B459" s="175"/>
      <c r="C459" s="175"/>
      <c r="D459" s="169"/>
      <c r="E459" s="170"/>
      <c r="F459" s="169"/>
      <c r="G459" s="176"/>
    </row>
    <row r="460" spans="1:7" ht="12.75">
      <c r="A460" s="168" t="e">
        <f t="shared" si="0"/>
        <v>#REF!</v>
      </c>
      <c r="B460" s="175"/>
      <c r="C460" s="175"/>
      <c r="D460" s="169"/>
      <c r="E460" s="170"/>
      <c r="F460" s="169"/>
      <c r="G460" s="176"/>
    </row>
    <row r="461" spans="1:7" ht="12.75">
      <c r="A461" s="168" t="e">
        <f t="shared" si="0"/>
        <v>#REF!</v>
      </c>
      <c r="B461" s="175"/>
      <c r="C461" s="175"/>
      <c r="D461" s="169"/>
      <c r="E461" s="170"/>
      <c r="F461" s="169"/>
      <c r="G461" s="176"/>
    </row>
    <row r="462" spans="1:7" ht="12.75">
      <c r="A462" s="168" t="e">
        <f t="shared" si="0"/>
        <v>#REF!</v>
      </c>
      <c r="B462" s="175"/>
      <c r="C462" s="175"/>
      <c r="D462" s="169"/>
      <c r="E462" s="170"/>
      <c r="F462" s="169"/>
      <c r="G462" s="176"/>
    </row>
    <row r="463" spans="1:7" ht="12.75">
      <c r="A463" s="168" t="e">
        <f t="shared" si="0"/>
        <v>#REF!</v>
      </c>
      <c r="B463" s="175"/>
      <c r="C463" s="175"/>
      <c r="D463" s="169"/>
      <c r="E463" s="170"/>
      <c r="F463" s="169"/>
      <c r="G463" s="176"/>
    </row>
    <row r="464" spans="1:7" ht="12.75">
      <c r="A464" s="168" t="e">
        <f t="shared" si="0"/>
        <v>#REF!</v>
      </c>
      <c r="B464" s="175"/>
      <c r="C464" s="175"/>
      <c r="D464" s="169"/>
      <c r="E464" s="170"/>
      <c r="F464" s="169"/>
      <c r="G464" s="176"/>
    </row>
    <row r="465" spans="1:7" ht="12.75">
      <c r="A465" s="168" t="e">
        <f t="shared" si="0"/>
        <v>#REF!</v>
      </c>
      <c r="B465" s="175"/>
      <c r="C465" s="175"/>
      <c r="D465" s="169"/>
      <c r="E465" s="170"/>
      <c r="F465" s="169"/>
      <c r="G465" s="176"/>
    </row>
    <row r="466" spans="1:7" ht="12.75">
      <c r="A466" s="168" t="e">
        <f t="shared" si="0"/>
        <v>#REF!</v>
      </c>
      <c r="B466" s="175"/>
      <c r="C466" s="175"/>
      <c r="D466" s="169"/>
      <c r="E466" s="170"/>
      <c r="F466" s="169"/>
      <c r="G466" s="176"/>
    </row>
    <row r="467" spans="1:7" ht="12.75">
      <c r="A467" s="168" t="e">
        <f t="shared" si="0"/>
        <v>#REF!</v>
      </c>
      <c r="B467" s="175"/>
      <c r="C467" s="175"/>
      <c r="D467" s="169"/>
      <c r="E467" s="170"/>
      <c r="F467" s="169"/>
      <c r="G467" s="176"/>
    </row>
    <row r="468" spans="1:7" ht="12.75">
      <c r="A468" s="168" t="e">
        <f t="shared" si="0"/>
        <v>#REF!</v>
      </c>
      <c r="B468" s="175"/>
      <c r="C468" s="175"/>
      <c r="D468" s="169"/>
      <c r="E468" s="170"/>
      <c r="F468" s="169"/>
      <c r="G468" s="176"/>
    </row>
    <row r="469" spans="1:7" ht="12.75">
      <c r="A469" s="168" t="e">
        <f t="shared" si="0"/>
        <v>#REF!</v>
      </c>
      <c r="B469" s="175"/>
      <c r="C469" s="175"/>
      <c r="D469" s="169"/>
      <c r="E469" s="170"/>
      <c r="F469" s="169"/>
      <c r="G469" s="176"/>
    </row>
    <row r="470" spans="1:7" ht="12.75">
      <c r="A470" s="168" t="e">
        <f t="shared" si="0"/>
        <v>#REF!</v>
      </c>
      <c r="B470" s="175"/>
      <c r="C470" s="175"/>
      <c r="D470" s="169"/>
      <c r="E470" s="170"/>
      <c r="F470" s="169"/>
      <c r="G470" s="176"/>
    </row>
    <row r="471" spans="1:7" ht="12.75">
      <c r="A471" s="168" t="e">
        <f t="shared" si="0"/>
        <v>#REF!</v>
      </c>
      <c r="B471" s="175"/>
      <c r="C471" s="175"/>
      <c r="D471" s="169"/>
      <c r="E471" s="170"/>
      <c r="F471" s="169"/>
      <c r="G471" s="176"/>
    </row>
    <row r="472" spans="1:7" ht="12.75">
      <c r="A472" s="168" t="e">
        <f t="shared" si="0"/>
        <v>#REF!</v>
      </c>
      <c r="B472" s="175"/>
      <c r="C472" s="175"/>
      <c r="D472" s="169"/>
      <c r="E472" s="170"/>
      <c r="F472" s="169"/>
      <c r="G472" s="176"/>
    </row>
    <row r="473" spans="1:7" ht="12.75">
      <c r="A473" s="168" t="e">
        <f t="shared" si="0"/>
        <v>#REF!</v>
      </c>
      <c r="B473" s="175"/>
      <c r="C473" s="175"/>
      <c r="D473" s="169"/>
      <c r="E473" s="170"/>
      <c r="F473" s="169"/>
      <c r="G473" s="176"/>
    </row>
    <row r="474" spans="1:7" ht="12.75">
      <c r="A474" s="168" t="e">
        <f t="shared" si="0"/>
        <v>#REF!</v>
      </c>
      <c r="B474" s="175"/>
      <c r="C474" s="175"/>
      <c r="D474" s="169"/>
      <c r="E474" s="170"/>
      <c r="F474" s="169"/>
      <c r="G474" s="176"/>
    </row>
    <row r="475" spans="1:7" ht="12.75">
      <c r="A475" s="168" t="e">
        <f t="shared" si="0"/>
        <v>#REF!</v>
      </c>
      <c r="B475" s="175"/>
      <c r="C475" s="175"/>
      <c r="D475" s="169"/>
      <c r="E475" s="170"/>
      <c r="F475" s="169"/>
      <c r="G475" s="176"/>
    </row>
    <row r="476" spans="1:7" ht="12.75">
      <c r="A476" s="168" t="e">
        <f t="shared" si="0"/>
        <v>#REF!</v>
      </c>
      <c r="B476" s="175"/>
      <c r="C476" s="175"/>
      <c r="D476" s="169"/>
      <c r="E476" s="170"/>
      <c r="F476" s="169"/>
      <c r="G476" s="176"/>
    </row>
    <row r="477" spans="1:7" ht="12.75">
      <c r="A477" s="168" t="e">
        <f t="shared" si="0"/>
        <v>#REF!</v>
      </c>
      <c r="B477" s="175"/>
      <c r="C477" s="175"/>
      <c r="D477" s="169"/>
      <c r="E477" s="170"/>
      <c r="F477" s="169"/>
      <c r="G477" s="176"/>
    </row>
    <row r="478" spans="1:7" ht="12.75">
      <c r="A478" s="168" t="e">
        <f t="shared" si="0"/>
        <v>#REF!</v>
      </c>
      <c r="B478" s="175"/>
      <c r="C478" s="175"/>
      <c r="D478" s="169"/>
      <c r="E478" s="170"/>
      <c r="F478" s="169"/>
      <c r="G478" s="176"/>
    </row>
    <row r="479" spans="1:7" ht="12.75">
      <c r="A479" s="168" t="e">
        <f t="shared" si="0"/>
        <v>#REF!</v>
      </c>
      <c r="B479" s="175"/>
      <c r="C479" s="175"/>
      <c r="D479" s="169"/>
      <c r="E479" s="170"/>
      <c r="F479" s="169"/>
      <c r="G479" s="176"/>
    </row>
    <row r="480" spans="1:7" ht="12.75">
      <c r="A480" s="168" t="e">
        <f t="shared" si="0"/>
        <v>#REF!</v>
      </c>
      <c r="B480" s="175"/>
      <c r="C480" s="175"/>
      <c r="D480" s="169"/>
      <c r="E480" s="170"/>
      <c r="F480" s="169"/>
      <c r="G480" s="176"/>
    </row>
    <row r="481" spans="1:7" ht="12.75">
      <c r="A481" s="168" t="e">
        <f t="shared" si="0"/>
        <v>#REF!</v>
      </c>
      <c r="B481" s="175"/>
      <c r="C481" s="175"/>
      <c r="D481" s="169"/>
      <c r="E481" s="170"/>
      <c r="F481" s="169"/>
      <c r="G481" s="176"/>
    </row>
    <row r="482" spans="1:7" ht="12.75">
      <c r="A482" s="168" t="e">
        <f t="shared" si="0"/>
        <v>#REF!</v>
      </c>
      <c r="B482" s="175"/>
      <c r="C482" s="175"/>
      <c r="D482" s="169"/>
      <c r="E482" s="170"/>
      <c r="F482" s="169"/>
      <c r="G482" s="176"/>
    </row>
    <row r="483" spans="1:7" ht="12.75">
      <c r="A483" s="168" t="e">
        <f t="shared" si="0"/>
        <v>#REF!</v>
      </c>
      <c r="B483" s="175"/>
      <c r="C483" s="175"/>
      <c r="D483" s="169"/>
      <c r="E483" s="170"/>
      <c r="F483" s="169"/>
      <c r="G483" s="176"/>
    </row>
    <row r="484" spans="1:7" ht="12.75">
      <c r="A484" s="168" t="e">
        <f t="shared" si="0"/>
        <v>#REF!</v>
      </c>
      <c r="B484" s="175"/>
      <c r="C484" s="175"/>
      <c r="D484" s="169"/>
      <c r="E484" s="170"/>
      <c r="F484" s="169"/>
      <c r="G484" s="176"/>
    </row>
    <row r="485" spans="1:7" ht="12.75">
      <c r="A485" s="168" t="e">
        <f t="shared" si="0"/>
        <v>#REF!</v>
      </c>
      <c r="B485" s="175"/>
      <c r="C485" s="175"/>
      <c r="D485" s="169"/>
      <c r="E485" s="170"/>
      <c r="F485" s="169"/>
      <c r="G485" s="176"/>
    </row>
    <row r="486" spans="1:7" ht="12.75">
      <c r="A486" s="168" t="e">
        <f t="shared" si="0"/>
        <v>#REF!</v>
      </c>
      <c r="B486" s="175"/>
      <c r="C486" s="175"/>
      <c r="D486" s="169"/>
      <c r="E486" s="170"/>
      <c r="F486" s="169"/>
      <c r="G486" s="176"/>
    </row>
    <row r="487" spans="1:7" ht="12.75">
      <c r="A487" s="168" t="e">
        <f t="shared" si="0"/>
        <v>#REF!</v>
      </c>
      <c r="B487" s="175"/>
      <c r="C487" s="175"/>
      <c r="D487" s="169"/>
      <c r="E487" s="170"/>
      <c r="F487" s="169"/>
      <c r="G487" s="176"/>
    </row>
    <row r="488" spans="1:7" ht="12.75">
      <c r="A488" s="168" t="e">
        <f t="shared" si="0"/>
        <v>#REF!</v>
      </c>
      <c r="B488" s="175"/>
      <c r="C488" s="175"/>
      <c r="D488" s="169"/>
      <c r="E488" s="170"/>
      <c r="F488" s="169"/>
      <c r="G488" s="176"/>
    </row>
    <row r="489" spans="1:7" ht="12.75">
      <c r="A489" s="168" t="e">
        <f t="shared" si="0"/>
        <v>#REF!</v>
      </c>
      <c r="B489" s="175"/>
      <c r="C489" s="175"/>
      <c r="D489" s="169"/>
      <c r="E489" s="170"/>
      <c r="F489" s="169"/>
      <c r="G489" s="176"/>
    </row>
    <row r="490" spans="1:7" ht="12.75">
      <c r="A490" s="168" t="e">
        <f t="shared" si="0"/>
        <v>#REF!</v>
      </c>
      <c r="B490" s="175"/>
      <c r="C490" s="175"/>
      <c r="D490" s="169"/>
      <c r="E490" s="170"/>
      <c r="F490" s="169"/>
      <c r="G490" s="176"/>
    </row>
    <row r="491" spans="1:7" ht="12.75">
      <c r="A491" s="168" t="e">
        <f t="shared" si="0"/>
        <v>#REF!</v>
      </c>
      <c r="B491" s="175"/>
      <c r="C491" s="175"/>
      <c r="D491" s="169"/>
      <c r="E491" s="170"/>
      <c r="F491" s="169"/>
      <c r="G491" s="176"/>
    </row>
    <row r="492" spans="1:7" ht="12.75">
      <c r="A492" s="168" t="e">
        <f t="shared" si="0"/>
        <v>#REF!</v>
      </c>
      <c r="B492" s="175"/>
      <c r="C492" s="175"/>
      <c r="D492" s="169"/>
      <c r="E492" s="170"/>
      <c r="F492" s="169"/>
      <c r="G492" s="176"/>
    </row>
    <row r="493" spans="1:7" ht="12.75">
      <c r="A493" s="168" t="e">
        <f t="shared" si="0"/>
        <v>#REF!</v>
      </c>
      <c r="B493" s="175"/>
      <c r="C493" s="175"/>
      <c r="D493" s="169"/>
      <c r="E493" s="170"/>
      <c r="F493" s="169"/>
      <c r="G493" s="176"/>
    </row>
    <row r="494" spans="1:7" ht="12.75">
      <c r="A494" s="168" t="e">
        <f t="shared" si="0"/>
        <v>#REF!</v>
      </c>
      <c r="B494" s="175"/>
      <c r="C494" s="175"/>
      <c r="D494" s="169"/>
      <c r="E494" s="170"/>
      <c r="F494" s="169"/>
      <c r="G494" s="176"/>
    </row>
    <row r="495" spans="1:7" ht="12.75">
      <c r="A495" s="168" t="e">
        <f t="shared" si="0"/>
        <v>#REF!</v>
      </c>
      <c r="B495" s="175"/>
      <c r="C495" s="175"/>
      <c r="D495" s="169"/>
      <c r="E495" s="170"/>
      <c r="F495" s="169"/>
      <c r="G495" s="176"/>
    </row>
    <row r="496" spans="1:7" ht="12.75">
      <c r="A496" s="168" t="e">
        <f t="shared" si="0"/>
        <v>#REF!</v>
      </c>
      <c r="B496" s="175"/>
      <c r="C496" s="175"/>
      <c r="D496" s="169"/>
      <c r="E496" s="170"/>
      <c r="F496" s="169"/>
      <c r="G496" s="176"/>
    </row>
    <row r="497" spans="1:7" ht="12.75">
      <c r="A497" s="168" t="e">
        <f t="shared" si="0"/>
        <v>#REF!</v>
      </c>
      <c r="B497" s="175"/>
      <c r="C497" s="175"/>
      <c r="D497" s="169"/>
      <c r="E497" s="170"/>
      <c r="F497" s="169"/>
      <c r="G497" s="176"/>
    </row>
    <row r="498" spans="1:7" ht="12.75">
      <c r="A498" s="168" t="e">
        <f t="shared" si="0"/>
        <v>#REF!</v>
      </c>
      <c r="B498" s="175"/>
      <c r="C498" s="175"/>
      <c r="D498" s="169"/>
      <c r="E498" s="170"/>
      <c r="F498" s="169"/>
      <c r="G498" s="176"/>
    </row>
    <row r="499" spans="1:7" ht="12.75">
      <c r="A499" s="168" t="e">
        <f t="shared" si="0"/>
        <v>#REF!</v>
      </c>
      <c r="B499" s="175"/>
      <c r="C499" s="175"/>
      <c r="D499" s="169"/>
      <c r="E499" s="170"/>
      <c r="F499" s="169"/>
      <c r="G499" s="176"/>
    </row>
    <row r="500" spans="1:7" ht="12.75">
      <c r="A500" s="168" t="e">
        <f t="shared" si="0"/>
        <v>#REF!</v>
      </c>
      <c r="B500" s="175"/>
      <c r="C500" s="175"/>
      <c r="D500" s="169"/>
      <c r="E500" s="170"/>
      <c r="F500" s="169"/>
      <c r="G500" s="176"/>
    </row>
    <row r="501" spans="1:7" ht="12.75">
      <c r="A501" s="168" t="e">
        <f t="shared" si="0"/>
        <v>#REF!</v>
      </c>
      <c r="B501" s="175"/>
      <c r="C501" s="175"/>
      <c r="D501" s="169"/>
      <c r="E501" s="170"/>
      <c r="F501" s="169"/>
      <c r="G501" s="176"/>
    </row>
    <row r="502" spans="1:7" ht="12.75">
      <c r="A502" s="168" t="e">
        <f t="shared" si="0"/>
        <v>#REF!</v>
      </c>
      <c r="B502" s="175"/>
      <c r="C502" s="175"/>
      <c r="D502" s="169"/>
      <c r="E502" s="170"/>
      <c r="F502" s="169"/>
      <c r="G502" s="176"/>
    </row>
    <row r="503" spans="1:7" ht="12.75">
      <c r="A503" s="168" t="e">
        <f t="shared" si="0"/>
        <v>#REF!</v>
      </c>
      <c r="B503" s="175"/>
      <c r="C503" s="175"/>
      <c r="D503" s="169"/>
      <c r="E503" s="170"/>
      <c r="F503" s="169"/>
      <c r="G503" s="176"/>
    </row>
    <row r="504" spans="1:7" ht="12.75">
      <c r="A504" s="168" t="e">
        <f t="shared" si="0"/>
        <v>#REF!</v>
      </c>
      <c r="B504" s="175"/>
      <c r="C504" s="175"/>
      <c r="D504" s="169"/>
      <c r="E504" s="170"/>
      <c r="F504" s="169"/>
      <c r="G504" s="176"/>
    </row>
    <row r="505" spans="1:7" ht="12.75">
      <c r="A505" s="168" t="e">
        <f t="shared" si="0"/>
        <v>#REF!</v>
      </c>
      <c r="B505" s="175"/>
      <c r="C505" s="175"/>
      <c r="D505" s="169"/>
      <c r="E505" s="170"/>
      <c r="F505" s="169"/>
      <c r="G505" s="176"/>
    </row>
    <row r="506" spans="1:7" ht="12.75">
      <c r="A506" s="168" t="e">
        <f t="shared" si="0"/>
        <v>#REF!</v>
      </c>
      <c r="B506" s="175"/>
      <c r="C506" s="175"/>
      <c r="D506" s="169"/>
      <c r="E506" s="170"/>
      <c r="F506" s="169"/>
      <c r="G506" s="176"/>
    </row>
    <row r="507" spans="1:7" ht="12.75">
      <c r="A507" s="168" t="e">
        <f t="shared" si="0"/>
        <v>#REF!</v>
      </c>
      <c r="B507" s="175"/>
      <c r="C507" s="175"/>
      <c r="D507" s="169"/>
      <c r="E507" s="170"/>
      <c r="F507" s="169"/>
      <c r="G507" s="176"/>
    </row>
    <row r="508" spans="1:7" ht="12.75">
      <c r="A508" s="168" t="e">
        <f t="shared" si="0"/>
        <v>#REF!</v>
      </c>
      <c r="B508" s="175"/>
      <c r="C508" s="175"/>
      <c r="D508" s="169"/>
      <c r="E508" s="170"/>
      <c r="F508" s="169"/>
      <c r="G508" s="176"/>
    </row>
    <row r="509" spans="1:7" ht="12.75">
      <c r="A509" s="168" t="e">
        <f t="shared" si="0"/>
        <v>#REF!</v>
      </c>
      <c r="B509" s="175"/>
      <c r="C509" s="175"/>
      <c r="D509" s="169"/>
      <c r="E509" s="170"/>
      <c r="F509" s="169"/>
      <c r="G509" s="176"/>
    </row>
    <row r="510" spans="1:7" ht="12.75">
      <c r="A510" s="168" t="e">
        <f t="shared" si="0"/>
        <v>#REF!</v>
      </c>
      <c r="B510" s="175"/>
      <c r="C510" s="175"/>
      <c r="D510" s="169"/>
      <c r="E510" s="170"/>
      <c r="F510" s="169"/>
      <c r="G510" s="176"/>
    </row>
    <row r="511" spans="1:7" ht="12.75">
      <c r="A511" s="168" t="e">
        <f t="shared" si="0"/>
        <v>#REF!</v>
      </c>
      <c r="B511" s="175"/>
      <c r="C511" s="175"/>
      <c r="D511" s="169"/>
      <c r="E511" s="170"/>
      <c r="F511" s="169"/>
      <c r="G511" s="176"/>
    </row>
    <row r="512" spans="1:7" ht="12.75">
      <c r="A512" s="168" t="e">
        <f t="shared" si="0"/>
        <v>#REF!</v>
      </c>
      <c r="B512" s="175"/>
      <c r="C512" s="175"/>
      <c r="D512" s="169"/>
      <c r="E512" s="170"/>
      <c r="F512" s="169"/>
      <c r="G512" s="176"/>
    </row>
    <row r="513" spans="1:7" ht="12.75">
      <c r="A513" s="168" t="e">
        <f t="shared" si="0"/>
        <v>#REF!</v>
      </c>
      <c r="B513" s="175"/>
      <c r="C513" s="175"/>
      <c r="D513" s="169"/>
      <c r="E513" s="170"/>
      <c r="F513" s="169"/>
      <c r="G513" s="176"/>
    </row>
    <row r="514" spans="1:7" ht="12.75">
      <c r="A514" s="168" t="e">
        <f t="shared" si="0"/>
        <v>#REF!</v>
      </c>
      <c r="B514" s="175"/>
      <c r="C514" s="175"/>
      <c r="D514" s="169"/>
      <c r="E514" s="170"/>
      <c r="F514" s="169"/>
      <c r="G514" s="176"/>
    </row>
    <row r="515" spans="1:7" ht="12.75">
      <c r="A515" s="168" t="e">
        <f t="shared" si="0"/>
        <v>#REF!</v>
      </c>
      <c r="B515" s="175"/>
      <c r="C515" s="175"/>
      <c r="D515" s="169"/>
      <c r="E515" s="170"/>
      <c r="F515" s="169"/>
      <c r="G515" s="176"/>
    </row>
    <row r="516" spans="1:7" ht="12.75">
      <c r="A516" s="168" t="e">
        <f t="shared" si="0"/>
        <v>#REF!</v>
      </c>
      <c r="B516" s="175"/>
      <c r="C516" s="175"/>
      <c r="D516" s="169"/>
      <c r="E516" s="170"/>
      <c r="F516" s="169"/>
      <c r="G516" s="176"/>
    </row>
    <row r="517" spans="1:7" ht="12.75">
      <c r="A517" s="168" t="e">
        <f t="shared" si="0"/>
        <v>#REF!</v>
      </c>
      <c r="B517" s="175"/>
      <c r="C517" s="175"/>
      <c r="D517" s="169"/>
      <c r="E517" s="170"/>
      <c r="F517" s="169"/>
      <c r="G517" s="176"/>
    </row>
    <row r="518" spans="1:7" ht="12.75">
      <c r="A518" s="168" t="e">
        <f t="shared" si="0"/>
        <v>#REF!</v>
      </c>
      <c r="B518" s="175"/>
      <c r="C518" s="175"/>
      <c r="D518" s="169"/>
      <c r="E518" s="170"/>
      <c r="F518" s="169"/>
      <c r="G518" s="176"/>
    </row>
    <row r="519" spans="1:7" ht="12.75">
      <c r="A519" s="168" t="e">
        <f t="shared" si="0"/>
        <v>#REF!</v>
      </c>
      <c r="B519" s="175"/>
      <c r="C519" s="175"/>
      <c r="D519" s="169"/>
      <c r="E519" s="170"/>
      <c r="F519" s="169"/>
      <c r="G519" s="176"/>
    </row>
    <row r="520" spans="1:7" ht="12.75">
      <c r="A520" s="168" t="e">
        <f t="shared" si="0"/>
        <v>#REF!</v>
      </c>
      <c r="B520" s="175"/>
      <c r="C520" s="175"/>
      <c r="D520" s="169"/>
      <c r="E520" s="170"/>
      <c r="F520" s="169"/>
      <c r="G520" s="176"/>
    </row>
    <row r="521" spans="1:7" ht="12.75">
      <c r="A521" s="168" t="e">
        <f t="shared" si="0"/>
        <v>#REF!</v>
      </c>
      <c r="B521" s="175"/>
      <c r="C521" s="175"/>
      <c r="D521" s="169"/>
      <c r="E521" s="170"/>
      <c r="F521" s="169"/>
      <c r="G521" s="176"/>
    </row>
    <row r="522" spans="1:7" ht="12.75">
      <c r="A522" s="168" t="e">
        <f t="shared" si="0"/>
        <v>#REF!</v>
      </c>
      <c r="B522" s="175"/>
      <c r="C522" s="175"/>
      <c r="D522" s="169"/>
      <c r="E522" s="170"/>
      <c r="F522" s="169"/>
      <c r="G522" s="176"/>
    </row>
    <row r="523" spans="1:7" ht="12.75">
      <c r="A523" s="168" t="e">
        <f t="shared" si="0"/>
        <v>#REF!</v>
      </c>
      <c r="B523" s="175"/>
      <c r="C523" s="175"/>
      <c r="D523" s="169"/>
      <c r="E523" s="170"/>
      <c r="F523" s="169"/>
      <c r="G523" s="176"/>
    </row>
    <row r="524" spans="1:7" ht="12.75">
      <c r="A524" s="168" t="e">
        <f t="shared" si="0"/>
        <v>#REF!</v>
      </c>
      <c r="B524" s="175"/>
      <c r="C524" s="175"/>
      <c r="D524" s="169"/>
      <c r="E524" s="170"/>
      <c r="F524" s="169"/>
      <c r="G524" s="176"/>
    </row>
    <row r="525" spans="1:7" ht="12.75">
      <c r="A525" s="168" t="e">
        <f t="shared" si="0"/>
        <v>#REF!</v>
      </c>
      <c r="B525" s="175"/>
      <c r="C525" s="175"/>
      <c r="D525" s="169"/>
      <c r="E525" s="170"/>
      <c r="F525" s="169"/>
      <c r="G525" s="176"/>
    </row>
    <row r="526" spans="1:7" ht="12.75">
      <c r="A526" s="168" t="e">
        <f t="shared" si="0"/>
        <v>#REF!</v>
      </c>
      <c r="B526" s="175"/>
      <c r="C526" s="175"/>
      <c r="D526" s="169"/>
      <c r="E526" s="170"/>
      <c r="F526" s="169"/>
      <c r="G526" s="176"/>
    </row>
    <row r="527" spans="1:7" ht="12.75">
      <c r="A527" s="168" t="e">
        <f t="shared" si="0"/>
        <v>#REF!</v>
      </c>
      <c r="B527" s="175"/>
      <c r="C527" s="175"/>
      <c r="D527" s="169"/>
      <c r="E527" s="170"/>
      <c r="F527" s="169"/>
      <c r="G527" s="176"/>
    </row>
    <row r="528" spans="1:7" ht="12.75">
      <c r="A528" s="168" t="e">
        <f t="shared" si="0"/>
        <v>#REF!</v>
      </c>
      <c r="B528" s="175"/>
      <c r="C528" s="175"/>
      <c r="D528" s="169"/>
      <c r="E528" s="170"/>
      <c r="F528" s="169"/>
      <c r="G528" s="176"/>
    </row>
    <row r="529" spans="1:7" ht="12.75">
      <c r="A529" s="168" t="e">
        <f t="shared" si="0"/>
        <v>#REF!</v>
      </c>
      <c r="B529" s="175"/>
      <c r="C529" s="175"/>
      <c r="D529" s="169"/>
      <c r="E529" s="170"/>
      <c r="F529" s="169"/>
      <c r="G529" s="176"/>
    </row>
    <row r="530" spans="1:7" ht="12.75">
      <c r="A530" s="168" t="e">
        <f t="shared" si="0"/>
        <v>#REF!</v>
      </c>
      <c r="B530" s="175"/>
      <c r="C530" s="175"/>
      <c r="D530" s="169"/>
      <c r="E530" s="170"/>
      <c r="F530" s="169"/>
      <c r="G530" s="176"/>
    </row>
    <row r="531" spans="1:7" ht="12.75">
      <c r="A531" s="168" t="e">
        <f t="shared" si="0"/>
        <v>#REF!</v>
      </c>
      <c r="B531" s="175"/>
      <c r="C531" s="175"/>
      <c r="D531" s="169"/>
      <c r="E531" s="170"/>
      <c r="F531" s="169"/>
      <c r="G531" s="176"/>
    </row>
    <row r="532" spans="1:7" ht="12.75">
      <c r="A532" s="168" t="e">
        <f t="shared" si="0"/>
        <v>#REF!</v>
      </c>
      <c r="B532" s="175"/>
      <c r="C532" s="175"/>
      <c r="D532" s="169"/>
      <c r="E532" s="170"/>
      <c r="F532" s="169"/>
      <c r="G532" s="176"/>
    </row>
    <row r="533" spans="1:7" ht="12.75">
      <c r="A533" s="168" t="e">
        <f t="shared" si="0"/>
        <v>#REF!</v>
      </c>
      <c r="B533" s="175"/>
      <c r="C533" s="175"/>
      <c r="D533" s="169"/>
      <c r="E533" s="170"/>
      <c r="F533" s="169"/>
      <c r="G533" s="176"/>
    </row>
    <row r="534" spans="1:7" ht="12.75">
      <c r="A534" s="168" t="e">
        <f t="shared" si="0"/>
        <v>#REF!</v>
      </c>
      <c r="B534" s="175"/>
      <c r="C534" s="175"/>
      <c r="D534" s="169"/>
      <c r="E534" s="170"/>
      <c r="F534" s="169"/>
      <c r="G534" s="176"/>
    </row>
    <row r="535" spans="1:7" ht="12.75">
      <c r="A535" s="168" t="e">
        <f t="shared" si="0"/>
        <v>#REF!</v>
      </c>
      <c r="B535" s="175"/>
      <c r="C535" s="175"/>
      <c r="D535" s="169"/>
      <c r="E535" s="170"/>
      <c r="F535" s="169"/>
      <c r="G535" s="176"/>
    </row>
    <row r="536" spans="1:7" ht="12.75">
      <c r="A536" s="168" t="e">
        <f t="shared" si="0"/>
        <v>#REF!</v>
      </c>
      <c r="B536" s="175"/>
      <c r="C536" s="175"/>
      <c r="D536" s="169"/>
      <c r="E536" s="170"/>
      <c r="F536" s="169"/>
      <c r="G536" s="176"/>
    </row>
    <row r="537" spans="1:7" ht="12.75">
      <c r="A537" s="168" t="e">
        <f t="shared" si="0"/>
        <v>#REF!</v>
      </c>
      <c r="B537" s="175"/>
      <c r="C537" s="175"/>
      <c r="D537" s="169"/>
      <c r="E537" s="170"/>
      <c r="F537" s="169"/>
      <c r="G537" s="176"/>
    </row>
    <row r="538" spans="1:7" ht="12.75">
      <c r="A538" s="168" t="e">
        <f t="shared" si="0"/>
        <v>#REF!</v>
      </c>
      <c r="B538" s="175"/>
      <c r="C538" s="175"/>
      <c r="D538" s="169"/>
      <c r="E538" s="170"/>
      <c r="F538" s="169"/>
      <c r="G538" s="176"/>
    </row>
    <row r="539" spans="1:7" ht="12.75">
      <c r="A539" s="168" t="e">
        <f t="shared" si="0"/>
        <v>#REF!</v>
      </c>
      <c r="B539" s="175"/>
      <c r="C539" s="175"/>
      <c r="D539" s="169"/>
      <c r="E539" s="170"/>
      <c r="F539" s="169"/>
      <c r="G539" s="176"/>
    </row>
    <row r="540" spans="1:7" ht="12.75">
      <c r="A540" s="168" t="e">
        <f t="shared" si="0"/>
        <v>#REF!</v>
      </c>
      <c r="B540" s="175"/>
      <c r="C540" s="175"/>
      <c r="D540" s="169"/>
      <c r="E540" s="170"/>
      <c r="F540" s="169"/>
      <c r="G540" s="176"/>
    </row>
    <row r="541" spans="1:7" ht="12.75">
      <c r="A541" s="168" t="e">
        <f t="shared" si="0"/>
        <v>#REF!</v>
      </c>
      <c r="B541" s="175"/>
      <c r="C541" s="175"/>
      <c r="D541" s="169"/>
      <c r="E541" s="170"/>
      <c r="F541" s="169"/>
      <c r="G541" s="176"/>
    </row>
    <row r="542" spans="1:7" ht="12.75">
      <c r="A542" s="168" t="e">
        <f t="shared" si="0"/>
        <v>#REF!</v>
      </c>
      <c r="B542" s="175"/>
      <c r="C542" s="175"/>
      <c r="D542" s="169"/>
      <c r="E542" s="170"/>
      <c r="F542" s="169"/>
      <c r="G542" s="176"/>
    </row>
    <row r="543" spans="1:7" ht="12.75">
      <c r="A543" s="168" t="e">
        <f t="shared" si="0"/>
        <v>#REF!</v>
      </c>
      <c r="B543" s="175"/>
      <c r="C543" s="175"/>
      <c r="D543" s="169"/>
      <c r="E543" s="170"/>
      <c r="F543" s="169"/>
      <c r="G543" s="176"/>
    </row>
    <row r="544" spans="1:7" ht="12.75">
      <c r="A544" s="168" t="e">
        <f t="shared" si="0"/>
        <v>#REF!</v>
      </c>
      <c r="B544" s="175"/>
      <c r="C544" s="175"/>
      <c r="D544" s="169"/>
      <c r="E544" s="170"/>
      <c r="F544" s="169"/>
      <c r="G544" s="176"/>
    </row>
    <row r="545" spans="1:7" ht="12.75">
      <c r="A545" s="168" t="e">
        <f t="shared" si="0"/>
        <v>#REF!</v>
      </c>
      <c r="B545" s="175"/>
      <c r="C545" s="175"/>
      <c r="D545" s="169"/>
      <c r="E545" s="170"/>
      <c r="F545" s="169"/>
      <c r="G545" s="176"/>
    </row>
    <row r="546" spans="1:7" ht="12.75">
      <c r="A546" s="168" t="e">
        <f t="shared" si="0"/>
        <v>#REF!</v>
      </c>
      <c r="B546" s="175"/>
      <c r="C546" s="175"/>
      <c r="D546" s="169"/>
      <c r="E546" s="170"/>
      <c r="F546" s="169"/>
      <c r="G546" s="176"/>
    </row>
    <row r="547" spans="1:7" ht="12.75">
      <c r="A547" s="168" t="e">
        <f t="shared" si="0"/>
        <v>#REF!</v>
      </c>
      <c r="B547" s="175"/>
      <c r="C547" s="175"/>
      <c r="D547" s="169"/>
      <c r="E547" s="170"/>
      <c r="F547" s="169"/>
      <c r="G547" s="176"/>
    </row>
    <row r="548" spans="1:7" ht="12.75">
      <c r="A548" s="168" t="e">
        <f t="shared" si="0"/>
        <v>#REF!</v>
      </c>
      <c r="B548" s="175"/>
      <c r="C548" s="175"/>
      <c r="D548" s="169"/>
      <c r="E548" s="170"/>
      <c r="F548" s="169"/>
      <c r="G548" s="176"/>
    </row>
    <row r="549" spans="1:7" ht="12.75">
      <c r="A549" s="168" t="e">
        <f t="shared" si="0"/>
        <v>#REF!</v>
      </c>
      <c r="B549" s="175"/>
      <c r="C549" s="175"/>
      <c r="D549" s="169"/>
      <c r="E549" s="170"/>
      <c r="F549" s="169"/>
      <c r="G549" s="176"/>
    </row>
    <row r="550" spans="1:7" ht="12.75">
      <c r="A550" s="168" t="e">
        <f t="shared" si="0"/>
        <v>#REF!</v>
      </c>
      <c r="B550" s="175"/>
      <c r="C550" s="175"/>
      <c r="D550" s="169"/>
      <c r="E550" s="170"/>
      <c r="F550" s="169"/>
      <c r="G550" s="176"/>
    </row>
    <row r="551" spans="1:7" ht="12.75">
      <c r="A551" s="168" t="e">
        <f t="shared" si="0"/>
        <v>#REF!</v>
      </c>
      <c r="B551" s="175"/>
      <c r="C551" s="175"/>
      <c r="D551" s="169"/>
      <c r="E551" s="170"/>
      <c r="F551" s="169"/>
      <c r="G551" s="176"/>
    </row>
    <row r="552" spans="1:7" ht="12.75">
      <c r="A552" s="168" t="e">
        <f t="shared" si="0"/>
        <v>#REF!</v>
      </c>
      <c r="B552" s="175"/>
      <c r="C552" s="175"/>
      <c r="D552" s="169"/>
      <c r="E552" s="170"/>
      <c r="F552" s="169"/>
      <c r="G552" s="176"/>
    </row>
    <row r="553" spans="1:7" ht="12.75">
      <c r="A553" s="168" t="e">
        <f t="shared" si="0"/>
        <v>#REF!</v>
      </c>
      <c r="B553" s="175"/>
      <c r="C553" s="175"/>
      <c r="D553" s="169"/>
      <c r="E553" s="170"/>
      <c r="F553" s="169"/>
      <c r="G553" s="176"/>
    </row>
    <row r="554" spans="1:7" ht="12.75">
      <c r="A554" s="168" t="e">
        <f t="shared" si="0"/>
        <v>#REF!</v>
      </c>
      <c r="B554" s="175"/>
      <c r="C554" s="175"/>
      <c r="D554" s="169"/>
      <c r="E554" s="170"/>
      <c r="F554" s="169"/>
      <c r="G554" s="176"/>
    </row>
    <row r="555" spans="1:7" ht="12.75">
      <c r="A555" s="168" t="e">
        <f t="shared" si="0"/>
        <v>#REF!</v>
      </c>
      <c r="B555" s="175"/>
      <c r="C555" s="175"/>
      <c r="D555" s="169"/>
      <c r="E555" s="170"/>
      <c r="F555" s="169"/>
      <c r="G555" s="176"/>
    </row>
    <row r="556" spans="1:7" ht="12.75">
      <c r="A556" s="168" t="e">
        <f t="shared" si="0"/>
        <v>#REF!</v>
      </c>
      <c r="B556" s="175"/>
      <c r="C556" s="175"/>
      <c r="D556" s="169"/>
      <c r="E556" s="170"/>
      <c r="F556" s="169"/>
      <c r="G556" s="176"/>
    </row>
    <row r="557" spans="1:7" ht="12.75">
      <c r="A557" s="168" t="e">
        <f t="shared" si="0"/>
        <v>#REF!</v>
      </c>
      <c r="B557" s="175"/>
      <c r="C557" s="175"/>
      <c r="D557" s="169"/>
      <c r="E557" s="170"/>
      <c r="F557" s="169"/>
      <c r="G557" s="176"/>
    </row>
    <row r="558" spans="1:7" ht="12.75">
      <c r="A558" s="168" t="e">
        <f t="shared" si="0"/>
        <v>#REF!</v>
      </c>
      <c r="B558" s="175"/>
      <c r="C558" s="175"/>
      <c r="D558" s="169"/>
      <c r="E558" s="170"/>
      <c r="F558" s="169"/>
      <c r="G558" s="176"/>
    </row>
    <row r="559" spans="1:7" ht="12.75">
      <c r="A559" s="168" t="e">
        <f t="shared" si="0"/>
        <v>#REF!</v>
      </c>
      <c r="B559" s="175"/>
      <c r="C559" s="175"/>
      <c r="D559" s="169"/>
      <c r="E559" s="170"/>
      <c r="F559" s="169"/>
      <c r="G559" s="176"/>
    </row>
    <row r="560" spans="1:7" ht="12.75">
      <c r="A560" s="168" t="e">
        <f t="shared" si="0"/>
        <v>#REF!</v>
      </c>
      <c r="B560" s="175"/>
      <c r="C560" s="175"/>
      <c r="D560" s="169"/>
      <c r="E560" s="170"/>
      <c r="F560" s="169"/>
      <c r="G560" s="176"/>
    </row>
    <row r="561" spans="1:7" ht="12.75">
      <c r="A561" s="168" t="e">
        <f t="shared" si="0"/>
        <v>#REF!</v>
      </c>
      <c r="B561" s="175"/>
      <c r="C561" s="175"/>
      <c r="D561" s="169"/>
      <c r="E561" s="170"/>
      <c r="F561" s="169"/>
      <c r="G561" s="176"/>
    </row>
    <row r="562" spans="1:7" ht="12.75">
      <c r="A562" s="168" t="e">
        <f t="shared" si="0"/>
        <v>#REF!</v>
      </c>
      <c r="B562" s="175"/>
      <c r="C562" s="175"/>
      <c r="D562" s="169"/>
      <c r="E562" s="170"/>
      <c r="F562" s="169"/>
      <c r="G562" s="176"/>
    </row>
    <row r="563" spans="1:7" ht="12.75">
      <c r="A563" s="168" t="e">
        <f t="shared" si="0"/>
        <v>#REF!</v>
      </c>
      <c r="B563" s="175"/>
      <c r="C563" s="175"/>
      <c r="D563" s="169"/>
      <c r="E563" s="170"/>
      <c r="F563" s="169"/>
      <c r="G563" s="176"/>
    </row>
    <row r="564" spans="1:7" ht="12.75">
      <c r="A564" s="168" t="e">
        <f t="shared" si="0"/>
        <v>#REF!</v>
      </c>
      <c r="B564" s="175"/>
      <c r="C564" s="175"/>
      <c r="D564" s="169"/>
      <c r="E564" s="170"/>
      <c r="F564" s="169"/>
      <c r="G564" s="176"/>
    </row>
    <row r="565" spans="1:7" ht="12.75">
      <c r="A565" s="168" t="e">
        <f t="shared" si="0"/>
        <v>#REF!</v>
      </c>
      <c r="B565" s="175"/>
      <c r="C565" s="175"/>
      <c r="D565" s="169"/>
      <c r="E565" s="170"/>
      <c r="F565" s="169"/>
      <c r="G565" s="176"/>
    </row>
    <row r="566" spans="1:7" ht="12.75">
      <c r="A566" s="168" t="e">
        <f t="shared" si="0"/>
        <v>#REF!</v>
      </c>
      <c r="B566" s="175"/>
      <c r="C566" s="175"/>
      <c r="D566" s="169"/>
      <c r="E566" s="170"/>
      <c r="F566" s="169"/>
      <c r="G566" s="176"/>
    </row>
    <row r="567" spans="1:7" ht="12.75">
      <c r="A567" s="168" t="e">
        <f t="shared" si="0"/>
        <v>#REF!</v>
      </c>
      <c r="B567" s="175"/>
      <c r="C567" s="175"/>
      <c r="D567" s="169"/>
      <c r="E567" s="170"/>
      <c r="F567" s="169"/>
      <c r="G567" s="176"/>
    </row>
    <row r="568" spans="1:7" ht="12.75">
      <c r="A568" s="168" t="e">
        <f t="shared" si="0"/>
        <v>#REF!</v>
      </c>
      <c r="B568" s="175"/>
      <c r="C568" s="175"/>
      <c r="D568" s="169"/>
      <c r="E568" s="170"/>
      <c r="F568" s="169"/>
      <c r="G568" s="176"/>
    </row>
    <row r="569" spans="1:7" ht="12.75">
      <c r="A569" s="168" t="e">
        <f t="shared" si="0"/>
        <v>#REF!</v>
      </c>
      <c r="B569" s="175"/>
      <c r="C569" s="175"/>
      <c r="D569" s="169"/>
      <c r="E569" s="170"/>
      <c r="F569" s="169"/>
      <c r="G569" s="176"/>
    </row>
    <row r="570" spans="1:7" ht="12.75">
      <c r="A570" s="168" t="e">
        <f t="shared" si="0"/>
        <v>#REF!</v>
      </c>
      <c r="B570" s="175"/>
      <c r="C570" s="175"/>
      <c r="D570" s="169"/>
      <c r="E570" s="170"/>
      <c r="F570" s="169"/>
      <c r="G570" s="176"/>
    </row>
    <row r="571" spans="1:7" ht="12.75">
      <c r="A571" s="168" t="e">
        <f t="shared" si="0"/>
        <v>#REF!</v>
      </c>
      <c r="B571" s="175"/>
      <c r="C571" s="175"/>
      <c r="D571" s="169"/>
      <c r="E571" s="170"/>
      <c r="F571" s="169"/>
      <c r="G571" s="176"/>
    </row>
    <row r="572" spans="1:7" ht="12.75">
      <c r="A572" s="168" t="e">
        <f t="shared" si="0"/>
        <v>#REF!</v>
      </c>
      <c r="B572" s="175"/>
      <c r="C572" s="175"/>
      <c r="D572" s="169"/>
      <c r="E572" s="170"/>
      <c r="F572" s="169"/>
      <c r="G572" s="176"/>
    </row>
    <row r="573" spans="1:7" ht="12.75">
      <c r="A573" s="168" t="e">
        <f t="shared" si="0"/>
        <v>#REF!</v>
      </c>
      <c r="B573" s="175"/>
      <c r="C573" s="175"/>
      <c r="D573" s="169"/>
      <c r="E573" s="170"/>
      <c r="F573" s="169"/>
      <c r="G573" s="176"/>
    </row>
    <row r="574" spans="1:7" ht="12.75">
      <c r="A574" s="168" t="e">
        <f t="shared" si="0"/>
        <v>#REF!</v>
      </c>
      <c r="B574" s="175"/>
      <c r="C574" s="175"/>
      <c r="D574" s="169"/>
      <c r="E574" s="170"/>
      <c r="F574" s="169"/>
      <c r="G574" s="176"/>
    </row>
    <row r="575" spans="1:7" ht="12.75">
      <c r="A575" s="168" t="e">
        <f t="shared" si="0"/>
        <v>#REF!</v>
      </c>
      <c r="B575" s="175"/>
      <c r="C575" s="175"/>
      <c r="D575" s="169"/>
      <c r="E575" s="170"/>
      <c r="F575" s="169"/>
      <c r="G575" s="176"/>
    </row>
    <row r="576" spans="1:7" ht="12.75">
      <c r="A576" s="168" t="e">
        <f t="shared" si="0"/>
        <v>#REF!</v>
      </c>
      <c r="B576" s="175"/>
      <c r="C576" s="175"/>
      <c r="D576" s="169"/>
      <c r="E576" s="170"/>
      <c r="F576" s="169"/>
      <c r="G576" s="176"/>
    </row>
    <row r="577" spans="1:7" ht="12.75">
      <c r="A577" s="168" t="e">
        <f t="shared" si="0"/>
        <v>#REF!</v>
      </c>
      <c r="B577" s="175"/>
      <c r="C577" s="175"/>
      <c r="D577" s="169"/>
      <c r="E577" s="170"/>
      <c r="F577" s="169"/>
      <c r="G577" s="176"/>
    </row>
    <row r="578" spans="1:7" ht="12.75">
      <c r="A578" s="168" t="e">
        <f t="shared" si="0"/>
        <v>#REF!</v>
      </c>
      <c r="B578" s="175"/>
      <c r="C578" s="175"/>
      <c r="D578" s="169"/>
      <c r="E578" s="170"/>
      <c r="F578" s="169"/>
      <c r="G578" s="176"/>
    </row>
    <row r="579" spans="1:7" ht="12.75">
      <c r="A579" s="168" t="e">
        <f t="shared" si="0"/>
        <v>#REF!</v>
      </c>
      <c r="B579" s="175"/>
      <c r="C579" s="175"/>
      <c r="D579" s="169"/>
      <c r="E579" s="170"/>
      <c r="F579" s="169"/>
      <c r="G579" s="176"/>
    </row>
    <row r="580" spans="1:7" ht="12.75">
      <c r="A580" s="168" t="e">
        <f t="shared" si="0"/>
        <v>#REF!</v>
      </c>
      <c r="B580" s="175"/>
      <c r="C580" s="175"/>
      <c r="D580" s="169"/>
      <c r="E580" s="170"/>
      <c r="F580" s="169"/>
      <c r="G580" s="176"/>
    </row>
    <row r="581" spans="1:7" ht="12.75">
      <c r="A581" s="168" t="e">
        <f t="shared" si="0"/>
        <v>#REF!</v>
      </c>
      <c r="B581" s="175"/>
      <c r="C581" s="175"/>
      <c r="D581" s="169"/>
      <c r="E581" s="170"/>
      <c r="F581" s="169"/>
      <c r="G581" s="176"/>
    </row>
    <row r="582" spans="1:7" ht="12.75">
      <c r="A582" s="168" t="e">
        <f t="shared" si="0"/>
        <v>#REF!</v>
      </c>
      <c r="B582" s="175"/>
      <c r="C582" s="175"/>
      <c r="D582" s="169"/>
      <c r="E582" s="170"/>
      <c r="F582" s="169"/>
      <c r="G582" s="176"/>
    </row>
    <row r="583" spans="1:7" ht="12.75">
      <c r="A583" s="168" t="e">
        <f t="shared" si="0"/>
        <v>#REF!</v>
      </c>
      <c r="B583" s="175"/>
      <c r="C583" s="175"/>
      <c r="D583" s="169"/>
      <c r="E583" s="170"/>
      <c r="F583" s="169"/>
      <c r="G583" s="176"/>
    </row>
    <row r="584" spans="1:7" ht="12.75">
      <c r="A584" s="168" t="e">
        <f t="shared" si="0"/>
        <v>#REF!</v>
      </c>
      <c r="B584" s="175"/>
      <c r="C584" s="175"/>
      <c r="D584" s="169"/>
      <c r="E584" s="170"/>
      <c r="F584" s="169"/>
      <c r="G584" s="176"/>
    </row>
    <row r="585" spans="1:7" ht="12.75">
      <c r="A585" s="168" t="e">
        <f t="shared" si="0"/>
        <v>#REF!</v>
      </c>
      <c r="B585" s="175"/>
      <c r="C585" s="175"/>
      <c r="D585" s="169"/>
      <c r="E585" s="170"/>
      <c r="F585" s="169"/>
      <c r="G585" s="176"/>
    </row>
    <row r="586" spans="1:7" ht="12.75">
      <c r="A586" s="168" t="e">
        <f t="shared" si="0"/>
        <v>#REF!</v>
      </c>
      <c r="B586" s="175"/>
      <c r="C586" s="175"/>
      <c r="D586" s="169"/>
      <c r="E586" s="170"/>
      <c r="F586" s="169"/>
      <c r="G586" s="176"/>
    </row>
    <row r="587" spans="1:7" ht="12.75">
      <c r="A587" s="168" t="e">
        <f t="shared" si="0"/>
        <v>#REF!</v>
      </c>
      <c r="B587" s="175"/>
      <c r="C587" s="175"/>
      <c r="D587" s="169"/>
      <c r="E587" s="170"/>
      <c r="F587" s="169"/>
      <c r="G587" s="176"/>
    </row>
    <row r="588" spans="1:7" ht="12.75">
      <c r="A588" s="168" t="e">
        <f t="shared" si="0"/>
        <v>#REF!</v>
      </c>
      <c r="B588" s="175"/>
      <c r="C588" s="175"/>
      <c r="D588" s="169"/>
      <c r="E588" s="170"/>
      <c r="F588" s="169"/>
      <c r="G588" s="176"/>
    </row>
    <row r="589" spans="1:7" ht="12.75">
      <c r="A589" s="168" t="e">
        <f t="shared" si="0"/>
        <v>#REF!</v>
      </c>
      <c r="B589" s="175"/>
      <c r="C589" s="175"/>
      <c r="D589" s="169"/>
      <c r="E589" s="170"/>
      <c r="F589" s="169"/>
      <c r="G589" s="176"/>
    </row>
    <row r="590" spans="1:7" ht="12.75">
      <c r="A590" s="168" t="e">
        <f t="shared" si="0"/>
        <v>#REF!</v>
      </c>
      <c r="B590" s="175"/>
      <c r="C590" s="175"/>
      <c r="D590" s="169"/>
      <c r="E590" s="170"/>
      <c r="F590" s="169"/>
      <c r="G590" s="176"/>
    </row>
    <row r="591" spans="1:7" ht="12.75">
      <c r="A591" s="168" t="e">
        <f t="shared" si="0"/>
        <v>#REF!</v>
      </c>
      <c r="B591" s="175"/>
      <c r="C591" s="175"/>
      <c r="D591" s="169"/>
      <c r="E591" s="170"/>
      <c r="F591" s="169"/>
      <c r="G591" s="176"/>
    </row>
    <row r="592" spans="1:7" ht="12.75">
      <c r="A592" s="168" t="e">
        <f t="shared" si="0"/>
        <v>#REF!</v>
      </c>
      <c r="B592" s="175"/>
      <c r="C592" s="175"/>
      <c r="D592" s="169"/>
      <c r="E592" s="170"/>
      <c r="F592" s="169"/>
      <c r="G592" s="176"/>
    </row>
    <row r="593" spans="1:7" ht="12.75">
      <c r="A593" s="168" t="e">
        <f t="shared" si="0"/>
        <v>#REF!</v>
      </c>
      <c r="B593" s="175"/>
      <c r="C593" s="175"/>
      <c r="D593" s="169"/>
      <c r="E593" s="170"/>
      <c r="F593" s="169"/>
      <c r="G593" s="176"/>
    </row>
    <row r="594" spans="1:7" ht="12.75">
      <c r="A594" s="168" t="e">
        <f t="shared" si="0"/>
        <v>#REF!</v>
      </c>
      <c r="B594" s="175"/>
      <c r="C594" s="175"/>
      <c r="D594" s="169"/>
      <c r="E594" s="170"/>
      <c r="F594" s="169"/>
      <c r="G594" s="176"/>
    </row>
    <row r="595" spans="1:7" ht="12.75">
      <c r="A595" s="168" t="e">
        <f t="shared" si="0"/>
        <v>#REF!</v>
      </c>
      <c r="B595" s="175"/>
      <c r="C595" s="175"/>
      <c r="D595" s="169"/>
      <c r="E595" s="170"/>
      <c r="F595" s="169"/>
      <c r="G595" s="176"/>
    </row>
    <row r="596" spans="1:7" ht="12.75">
      <c r="A596" s="168" t="e">
        <f t="shared" si="0"/>
        <v>#REF!</v>
      </c>
      <c r="B596" s="175"/>
      <c r="C596" s="175"/>
      <c r="D596" s="169"/>
      <c r="E596" s="170"/>
      <c r="F596" s="169"/>
      <c r="G596" s="176"/>
    </row>
    <row r="597" spans="1:7" ht="12.75">
      <c r="A597" s="168" t="e">
        <f t="shared" si="0"/>
        <v>#REF!</v>
      </c>
      <c r="B597" s="175"/>
      <c r="C597" s="175"/>
      <c r="D597" s="169"/>
      <c r="E597" s="170"/>
      <c r="F597" s="169"/>
      <c r="G597" s="176"/>
    </row>
    <row r="598" spans="1:7" ht="12.75">
      <c r="A598" s="168" t="e">
        <f t="shared" si="0"/>
        <v>#REF!</v>
      </c>
      <c r="B598" s="175"/>
      <c r="C598" s="175"/>
      <c r="D598" s="169"/>
      <c r="E598" s="170"/>
      <c r="F598" s="169"/>
      <c r="G598" s="176"/>
    </row>
    <row r="599" spans="1:7" ht="12.75">
      <c r="A599" s="168" t="e">
        <f t="shared" si="0"/>
        <v>#REF!</v>
      </c>
      <c r="B599" s="175"/>
      <c r="C599" s="175"/>
      <c r="D599" s="169"/>
      <c r="E599" s="170"/>
      <c r="F599" s="169"/>
      <c r="G599" s="176"/>
    </row>
    <row r="600" spans="1:7" ht="12.75">
      <c r="A600" s="168" t="e">
        <f t="shared" si="0"/>
        <v>#REF!</v>
      </c>
      <c r="B600" s="175"/>
      <c r="C600" s="175"/>
      <c r="D600" s="169"/>
      <c r="E600" s="170"/>
      <c r="F600" s="169"/>
      <c r="G600" s="176"/>
    </row>
    <row r="601" spans="1:7" ht="12.75">
      <c r="A601" s="168" t="e">
        <f t="shared" si="0"/>
        <v>#REF!</v>
      </c>
      <c r="B601" s="175"/>
      <c r="C601" s="175"/>
      <c r="D601" s="169"/>
      <c r="E601" s="170"/>
      <c r="F601" s="169"/>
      <c r="G601" s="176"/>
    </row>
    <row r="602" spans="1:7" ht="12.75">
      <c r="A602" s="168" t="e">
        <f t="shared" si="0"/>
        <v>#REF!</v>
      </c>
      <c r="B602" s="175"/>
      <c r="C602" s="175"/>
      <c r="D602" s="169"/>
      <c r="E602" s="170"/>
      <c r="F602" s="169"/>
      <c r="G602" s="176"/>
    </row>
    <row r="603" spans="1:7" ht="12.75">
      <c r="A603" s="168" t="e">
        <f t="shared" si="0"/>
        <v>#REF!</v>
      </c>
      <c r="B603" s="175"/>
      <c r="C603" s="175"/>
      <c r="D603" s="169"/>
      <c r="E603" s="170"/>
      <c r="F603" s="169"/>
      <c r="G603" s="176"/>
    </row>
    <row r="604" spans="1:7" ht="12.75">
      <c r="A604" s="168" t="e">
        <f t="shared" si="0"/>
        <v>#REF!</v>
      </c>
      <c r="B604" s="175"/>
      <c r="C604" s="175"/>
      <c r="D604" s="169"/>
      <c r="E604" s="170"/>
      <c r="F604" s="169"/>
      <c r="G604" s="176"/>
    </row>
    <row r="605" spans="1:7" ht="12.75">
      <c r="A605" s="168" t="e">
        <f t="shared" si="0"/>
        <v>#REF!</v>
      </c>
      <c r="B605" s="175"/>
      <c r="C605" s="175"/>
      <c r="D605" s="169"/>
      <c r="E605" s="170"/>
      <c r="F605" s="169"/>
      <c r="G605" s="176"/>
    </row>
    <row r="606" spans="1:7" ht="12.75">
      <c r="A606" s="168" t="e">
        <f t="shared" si="0"/>
        <v>#REF!</v>
      </c>
      <c r="B606" s="175"/>
      <c r="C606" s="175"/>
      <c r="D606" s="169"/>
      <c r="E606" s="170"/>
      <c r="F606" s="169"/>
      <c r="G606" s="176"/>
    </row>
    <row r="607" spans="1:7" ht="12.75">
      <c r="A607" s="168" t="e">
        <f t="shared" si="0"/>
        <v>#REF!</v>
      </c>
      <c r="B607" s="175"/>
      <c r="C607" s="175"/>
      <c r="D607" s="169"/>
      <c r="E607" s="170"/>
      <c r="F607" s="169"/>
      <c r="G607" s="176"/>
    </row>
    <row r="608" spans="1:7" ht="12.75">
      <c r="A608" s="168" t="e">
        <f t="shared" si="0"/>
        <v>#REF!</v>
      </c>
      <c r="B608" s="175"/>
      <c r="C608" s="175"/>
      <c r="D608" s="169"/>
      <c r="E608" s="170"/>
      <c r="F608" s="169"/>
      <c r="G608" s="176"/>
    </row>
    <row r="609" spans="1:7" ht="12.75">
      <c r="A609" s="168" t="e">
        <f t="shared" si="0"/>
        <v>#REF!</v>
      </c>
      <c r="B609" s="175"/>
      <c r="C609" s="175"/>
      <c r="D609" s="169"/>
      <c r="E609" s="170"/>
      <c r="F609" s="169"/>
      <c r="G609" s="176"/>
    </row>
    <row r="610" spans="1:7" ht="12.75">
      <c r="A610" s="168" t="e">
        <f t="shared" si="0"/>
        <v>#REF!</v>
      </c>
      <c r="B610" s="175"/>
      <c r="C610" s="175"/>
      <c r="D610" s="169"/>
      <c r="E610" s="170"/>
      <c r="F610" s="169"/>
      <c r="G610" s="176"/>
    </row>
    <row r="611" spans="1:7" ht="12.75">
      <c r="A611" s="168" t="e">
        <f t="shared" si="0"/>
        <v>#REF!</v>
      </c>
      <c r="B611" s="175"/>
      <c r="C611" s="175"/>
      <c r="D611" s="169"/>
      <c r="E611" s="170"/>
      <c r="F611" s="169"/>
      <c r="G611" s="176"/>
    </row>
    <row r="612" spans="1:7" ht="12.75">
      <c r="A612" s="168" t="e">
        <f t="shared" si="0"/>
        <v>#REF!</v>
      </c>
      <c r="B612" s="175"/>
      <c r="C612" s="175"/>
      <c r="D612" s="169"/>
      <c r="E612" s="170"/>
      <c r="F612" s="169"/>
      <c r="G612" s="176"/>
    </row>
    <row r="613" spans="1:7" ht="12.75">
      <c r="A613" s="168" t="e">
        <f t="shared" si="0"/>
        <v>#REF!</v>
      </c>
      <c r="B613" s="175"/>
      <c r="C613" s="175"/>
      <c r="D613" s="169"/>
      <c r="E613" s="170"/>
      <c r="F613" s="169"/>
      <c r="G613" s="176"/>
    </row>
    <row r="614" spans="1:7" ht="12.75">
      <c r="A614" s="168" t="e">
        <f t="shared" si="0"/>
        <v>#REF!</v>
      </c>
      <c r="B614" s="175"/>
      <c r="C614" s="175"/>
      <c r="D614" s="169"/>
      <c r="E614" s="170"/>
      <c r="F614" s="169"/>
      <c r="G614" s="176"/>
    </row>
    <row r="615" spans="1:7" ht="12.75">
      <c r="A615" s="168" t="e">
        <f t="shared" si="0"/>
        <v>#REF!</v>
      </c>
      <c r="B615" s="175"/>
      <c r="C615" s="175"/>
      <c r="D615" s="169"/>
      <c r="E615" s="170"/>
      <c r="F615" s="169"/>
      <c r="G615" s="176"/>
    </row>
    <row r="616" spans="1:7" ht="12.75">
      <c r="A616" s="168" t="e">
        <f t="shared" si="0"/>
        <v>#REF!</v>
      </c>
      <c r="B616" s="175"/>
      <c r="C616" s="175"/>
      <c r="D616" s="169"/>
      <c r="E616" s="170"/>
      <c r="F616" s="169"/>
      <c r="G616" s="176"/>
    </row>
    <row r="617" spans="1:7" ht="12.75">
      <c r="A617" s="168" t="e">
        <f t="shared" si="0"/>
        <v>#REF!</v>
      </c>
      <c r="B617" s="175"/>
      <c r="C617" s="175"/>
      <c r="D617" s="169"/>
      <c r="E617" s="170"/>
      <c r="F617" s="169"/>
      <c r="G617" s="176"/>
    </row>
    <row r="618" spans="1:7" ht="12.75">
      <c r="A618" s="168" t="e">
        <f t="shared" si="0"/>
        <v>#REF!</v>
      </c>
      <c r="B618" s="175"/>
      <c r="C618" s="175"/>
      <c r="D618" s="169"/>
      <c r="E618" s="170"/>
      <c r="F618" s="169"/>
      <c r="G618" s="176"/>
    </row>
    <row r="619" spans="1:7" ht="12.75">
      <c r="A619" s="168" t="e">
        <f t="shared" si="0"/>
        <v>#REF!</v>
      </c>
      <c r="B619" s="175"/>
      <c r="C619" s="175"/>
      <c r="D619" s="169"/>
      <c r="E619" s="170"/>
      <c r="F619" s="169"/>
      <c r="G619" s="176"/>
    </row>
    <row r="620" spans="1:7" ht="12.75">
      <c r="A620" s="168" t="e">
        <f t="shared" si="0"/>
        <v>#REF!</v>
      </c>
      <c r="B620" s="175"/>
      <c r="C620" s="175"/>
      <c r="D620" s="169"/>
      <c r="E620" s="170"/>
      <c r="F620" s="169"/>
      <c r="G620" s="176"/>
    </row>
    <row r="621" spans="1:7" ht="12.75">
      <c r="A621" s="168" t="e">
        <f t="shared" si="0"/>
        <v>#REF!</v>
      </c>
      <c r="B621" s="175"/>
      <c r="C621" s="175"/>
      <c r="D621" s="169"/>
      <c r="E621" s="170"/>
      <c r="F621" s="169"/>
      <c r="G621" s="176"/>
    </row>
    <row r="622" spans="1:7" ht="12.75">
      <c r="A622" s="168" t="e">
        <f t="shared" si="0"/>
        <v>#REF!</v>
      </c>
      <c r="B622" s="175"/>
      <c r="C622" s="175"/>
      <c r="D622" s="169"/>
      <c r="E622" s="170"/>
      <c r="F622" s="169"/>
      <c r="G622" s="176"/>
    </row>
    <row r="623" spans="1:7" ht="12.75">
      <c r="A623" s="168" t="e">
        <f t="shared" si="0"/>
        <v>#REF!</v>
      </c>
      <c r="B623" s="175"/>
      <c r="C623" s="175"/>
      <c r="D623" s="169"/>
      <c r="E623" s="170"/>
      <c r="F623" s="169"/>
      <c r="G623" s="176"/>
    </row>
    <row r="624" spans="1:7" ht="12.75">
      <c r="A624" s="168" t="e">
        <f t="shared" si="0"/>
        <v>#REF!</v>
      </c>
      <c r="B624" s="175"/>
      <c r="C624" s="175"/>
      <c r="D624" s="169"/>
      <c r="E624" s="170"/>
      <c r="F624" s="169"/>
      <c r="G624" s="176"/>
    </row>
    <row r="625" spans="1:7" ht="12.75">
      <c r="A625" s="168" t="e">
        <f t="shared" si="0"/>
        <v>#REF!</v>
      </c>
      <c r="B625" s="175"/>
      <c r="C625" s="175"/>
      <c r="D625" s="169"/>
      <c r="E625" s="170"/>
      <c r="F625" s="169"/>
      <c r="G625" s="176"/>
    </row>
    <row r="626" spans="1:7" ht="12.75">
      <c r="A626" s="168" t="e">
        <f t="shared" si="0"/>
        <v>#REF!</v>
      </c>
      <c r="B626" s="175"/>
      <c r="C626" s="175"/>
      <c r="D626" s="169"/>
      <c r="E626" s="170"/>
      <c r="F626" s="169"/>
      <c r="G626" s="176"/>
    </row>
    <row r="627" spans="1:7" ht="12.75">
      <c r="A627" s="168" t="e">
        <f t="shared" si="0"/>
        <v>#REF!</v>
      </c>
      <c r="B627" s="175"/>
      <c r="C627" s="175"/>
      <c r="D627" s="169"/>
      <c r="E627" s="170"/>
      <c r="F627" s="169"/>
      <c r="G627" s="176"/>
    </row>
    <row r="628" spans="1:7" ht="12.75">
      <c r="A628" s="168" t="e">
        <f t="shared" si="0"/>
        <v>#REF!</v>
      </c>
      <c r="B628" s="175"/>
      <c r="C628" s="175"/>
      <c r="D628" s="169"/>
      <c r="E628" s="170"/>
      <c r="F628" s="169"/>
      <c r="G628" s="176"/>
    </row>
    <row r="629" spans="1:7" ht="12.75">
      <c r="A629" s="168" t="e">
        <f t="shared" si="0"/>
        <v>#REF!</v>
      </c>
      <c r="B629" s="175"/>
      <c r="C629" s="175"/>
      <c r="D629" s="169"/>
      <c r="E629" s="170"/>
      <c r="F629" s="169"/>
      <c r="G629" s="176"/>
    </row>
    <row r="630" spans="1:7" ht="12.75">
      <c r="A630" s="168" t="e">
        <f t="shared" si="0"/>
        <v>#REF!</v>
      </c>
      <c r="B630" s="175"/>
      <c r="C630" s="175"/>
      <c r="D630" s="169"/>
      <c r="E630" s="170"/>
      <c r="F630" s="169"/>
      <c r="G630" s="176"/>
    </row>
    <row r="631" spans="1:7" ht="12.75">
      <c r="A631" s="168" t="e">
        <f t="shared" si="0"/>
        <v>#REF!</v>
      </c>
      <c r="B631" s="175"/>
      <c r="C631" s="175"/>
      <c r="D631" s="169"/>
      <c r="E631" s="170"/>
      <c r="F631" s="169"/>
      <c r="G631" s="176"/>
    </row>
    <row r="632" spans="1:7" ht="12.75">
      <c r="A632" s="168" t="e">
        <f t="shared" si="0"/>
        <v>#REF!</v>
      </c>
      <c r="B632" s="175"/>
      <c r="C632" s="175"/>
      <c r="D632" s="169"/>
      <c r="E632" s="170"/>
      <c r="F632" s="169"/>
      <c r="G632" s="176"/>
    </row>
    <row r="633" spans="1:7" ht="12.75">
      <c r="A633" s="168" t="e">
        <f t="shared" si="0"/>
        <v>#REF!</v>
      </c>
      <c r="B633" s="175"/>
      <c r="C633" s="175"/>
      <c r="D633" s="169"/>
      <c r="E633" s="170"/>
      <c r="F633" s="169"/>
      <c r="G633" s="176"/>
    </row>
    <row r="634" spans="1:7" ht="12.75">
      <c r="A634" s="168" t="e">
        <f t="shared" si="0"/>
        <v>#REF!</v>
      </c>
      <c r="B634" s="175"/>
      <c r="C634" s="175"/>
      <c r="D634" s="169"/>
      <c r="E634" s="170"/>
      <c r="F634" s="169"/>
      <c r="G634" s="176"/>
    </row>
    <row r="635" spans="1:7" ht="12.75">
      <c r="A635" s="168" t="e">
        <f t="shared" si="0"/>
        <v>#REF!</v>
      </c>
      <c r="B635" s="175"/>
      <c r="C635" s="175"/>
      <c r="D635" s="169"/>
      <c r="E635" s="170"/>
      <c r="F635" s="169"/>
      <c r="G635" s="176"/>
    </row>
    <row r="636" spans="1:7" ht="12.75">
      <c r="A636" s="168" t="e">
        <f t="shared" si="0"/>
        <v>#REF!</v>
      </c>
      <c r="B636" s="175"/>
      <c r="C636" s="175"/>
      <c r="D636" s="169"/>
      <c r="E636" s="170"/>
      <c r="F636" s="169"/>
      <c r="G636" s="176"/>
    </row>
    <row r="637" spans="1:7" ht="12.75">
      <c r="A637" s="168" t="e">
        <f t="shared" si="0"/>
        <v>#REF!</v>
      </c>
      <c r="B637" s="175"/>
      <c r="C637" s="175"/>
      <c r="D637" s="169"/>
      <c r="E637" s="170"/>
      <c r="F637" s="169"/>
      <c r="G637" s="176"/>
    </row>
    <row r="638" spans="1:7" ht="12.75">
      <c r="A638" s="168" t="e">
        <f t="shared" si="0"/>
        <v>#REF!</v>
      </c>
      <c r="B638" s="175"/>
      <c r="C638" s="175"/>
      <c r="D638" s="169"/>
      <c r="E638" s="170"/>
      <c r="F638" s="169"/>
      <c r="G638" s="176"/>
    </row>
    <row r="639" spans="1:7" ht="12.75">
      <c r="A639" s="168" t="e">
        <f t="shared" si="0"/>
        <v>#REF!</v>
      </c>
      <c r="B639" s="175"/>
      <c r="C639" s="175"/>
      <c r="D639" s="169"/>
      <c r="E639" s="170"/>
      <c r="F639" s="169"/>
      <c r="G639" s="176"/>
    </row>
    <row r="640" spans="1:7" ht="12.75">
      <c r="A640" s="168" t="e">
        <f t="shared" si="0"/>
        <v>#REF!</v>
      </c>
      <c r="B640" s="175"/>
      <c r="C640" s="175"/>
      <c r="D640" s="169"/>
      <c r="E640" s="170"/>
      <c r="F640" s="169"/>
      <c r="G640" s="176"/>
    </row>
    <row r="641" spans="1:7" ht="12.75">
      <c r="A641" s="168" t="e">
        <f t="shared" si="0"/>
        <v>#REF!</v>
      </c>
      <c r="B641" s="175"/>
      <c r="C641" s="175"/>
      <c r="D641" s="169"/>
      <c r="E641" s="170"/>
      <c r="F641" s="169"/>
      <c r="G641" s="176"/>
    </row>
    <row r="642" spans="1:7" ht="12.75">
      <c r="A642" s="168" t="e">
        <f t="shared" si="0"/>
        <v>#REF!</v>
      </c>
      <c r="B642" s="175"/>
      <c r="C642" s="175"/>
      <c r="D642" s="169"/>
      <c r="E642" s="170"/>
      <c r="F642" s="169"/>
      <c r="G642" s="176"/>
    </row>
    <row r="643" spans="1:7" ht="12.75">
      <c r="A643" s="168" t="e">
        <f t="shared" si="0"/>
        <v>#REF!</v>
      </c>
      <c r="B643" s="175"/>
      <c r="C643" s="175"/>
      <c r="D643" s="169"/>
      <c r="E643" s="170"/>
      <c r="F643" s="169"/>
      <c r="G643" s="176"/>
    </row>
    <row r="644" spans="1:7" ht="12.75">
      <c r="A644" s="168" t="e">
        <f t="shared" si="0"/>
        <v>#REF!</v>
      </c>
      <c r="B644" s="175"/>
      <c r="C644" s="175"/>
      <c r="D644" s="169"/>
      <c r="E644" s="170"/>
      <c r="F644" s="169"/>
      <c r="G644" s="176"/>
    </row>
    <row r="645" spans="1:7" ht="12.75">
      <c r="A645" s="168" t="e">
        <f t="shared" si="0"/>
        <v>#REF!</v>
      </c>
      <c r="B645" s="175"/>
      <c r="C645" s="175"/>
      <c r="D645" s="169"/>
      <c r="E645" s="170"/>
      <c r="F645" s="169"/>
      <c r="G645" s="176"/>
    </row>
    <row r="646" spans="1:7" ht="12.75">
      <c r="A646" s="168" t="e">
        <f t="shared" si="0"/>
        <v>#REF!</v>
      </c>
      <c r="B646" s="175"/>
      <c r="C646" s="175"/>
      <c r="D646" s="169"/>
      <c r="E646" s="170"/>
      <c r="F646" s="169"/>
      <c r="G646" s="176"/>
    </row>
    <row r="647" spans="1:7" ht="12.75">
      <c r="A647" s="168" t="e">
        <f t="shared" si="0"/>
        <v>#REF!</v>
      </c>
      <c r="B647" s="175"/>
      <c r="C647" s="175"/>
      <c r="D647" s="169"/>
      <c r="E647" s="170"/>
      <c r="F647" s="169"/>
      <c r="G647" s="176"/>
    </row>
    <row r="648" spans="1:7" ht="12.75">
      <c r="A648" s="168" t="e">
        <f t="shared" si="0"/>
        <v>#REF!</v>
      </c>
      <c r="B648" s="175"/>
      <c r="C648" s="175"/>
      <c r="D648" s="169"/>
      <c r="E648" s="170"/>
      <c r="F648" s="169"/>
      <c r="G648" s="176"/>
    </row>
    <row r="649" spans="1:7" ht="12.75">
      <c r="A649" s="168" t="e">
        <f t="shared" si="0"/>
        <v>#REF!</v>
      </c>
      <c r="B649" s="175"/>
      <c r="C649" s="175"/>
      <c r="D649" s="169"/>
      <c r="E649" s="170"/>
      <c r="F649" s="169"/>
      <c r="G649" s="176"/>
    </row>
    <row r="650" spans="1:7" ht="12.75">
      <c r="A650" s="168" t="e">
        <f t="shared" si="0"/>
        <v>#REF!</v>
      </c>
      <c r="B650" s="175"/>
      <c r="C650" s="175"/>
      <c r="D650" s="169"/>
      <c r="E650" s="170"/>
      <c r="F650" s="169"/>
      <c r="G650" s="176"/>
    </row>
    <row r="651" spans="1:7" ht="12.75">
      <c r="A651" s="168" t="e">
        <f t="shared" si="0"/>
        <v>#REF!</v>
      </c>
      <c r="B651" s="175"/>
      <c r="C651" s="175"/>
      <c r="D651" s="169"/>
      <c r="E651" s="170"/>
      <c r="F651" s="169"/>
      <c r="G651" s="176"/>
    </row>
    <row r="652" spans="1:7" ht="12.75">
      <c r="A652" s="168" t="e">
        <f t="shared" si="0"/>
        <v>#REF!</v>
      </c>
      <c r="B652" s="175"/>
      <c r="C652" s="175"/>
      <c r="D652" s="169"/>
      <c r="E652" s="170"/>
      <c r="F652" s="169"/>
      <c r="G652" s="176"/>
    </row>
    <row r="653" spans="1:7" ht="12.75">
      <c r="A653" s="168" t="e">
        <f t="shared" si="0"/>
        <v>#REF!</v>
      </c>
      <c r="B653" s="175"/>
      <c r="C653" s="175"/>
      <c r="D653" s="169"/>
      <c r="E653" s="170"/>
      <c r="F653" s="169"/>
      <c r="G653" s="176"/>
    </row>
    <row r="654" spans="1:7" ht="12.75">
      <c r="A654" s="168" t="e">
        <f t="shared" si="0"/>
        <v>#REF!</v>
      </c>
      <c r="B654" s="175"/>
      <c r="C654" s="175"/>
      <c r="D654" s="169"/>
      <c r="E654" s="170"/>
      <c r="F654" s="169"/>
      <c r="G654" s="176"/>
    </row>
    <row r="655" spans="1:7" ht="12.75">
      <c r="A655" s="168" t="e">
        <f t="shared" si="0"/>
        <v>#REF!</v>
      </c>
      <c r="B655" s="175"/>
      <c r="C655" s="175"/>
      <c r="D655" s="169"/>
      <c r="E655" s="170"/>
      <c r="F655" s="169"/>
      <c r="G655" s="176"/>
    </row>
    <row r="656" spans="1:7" ht="12.75">
      <c r="A656" s="168" t="e">
        <f t="shared" si="0"/>
        <v>#REF!</v>
      </c>
      <c r="B656" s="175"/>
      <c r="C656" s="175"/>
      <c r="D656" s="169"/>
      <c r="E656" s="170"/>
      <c r="F656" s="169"/>
      <c r="G656" s="176"/>
    </row>
    <row r="657" spans="1:7" ht="12.75">
      <c r="A657" s="168" t="e">
        <f t="shared" si="0"/>
        <v>#REF!</v>
      </c>
      <c r="B657" s="175"/>
      <c r="C657" s="175"/>
      <c r="D657" s="169"/>
      <c r="E657" s="170"/>
      <c r="F657" s="169"/>
      <c r="G657" s="176"/>
    </row>
    <row r="658" spans="1:7" ht="12.75">
      <c r="A658" s="168" t="e">
        <f t="shared" si="0"/>
        <v>#REF!</v>
      </c>
      <c r="B658" s="175"/>
      <c r="C658" s="175"/>
      <c r="D658" s="169"/>
      <c r="E658" s="170"/>
      <c r="F658" s="169"/>
      <c r="G658" s="176"/>
    </row>
    <row r="659" spans="1:7" ht="12.75">
      <c r="A659" s="168" t="e">
        <f t="shared" si="0"/>
        <v>#REF!</v>
      </c>
      <c r="B659" s="175"/>
      <c r="C659" s="175"/>
      <c r="D659" s="169"/>
      <c r="E659" s="170"/>
      <c r="F659" s="169"/>
      <c r="G659" s="176"/>
    </row>
    <row r="660" spans="1:7" ht="12.75">
      <c r="A660" s="168" t="e">
        <f t="shared" si="0"/>
        <v>#REF!</v>
      </c>
      <c r="B660" s="175"/>
      <c r="C660" s="175"/>
      <c r="D660" s="169"/>
      <c r="E660" s="170"/>
      <c r="F660" s="169"/>
      <c r="G660" s="176"/>
    </row>
    <row r="661" spans="1:7" ht="12.75">
      <c r="A661" s="168" t="e">
        <f t="shared" si="0"/>
        <v>#REF!</v>
      </c>
      <c r="B661" s="175"/>
      <c r="C661" s="175"/>
      <c r="D661" s="169"/>
      <c r="E661" s="170"/>
      <c r="F661" s="169"/>
      <c r="G661" s="176"/>
    </row>
    <row r="662" spans="1:7" ht="12.75">
      <c r="A662" s="168" t="e">
        <f t="shared" si="0"/>
        <v>#REF!</v>
      </c>
      <c r="B662" s="175"/>
      <c r="C662" s="175"/>
      <c r="D662" s="169"/>
      <c r="E662" s="170"/>
      <c r="F662" s="169"/>
      <c r="G662" s="176"/>
    </row>
    <row r="663" spans="1:7" ht="12.75">
      <c r="A663" s="168" t="e">
        <f t="shared" si="0"/>
        <v>#REF!</v>
      </c>
      <c r="B663" s="175"/>
      <c r="C663" s="175"/>
      <c r="D663" s="169"/>
      <c r="E663" s="170"/>
      <c r="F663" s="169"/>
      <c r="G663" s="176"/>
    </row>
    <row r="664" spans="1:7" ht="12.75">
      <c r="A664" s="168" t="e">
        <f t="shared" si="0"/>
        <v>#REF!</v>
      </c>
      <c r="B664" s="175"/>
      <c r="C664" s="175"/>
      <c r="D664" s="169"/>
      <c r="E664" s="170"/>
      <c r="F664" s="169"/>
      <c r="G664" s="176"/>
    </row>
    <row r="665" spans="1:7" ht="12.75">
      <c r="A665" s="168" t="e">
        <f t="shared" si="0"/>
        <v>#REF!</v>
      </c>
      <c r="B665" s="175"/>
      <c r="C665" s="175"/>
      <c r="D665" s="169"/>
      <c r="E665" s="170"/>
      <c r="F665" s="169"/>
      <c r="G665" s="176"/>
    </row>
    <row r="666" spans="1:7" ht="12.75">
      <c r="A666" s="168" t="e">
        <f t="shared" si="0"/>
        <v>#REF!</v>
      </c>
      <c r="B666" s="175"/>
      <c r="C666" s="175"/>
      <c r="D666" s="169"/>
      <c r="E666" s="170"/>
      <c r="F666" s="169"/>
      <c r="G666" s="176"/>
    </row>
    <row r="667" spans="1:7" ht="12.75">
      <c r="A667" s="168" t="e">
        <f t="shared" si="0"/>
        <v>#REF!</v>
      </c>
      <c r="B667" s="175"/>
      <c r="C667" s="175"/>
      <c r="D667" s="169"/>
      <c r="E667" s="170"/>
      <c r="F667" s="169"/>
      <c r="G667" s="176"/>
    </row>
    <row r="668" spans="1:7" ht="12.75">
      <c r="A668" s="168" t="e">
        <f t="shared" si="0"/>
        <v>#REF!</v>
      </c>
      <c r="B668" s="175"/>
      <c r="C668" s="175"/>
      <c r="D668" s="169"/>
      <c r="E668" s="170"/>
      <c r="F668" s="169"/>
      <c r="G668" s="176"/>
    </row>
    <row r="669" spans="1:7" ht="12.75">
      <c r="A669" s="168" t="e">
        <f t="shared" si="0"/>
        <v>#REF!</v>
      </c>
      <c r="B669" s="175"/>
      <c r="C669" s="175"/>
      <c r="D669" s="169"/>
      <c r="E669" s="170"/>
      <c r="F669" s="169"/>
      <c r="G669" s="176"/>
    </row>
    <row r="670" spans="1:7" ht="12.75">
      <c r="A670" s="168" t="e">
        <f t="shared" si="0"/>
        <v>#REF!</v>
      </c>
      <c r="B670" s="175"/>
      <c r="C670" s="175"/>
      <c r="D670" s="169"/>
      <c r="E670" s="170"/>
      <c r="F670" s="169"/>
      <c r="G670" s="176"/>
    </row>
    <row r="671" spans="1:7" ht="12.75">
      <c r="A671" s="168" t="e">
        <f t="shared" si="0"/>
        <v>#REF!</v>
      </c>
      <c r="B671" s="175"/>
      <c r="C671" s="175"/>
      <c r="D671" s="169"/>
      <c r="E671" s="170"/>
      <c r="F671" s="169"/>
      <c r="G671" s="176"/>
    </row>
    <row r="672" spans="1:7" ht="12.75">
      <c r="A672" s="168" t="e">
        <f t="shared" si="0"/>
        <v>#REF!</v>
      </c>
      <c r="B672" s="175"/>
      <c r="C672" s="175"/>
      <c r="D672" s="169"/>
      <c r="E672" s="170"/>
      <c r="F672" s="169"/>
      <c r="G672" s="176"/>
    </row>
    <row r="673" spans="1:7" ht="12.75">
      <c r="A673" s="168" t="e">
        <f t="shared" si="0"/>
        <v>#REF!</v>
      </c>
      <c r="B673" s="175"/>
      <c r="C673" s="175"/>
      <c r="D673" s="169"/>
      <c r="E673" s="170"/>
      <c r="F673" s="169"/>
      <c r="G673" s="176"/>
    </row>
    <row r="674" spans="1:7" ht="12.75">
      <c r="A674" s="168" t="e">
        <f t="shared" si="0"/>
        <v>#REF!</v>
      </c>
      <c r="B674" s="175"/>
      <c r="C674" s="175"/>
      <c r="D674" s="169"/>
      <c r="E674" s="170"/>
      <c r="F674" s="169"/>
      <c r="G674" s="176"/>
    </row>
    <row r="675" spans="1:7" ht="12.75">
      <c r="A675" s="168" t="e">
        <f t="shared" si="0"/>
        <v>#REF!</v>
      </c>
      <c r="B675" s="175"/>
      <c r="C675" s="175"/>
      <c r="D675" s="169"/>
      <c r="E675" s="170"/>
      <c r="F675" s="169"/>
      <c r="G675" s="176"/>
    </row>
    <row r="676" spans="1:7" ht="12.75">
      <c r="A676" s="168" t="e">
        <f t="shared" si="0"/>
        <v>#REF!</v>
      </c>
      <c r="B676" s="175"/>
      <c r="C676" s="175"/>
      <c r="D676" s="169"/>
      <c r="E676" s="170"/>
      <c r="F676" s="169"/>
      <c r="G676" s="176"/>
    </row>
    <row r="677" spans="1:7" ht="12.75">
      <c r="A677" s="168" t="e">
        <f t="shared" si="0"/>
        <v>#REF!</v>
      </c>
      <c r="B677" s="175"/>
      <c r="C677" s="175"/>
      <c r="D677" s="169"/>
      <c r="E677" s="170"/>
      <c r="F677" s="169"/>
      <c r="G677" s="176"/>
    </row>
    <row r="678" spans="1:7" ht="12.75">
      <c r="A678" s="168" t="e">
        <f t="shared" si="0"/>
        <v>#REF!</v>
      </c>
      <c r="B678" s="175"/>
      <c r="C678" s="175"/>
      <c r="D678" s="169"/>
      <c r="E678" s="170"/>
      <c r="F678" s="169"/>
      <c r="G678" s="176"/>
    </row>
    <row r="679" spans="1:7" ht="12.75">
      <c r="A679" s="168" t="e">
        <f t="shared" si="0"/>
        <v>#REF!</v>
      </c>
      <c r="B679" s="175"/>
      <c r="C679" s="175"/>
      <c r="D679" s="169"/>
      <c r="E679" s="170"/>
      <c r="F679" s="169"/>
      <c r="G679" s="176"/>
    </row>
    <row r="680" spans="1:7" ht="12.75">
      <c r="A680" s="168" t="e">
        <f t="shared" si="0"/>
        <v>#REF!</v>
      </c>
      <c r="B680" s="175"/>
      <c r="C680" s="175"/>
      <c r="D680" s="169"/>
      <c r="E680" s="170"/>
      <c r="F680" s="169"/>
      <c r="G680" s="176"/>
    </row>
    <row r="681" spans="1:7" ht="12.75">
      <c r="A681" s="168" t="e">
        <f t="shared" si="0"/>
        <v>#REF!</v>
      </c>
      <c r="B681" s="175"/>
      <c r="C681" s="175"/>
      <c r="D681" s="169"/>
      <c r="E681" s="170"/>
      <c r="F681" s="169"/>
      <c r="G681" s="176"/>
    </row>
    <row r="682" spans="1:7" ht="12.75">
      <c r="A682" s="168" t="e">
        <f t="shared" si="0"/>
        <v>#REF!</v>
      </c>
      <c r="B682" s="175"/>
      <c r="C682" s="175"/>
      <c r="D682" s="169"/>
      <c r="E682" s="170"/>
      <c r="F682" s="169"/>
      <c r="G682" s="176"/>
    </row>
    <row r="683" spans="1:7" ht="12.75">
      <c r="A683" s="168" t="e">
        <f t="shared" si="0"/>
        <v>#REF!</v>
      </c>
      <c r="B683" s="175"/>
      <c r="C683" s="175"/>
      <c r="D683" s="169"/>
      <c r="E683" s="170"/>
      <c r="F683" s="169"/>
      <c r="G683" s="176"/>
    </row>
    <row r="684" spans="1:7" ht="12.75">
      <c r="A684" s="168" t="e">
        <f t="shared" si="0"/>
        <v>#REF!</v>
      </c>
      <c r="B684" s="175"/>
      <c r="C684" s="175"/>
      <c r="D684" s="169"/>
      <c r="E684" s="170"/>
      <c r="F684" s="169"/>
      <c r="G684" s="176"/>
    </row>
    <row r="685" spans="1:7" ht="12.75">
      <c r="A685" s="168" t="e">
        <f t="shared" si="0"/>
        <v>#REF!</v>
      </c>
      <c r="B685" s="175"/>
      <c r="C685" s="175"/>
      <c r="D685" s="169"/>
      <c r="E685" s="170"/>
      <c r="F685" s="169"/>
      <c r="G685" s="176"/>
    </row>
    <row r="686" spans="1:7" ht="12.75">
      <c r="A686" s="168" t="e">
        <f t="shared" si="0"/>
        <v>#REF!</v>
      </c>
      <c r="B686" s="175"/>
      <c r="C686" s="175"/>
      <c r="D686" s="169"/>
      <c r="E686" s="170"/>
      <c r="F686" s="169"/>
      <c r="G686" s="176"/>
    </row>
    <row r="687" spans="1:7" ht="12.75">
      <c r="A687" s="168" t="e">
        <f t="shared" si="0"/>
        <v>#REF!</v>
      </c>
      <c r="B687" s="175"/>
      <c r="C687" s="175"/>
      <c r="D687" s="169"/>
      <c r="E687" s="170"/>
      <c r="F687" s="169"/>
      <c r="G687" s="176"/>
    </row>
    <row r="688" spans="1:7" ht="12.75">
      <c r="A688" s="168" t="e">
        <f t="shared" si="0"/>
        <v>#REF!</v>
      </c>
      <c r="B688" s="175"/>
      <c r="C688" s="175"/>
      <c r="D688" s="169"/>
      <c r="E688" s="170"/>
      <c r="F688" s="169"/>
      <c r="G688" s="176"/>
    </row>
    <row r="689" spans="1:7" ht="12.75">
      <c r="A689" s="168" t="e">
        <f t="shared" si="0"/>
        <v>#REF!</v>
      </c>
      <c r="B689" s="175"/>
      <c r="C689" s="175"/>
      <c r="D689" s="169"/>
      <c r="E689" s="170"/>
      <c r="F689" s="169"/>
      <c r="G689" s="176"/>
    </row>
    <row r="690" spans="1:7" ht="12.75">
      <c r="A690" s="168" t="e">
        <f t="shared" si="0"/>
        <v>#REF!</v>
      </c>
      <c r="B690" s="175"/>
      <c r="C690" s="175"/>
      <c r="D690" s="169"/>
      <c r="E690" s="170"/>
      <c r="F690" s="169"/>
      <c r="G690" s="176"/>
    </row>
    <row r="691" spans="1:7" ht="12.75">
      <c r="A691" s="168" t="e">
        <f t="shared" si="0"/>
        <v>#REF!</v>
      </c>
      <c r="B691" s="175"/>
      <c r="C691" s="175"/>
      <c r="D691" s="169"/>
      <c r="E691" s="170"/>
      <c r="F691" s="169"/>
      <c r="G691" s="176"/>
    </row>
    <row r="692" spans="1:7" ht="12.75">
      <c r="A692" s="168" t="e">
        <f t="shared" si="0"/>
        <v>#REF!</v>
      </c>
      <c r="B692" s="175"/>
      <c r="C692" s="175"/>
      <c r="D692" s="169"/>
      <c r="E692" s="170"/>
      <c r="F692" s="169"/>
      <c r="G692" s="176"/>
    </row>
    <row r="693" spans="1:7" ht="12.75">
      <c r="A693" s="168" t="e">
        <f t="shared" si="0"/>
        <v>#REF!</v>
      </c>
      <c r="B693" s="175"/>
      <c r="C693" s="175"/>
      <c r="D693" s="169"/>
      <c r="E693" s="170"/>
      <c r="F693" s="169"/>
      <c r="G693" s="176"/>
    </row>
    <row r="694" spans="1:7" ht="12.75">
      <c r="A694" s="168" t="e">
        <f t="shared" si="0"/>
        <v>#REF!</v>
      </c>
      <c r="B694" s="175"/>
      <c r="C694" s="175"/>
      <c r="D694" s="169"/>
      <c r="E694" s="170"/>
      <c r="F694" s="169"/>
      <c r="G694" s="176"/>
    </row>
    <row r="695" spans="1:7" ht="12.75">
      <c r="A695" s="168" t="e">
        <f t="shared" si="0"/>
        <v>#REF!</v>
      </c>
      <c r="B695" s="175"/>
      <c r="C695" s="175"/>
      <c r="D695" s="169"/>
      <c r="E695" s="170"/>
      <c r="F695" s="169"/>
      <c r="G695" s="176"/>
    </row>
    <row r="696" spans="1:7" ht="12.75">
      <c r="A696" s="168" t="e">
        <f t="shared" si="0"/>
        <v>#REF!</v>
      </c>
      <c r="B696" s="175"/>
      <c r="C696" s="175"/>
      <c r="D696" s="169"/>
      <c r="E696" s="170"/>
      <c r="F696" s="169"/>
      <c r="G696" s="176"/>
    </row>
    <row r="697" spans="1:7" ht="12.75">
      <c r="A697" s="168" t="e">
        <f t="shared" si="0"/>
        <v>#REF!</v>
      </c>
      <c r="B697" s="175"/>
      <c r="C697" s="175"/>
      <c r="D697" s="169"/>
      <c r="E697" s="170"/>
      <c r="F697" s="169"/>
      <c r="G697" s="176"/>
    </row>
    <row r="698" spans="1:7" ht="12.75">
      <c r="A698" s="168" t="e">
        <f t="shared" si="0"/>
        <v>#REF!</v>
      </c>
      <c r="B698" s="175"/>
      <c r="C698" s="175"/>
      <c r="D698" s="169"/>
      <c r="E698" s="170"/>
      <c r="F698" s="169"/>
      <c r="G698" s="176"/>
    </row>
    <row r="699" spans="1:7" ht="12.75">
      <c r="A699" s="168" t="e">
        <f t="shared" si="0"/>
        <v>#REF!</v>
      </c>
      <c r="B699" s="175"/>
      <c r="C699" s="175"/>
      <c r="D699" s="169"/>
      <c r="E699" s="170"/>
      <c r="F699" s="169"/>
      <c r="G699" s="176"/>
    </row>
    <row r="700" spans="1:7" ht="12.75">
      <c r="A700" s="168" t="e">
        <f t="shared" si="0"/>
        <v>#REF!</v>
      </c>
      <c r="B700" s="175"/>
      <c r="C700" s="175"/>
      <c r="D700" s="169"/>
      <c r="E700" s="170"/>
      <c r="F700" s="169"/>
      <c r="G700" s="176"/>
    </row>
    <row r="701" spans="1:7" ht="12.75">
      <c r="A701" s="168" t="e">
        <f t="shared" si="0"/>
        <v>#REF!</v>
      </c>
      <c r="B701" s="175"/>
      <c r="C701" s="175"/>
      <c r="D701" s="169"/>
      <c r="E701" s="170"/>
      <c r="F701" s="169"/>
      <c r="G701" s="176"/>
    </row>
    <row r="702" spans="1:7" ht="12.75">
      <c r="A702" s="168" t="e">
        <f t="shared" si="0"/>
        <v>#REF!</v>
      </c>
      <c r="B702" s="175"/>
      <c r="C702" s="175"/>
      <c r="D702" s="169"/>
      <c r="E702" s="170"/>
      <c r="F702" s="169"/>
      <c r="G702" s="176"/>
    </row>
    <row r="703" spans="1:7" ht="12.75">
      <c r="A703" s="168" t="e">
        <f t="shared" si="0"/>
        <v>#REF!</v>
      </c>
      <c r="B703" s="175"/>
      <c r="C703" s="175"/>
      <c r="D703" s="169"/>
      <c r="E703" s="170"/>
      <c r="F703" s="169"/>
      <c r="G703" s="176"/>
    </row>
    <row r="704" spans="1:7" ht="12.75">
      <c r="A704" s="168" t="e">
        <f t="shared" si="0"/>
        <v>#REF!</v>
      </c>
      <c r="B704" s="175"/>
      <c r="C704" s="175"/>
      <c r="D704" s="169"/>
      <c r="E704" s="170"/>
      <c r="F704" s="169"/>
      <c r="G704" s="176"/>
    </row>
    <row r="705" spans="1:7" ht="12.75">
      <c r="A705" s="168" t="e">
        <f t="shared" si="0"/>
        <v>#REF!</v>
      </c>
      <c r="B705" s="175"/>
      <c r="C705" s="175"/>
      <c r="D705" s="169"/>
      <c r="E705" s="170"/>
      <c r="F705" s="169"/>
      <c r="G705" s="176"/>
    </row>
    <row r="706" spans="1:7" ht="12.75">
      <c r="A706" s="168" t="e">
        <f t="shared" si="0"/>
        <v>#REF!</v>
      </c>
      <c r="B706" s="175"/>
      <c r="C706" s="175"/>
      <c r="D706" s="169"/>
      <c r="E706" s="170"/>
      <c r="F706" s="169"/>
      <c r="G706" s="176"/>
    </row>
    <row r="707" spans="1:7" ht="12.75">
      <c r="A707" s="168" t="e">
        <f t="shared" si="0"/>
        <v>#REF!</v>
      </c>
      <c r="B707" s="175"/>
      <c r="C707" s="175"/>
      <c r="D707" s="169"/>
      <c r="E707" s="170"/>
      <c r="F707" s="169"/>
      <c r="G707" s="176"/>
    </row>
    <row r="708" spans="1:7" ht="12.75">
      <c r="A708" s="168" t="e">
        <f t="shared" si="0"/>
        <v>#REF!</v>
      </c>
      <c r="B708" s="175"/>
      <c r="C708" s="175"/>
      <c r="D708" s="169"/>
      <c r="E708" s="170"/>
      <c r="F708" s="169"/>
      <c r="G708" s="176"/>
    </row>
    <row r="709" spans="1:7" ht="12.75">
      <c r="A709" s="168" t="e">
        <f t="shared" si="0"/>
        <v>#REF!</v>
      </c>
      <c r="B709" s="175"/>
      <c r="C709" s="175"/>
      <c r="D709" s="169"/>
      <c r="E709" s="170"/>
      <c r="F709" s="169"/>
      <c r="G709" s="176"/>
    </row>
    <row r="710" spans="1:7" ht="12.75">
      <c r="A710" s="168" t="e">
        <f t="shared" si="0"/>
        <v>#REF!</v>
      </c>
      <c r="B710" s="175"/>
      <c r="C710" s="175"/>
      <c r="D710" s="169"/>
      <c r="E710" s="170"/>
      <c r="F710" s="169"/>
      <c r="G710" s="176"/>
    </row>
    <row r="711" spans="1:7" ht="12.75">
      <c r="A711" s="168" t="e">
        <f t="shared" si="0"/>
        <v>#REF!</v>
      </c>
      <c r="B711" s="175"/>
      <c r="C711" s="175"/>
      <c r="D711" s="169"/>
      <c r="E711" s="170"/>
      <c r="F711" s="169"/>
      <c r="G711" s="176"/>
    </row>
    <row r="712" spans="1:7" ht="12.75">
      <c r="A712" s="168" t="e">
        <f t="shared" si="0"/>
        <v>#REF!</v>
      </c>
      <c r="B712" s="175"/>
      <c r="C712" s="175"/>
      <c r="D712" s="169"/>
      <c r="E712" s="170"/>
      <c r="F712" s="169"/>
      <c r="G712" s="176"/>
    </row>
    <row r="713" spans="1:7" ht="12.75">
      <c r="A713" s="168" t="e">
        <f t="shared" si="0"/>
        <v>#REF!</v>
      </c>
      <c r="B713" s="175"/>
      <c r="C713" s="175"/>
      <c r="D713" s="169"/>
      <c r="E713" s="170"/>
      <c r="F713" s="169"/>
      <c r="G713" s="176"/>
    </row>
    <row r="714" spans="1:7" ht="12.75">
      <c r="A714" s="168" t="e">
        <f t="shared" si="0"/>
        <v>#REF!</v>
      </c>
      <c r="B714" s="175"/>
      <c r="C714" s="175"/>
      <c r="D714" s="169"/>
      <c r="E714" s="170"/>
      <c r="F714" s="169"/>
      <c r="G714" s="176"/>
    </row>
    <row r="715" spans="1:7" ht="12.75">
      <c r="A715" s="168" t="e">
        <f t="shared" si="0"/>
        <v>#REF!</v>
      </c>
      <c r="B715" s="175"/>
      <c r="C715" s="175"/>
      <c r="D715" s="169"/>
      <c r="E715" s="170"/>
      <c r="F715" s="169"/>
      <c r="G715" s="176"/>
    </row>
    <row r="716" spans="1:7" ht="12.75">
      <c r="A716" s="168" t="e">
        <f t="shared" si="0"/>
        <v>#REF!</v>
      </c>
      <c r="B716" s="175"/>
      <c r="C716" s="175"/>
      <c r="D716" s="169"/>
      <c r="E716" s="170"/>
      <c r="F716" s="169"/>
      <c r="G716" s="176"/>
    </row>
    <row r="717" spans="1:7" ht="12.75">
      <c r="A717" s="168" t="e">
        <f t="shared" si="0"/>
        <v>#REF!</v>
      </c>
      <c r="B717" s="175"/>
      <c r="C717" s="175"/>
      <c r="D717" s="169"/>
      <c r="E717" s="170"/>
      <c r="F717" s="169"/>
      <c r="G717" s="176"/>
    </row>
    <row r="718" spans="1:7" ht="12.75">
      <c r="A718" s="168" t="e">
        <f t="shared" si="0"/>
        <v>#REF!</v>
      </c>
      <c r="B718" s="175"/>
      <c r="C718" s="175"/>
      <c r="D718" s="169"/>
      <c r="E718" s="170"/>
      <c r="F718" s="169"/>
      <c r="G718" s="176"/>
    </row>
    <row r="719" spans="1:7" ht="12.75">
      <c r="A719" s="168" t="e">
        <f t="shared" si="0"/>
        <v>#REF!</v>
      </c>
      <c r="B719" s="175"/>
      <c r="C719" s="175"/>
      <c r="D719" s="169"/>
      <c r="E719" s="170"/>
      <c r="F719" s="169"/>
      <c r="G719" s="176"/>
    </row>
    <row r="720" spans="1:7" ht="12.75">
      <c r="A720" s="168" t="e">
        <f t="shared" si="0"/>
        <v>#REF!</v>
      </c>
      <c r="B720" s="175"/>
      <c r="C720" s="175"/>
      <c r="D720" s="169"/>
      <c r="E720" s="170"/>
      <c r="F720" s="169"/>
      <c r="G720" s="176"/>
    </row>
    <row r="721" spans="1:7" ht="12.75">
      <c r="A721" s="168" t="e">
        <f t="shared" si="0"/>
        <v>#REF!</v>
      </c>
      <c r="B721" s="175"/>
      <c r="C721" s="175"/>
      <c r="D721" s="169"/>
      <c r="E721" s="170"/>
      <c r="F721" s="169"/>
      <c r="G721" s="176"/>
    </row>
    <row r="722" spans="1:7" ht="12.75">
      <c r="A722" s="168" t="e">
        <f t="shared" si="0"/>
        <v>#REF!</v>
      </c>
      <c r="B722" s="175"/>
      <c r="C722" s="175"/>
      <c r="D722" s="169"/>
      <c r="E722" s="170"/>
      <c r="F722" s="169"/>
      <c r="G722" s="176"/>
    </row>
    <row r="723" spans="1:7" ht="12.75">
      <c r="A723" s="168" t="e">
        <f t="shared" si="0"/>
        <v>#REF!</v>
      </c>
      <c r="B723" s="175"/>
      <c r="C723" s="175"/>
      <c r="D723" s="169"/>
      <c r="E723" s="170"/>
      <c r="F723" s="169"/>
      <c r="G723" s="176"/>
    </row>
    <row r="724" spans="1:7" ht="12.75">
      <c r="A724" s="168" t="e">
        <f t="shared" si="0"/>
        <v>#REF!</v>
      </c>
      <c r="B724" s="175"/>
      <c r="C724" s="175"/>
      <c r="D724" s="169"/>
      <c r="E724" s="170"/>
      <c r="F724" s="169"/>
      <c r="G724" s="176"/>
    </row>
    <row r="725" spans="1:7" ht="12.75">
      <c r="A725" s="168" t="e">
        <f t="shared" si="0"/>
        <v>#REF!</v>
      </c>
      <c r="B725" s="175"/>
      <c r="C725" s="175"/>
      <c r="D725" s="169"/>
      <c r="E725" s="170"/>
      <c r="F725" s="169"/>
      <c r="G725" s="176"/>
    </row>
    <row r="726" spans="1:7" ht="12.75">
      <c r="A726" s="168" t="e">
        <f t="shared" si="0"/>
        <v>#REF!</v>
      </c>
      <c r="B726" s="175"/>
      <c r="C726" s="175"/>
      <c r="D726" s="169"/>
      <c r="E726" s="170"/>
      <c r="F726" s="169"/>
      <c r="G726" s="176"/>
    </row>
    <row r="727" spans="1:7" ht="12.75">
      <c r="A727" s="168" t="e">
        <f t="shared" si="0"/>
        <v>#REF!</v>
      </c>
      <c r="B727" s="175"/>
      <c r="C727" s="175"/>
      <c r="D727" s="169"/>
      <c r="E727" s="170"/>
      <c r="F727" s="169"/>
      <c r="G727" s="176"/>
    </row>
    <row r="728" spans="1:7" ht="12.75">
      <c r="A728" s="168" t="e">
        <f t="shared" si="0"/>
        <v>#REF!</v>
      </c>
      <c r="B728" s="175"/>
      <c r="C728" s="175"/>
      <c r="D728" s="169"/>
      <c r="E728" s="170"/>
      <c r="F728" s="169"/>
      <c r="G728" s="176"/>
    </row>
    <row r="729" spans="1:7" ht="12.75">
      <c r="A729" s="168" t="e">
        <f t="shared" si="0"/>
        <v>#REF!</v>
      </c>
      <c r="B729" s="175"/>
      <c r="C729" s="175"/>
      <c r="D729" s="169"/>
      <c r="E729" s="170"/>
      <c r="F729" s="169"/>
      <c r="G729" s="176"/>
    </row>
    <row r="730" spans="1:7" ht="12.75">
      <c r="A730" s="168" t="e">
        <f t="shared" si="0"/>
        <v>#REF!</v>
      </c>
      <c r="B730" s="175"/>
      <c r="C730" s="175"/>
      <c r="D730" s="169"/>
      <c r="E730" s="170"/>
      <c r="F730" s="169"/>
      <c r="G730" s="176"/>
    </row>
    <row r="731" spans="1:7" ht="12.75">
      <c r="A731" s="168" t="e">
        <f t="shared" si="0"/>
        <v>#REF!</v>
      </c>
      <c r="B731" s="175"/>
      <c r="C731" s="175"/>
      <c r="D731" s="169"/>
      <c r="E731" s="170"/>
      <c r="F731" s="169"/>
      <c r="G731" s="176"/>
    </row>
    <row r="732" spans="1:7" ht="12.75">
      <c r="A732" s="168" t="e">
        <f t="shared" si="0"/>
        <v>#REF!</v>
      </c>
      <c r="B732" s="175"/>
      <c r="C732" s="175"/>
      <c r="D732" s="169"/>
      <c r="E732" s="170"/>
      <c r="F732" s="169"/>
      <c r="G732" s="176"/>
    </row>
    <row r="733" spans="1:7" ht="12.75">
      <c r="A733" s="168" t="e">
        <f t="shared" si="0"/>
        <v>#REF!</v>
      </c>
      <c r="B733" s="175"/>
      <c r="C733" s="175"/>
      <c r="D733" s="169"/>
      <c r="E733" s="170"/>
      <c r="F733" s="169"/>
      <c r="G733" s="176"/>
    </row>
    <row r="734" spans="1:7" ht="12.75">
      <c r="A734" s="168" t="e">
        <f t="shared" si="0"/>
        <v>#REF!</v>
      </c>
      <c r="B734" s="175"/>
      <c r="C734" s="175"/>
      <c r="D734" s="169"/>
      <c r="E734" s="170"/>
      <c r="F734" s="169"/>
      <c r="G734" s="176"/>
    </row>
    <row r="735" spans="1:7" ht="12.75">
      <c r="A735" s="168" t="e">
        <f t="shared" si="0"/>
        <v>#REF!</v>
      </c>
      <c r="B735" s="175"/>
      <c r="C735" s="175"/>
      <c r="D735" s="169"/>
      <c r="E735" s="170"/>
      <c r="F735" s="169"/>
      <c r="G735" s="176"/>
    </row>
    <row r="736" spans="1:7" ht="12.75">
      <c r="A736" s="168" t="e">
        <f t="shared" si="0"/>
        <v>#REF!</v>
      </c>
      <c r="B736" s="175"/>
      <c r="C736" s="175"/>
      <c r="D736" s="169"/>
      <c r="E736" s="170"/>
      <c r="F736" s="169"/>
      <c r="G736" s="176"/>
    </row>
    <row r="737" spans="1:7" ht="12.75">
      <c r="A737" s="168" t="e">
        <f t="shared" si="0"/>
        <v>#REF!</v>
      </c>
      <c r="B737" s="175"/>
      <c r="C737" s="175"/>
      <c r="D737" s="169"/>
      <c r="E737" s="170"/>
      <c r="F737" s="169"/>
      <c r="G737" s="176"/>
    </row>
    <row r="738" spans="1:7" ht="12.75">
      <c r="A738" s="168" t="e">
        <f t="shared" si="0"/>
        <v>#REF!</v>
      </c>
      <c r="B738" s="175"/>
      <c r="C738" s="175"/>
      <c r="D738" s="169"/>
      <c r="E738" s="170"/>
      <c r="F738" s="169"/>
      <c r="G738" s="176"/>
    </row>
    <row r="739" spans="1:7" ht="12.75">
      <c r="A739" s="168" t="e">
        <f t="shared" si="0"/>
        <v>#REF!</v>
      </c>
      <c r="B739" s="175"/>
      <c r="C739" s="175"/>
      <c r="D739" s="169"/>
      <c r="E739" s="170"/>
      <c r="F739" s="169"/>
      <c r="G739" s="176"/>
    </row>
    <row r="740" spans="1:7" ht="12.75">
      <c r="A740" s="168" t="e">
        <f t="shared" si="0"/>
        <v>#REF!</v>
      </c>
      <c r="B740" s="175"/>
      <c r="C740" s="175"/>
      <c r="D740" s="169"/>
      <c r="E740" s="170"/>
      <c r="F740" s="169"/>
      <c r="G740" s="176"/>
    </row>
    <row r="741" spans="1:7" ht="12.75">
      <c r="A741" s="168" t="e">
        <f t="shared" si="0"/>
        <v>#REF!</v>
      </c>
      <c r="B741" s="175"/>
      <c r="C741" s="175"/>
      <c r="D741" s="169"/>
      <c r="E741" s="170"/>
      <c r="F741" s="169"/>
      <c r="G741" s="176"/>
    </row>
    <row r="742" spans="1:7" ht="12.75">
      <c r="A742" s="168" t="e">
        <f t="shared" si="0"/>
        <v>#REF!</v>
      </c>
      <c r="B742" s="175"/>
      <c r="C742" s="175"/>
      <c r="D742" s="169"/>
      <c r="E742" s="170"/>
      <c r="F742" s="169"/>
      <c r="G742" s="176"/>
    </row>
    <row r="743" spans="1:7" ht="12.75">
      <c r="A743" s="168" t="e">
        <f t="shared" si="0"/>
        <v>#REF!</v>
      </c>
      <c r="B743" s="175"/>
      <c r="C743" s="175"/>
      <c r="D743" s="169"/>
      <c r="E743" s="170"/>
      <c r="F743" s="169"/>
      <c r="G743" s="176"/>
    </row>
    <row r="744" spans="1:7" ht="12.75">
      <c r="A744" s="168" t="e">
        <f t="shared" si="0"/>
        <v>#REF!</v>
      </c>
      <c r="B744" s="175"/>
      <c r="C744" s="175"/>
      <c r="D744" s="169"/>
      <c r="E744" s="170"/>
      <c r="F744" s="169"/>
      <c r="G744" s="176"/>
    </row>
    <row r="745" spans="1:7" ht="12.75">
      <c r="A745" s="168" t="e">
        <f t="shared" si="0"/>
        <v>#REF!</v>
      </c>
      <c r="B745" s="175"/>
      <c r="C745" s="175"/>
      <c r="D745" s="169"/>
      <c r="E745" s="170"/>
      <c r="F745" s="169"/>
      <c r="G745" s="176"/>
    </row>
    <row r="746" spans="1:7" ht="12.75">
      <c r="A746" s="168" t="e">
        <f t="shared" si="0"/>
        <v>#REF!</v>
      </c>
      <c r="B746" s="175"/>
      <c r="C746" s="175"/>
      <c r="D746" s="169"/>
      <c r="E746" s="170"/>
      <c r="F746" s="169"/>
      <c r="G746" s="176"/>
    </row>
    <row r="747" spans="1:7" ht="12.75">
      <c r="A747" s="168" t="e">
        <f t="shared" si="0"/>
        <v>#REF!</v>
      </c>
      <c r="B747" s="175"/>
      <c r="C747" s="175"/>
      <c r="D747" s="169"/>
      <c r="E747" s="170"/>
      <c r="F747" s="169"/>
      <c r="G747" s="176"/>
    </row>
    <row r="748" spans="1:7" ht="12.75">
      <c r="A748" s="168" t="e">
        <f t="shared" si="0"/>
        <v>#REF!</v>
      </c>
      <c r="B748" s="175"/>
      <c r="C748" s="175"/>
      <c r="D748" s="169"/>
      <c r="E748" s="170"/>
      <c r="F748" s="169"/>
      <c r="G748" s="176"/>
    </row>
    <row r="749" spans="1:7" ht="12.75">
      <c r="A749" s="168" t="e">
        <f t="shared" si="0"/>
        <v>#REF!</v>
      </c>
      <c r="B749" s="175"/>
      <c r="C749" s="175"/>
      <c r="D749" s="169"/>
      <c r="E749" s="170"/>
      <c r="F749" s="169"/>
      <c r="G749" s="176"/>
    </row>
    <row r="750" spans="1:7" ht="12.75">
      <c r="A750" s="168" t="e">
        <f t="shared" si="0"/>
        <v>#REF!</v>
      </c>
      <c r="B750" s="175"/>
      <c r="C750" s="175"/>
      <c r="D750" s="169"/>
      <c r="E750" s="170"/>
      <c r="F750" s="169"/>
      <c r="G750" s="176"/>
    </row>
    <row r="751" spans="1:7" ht="12.75">
      <c r="A751" s="168" t="e">
        <f t="shared" si="0"/>
        <v>#REF!</v>
      </c>
      <c r="B751" s="175"/>
      <c r="C751" s="175"/>
      <c r="D751" s="169"/>
      <c r="E751" s="170"/>
      <c r="F751" s="169"/>
      <c r="G751" s="176"/>
    </row>
    <row r="752" spans="1:7" ht="12.75">
      <c r="A752" s="168" t="e">
        <f t="shared" si="0"/>
        <v>#REF!</v>
      </c>
      <c r="B752" s="175"/>
      <c r="C752" s="175"/>
      <c r="D752" s="169"/>
      <c r="E752" s="170"/>
      <c r="F752" s="169"/>
      <c r="G752" s="176"/>
    </row>
    <row r="753" spans="1:7" ht="12.75">
      <c r="A753" s="168" t="e">
        <f t="shared" si="0"/>
        <v>#REF!</v>
      </c>
      <c r="B753" s="175"/>
      <c r="C753" s="175"/>
      <c r="D753" s="169"/>
      <c r="E753" s="170"/>
      <c r="F753" s="169"/>
      <c r="G753" s="176"/>
    </row>
    <row r="754" spans="1:7" ht="12.75">
      <c r="A754" s="168" t="e">
        <f t="shared" si="0"/>
        <v>#REF!</v>
      </c>
      <c r="B754" s="175"/>
      <c r="C754" s="175"/>
      <c r="D754" s="169"/>
      <c r="E754" s="170"/>
      <c r="F754" s="169"/>
      <c r="G754" s="176"/>
    </row>
    <row r="755" spans="1:7" ht="12.75">
      <c r="A755" s="168" t="e">
        <f t="shared" si="0"/>
        <v>#REF!</v>
      </c>
      <c r="B755" s="175"/>
      <c r="C755" s="175"/>
      <c r="D755" s="169"/>
      <c r="E755" s="170"/>
      <c r="F755" s="169"/>
      <c r="G755" s="176"/>
    </row>
    <row r="756" spans="1:7" ht="12.75">
      <c r="A756" s="168" t="e">
        <f t="shared" si="0"/>
        <v>#REF!</v>
      </c>
      <c r="B756" s="175"/>
      <c r="C756" s="175"/>
      <c r="D756" s="169"/>
      <c r="E756" s="170"/>
      <c r="F756" s="169"/>
      <c r="G756" s="176"/>
    </row>
    <row r="757" spans="1:7" ht="12.75">
      <c r="A757" s="168" t="e">
        <f t="shared" si="0"/>
        <v>#REF!</v>
      </c>
      <c r="B757" s="175"/>
      <c r="C757" s="175"/>
      <c r="D757" s="169"/>
      <c r="E757" s="170"/>
      <c r="F757" s="169"/>
      <c r="G757" s="176"/>
    </row>
    <row r="758" spans="1:7" ht="12.75">
      <c r="A758" s="168" t="e">
        <f t="shared" si="0"/>
        <v>#REF!</v>
      </c>
      <c r="B758" s="175"/>
      <c r="C758" s="175"/>
      <c r="D758" s="169"/>
      <c r="E758" s="170"/>
      <c r="F758" s="169"/>
      <c r="G758" s="176"/>
    </row>
    <row r="759" spans="1:7" ht="12.75">
      <c r="A759" s="168" t="e">
        <f t="shared" si="0"/>
        <v>#REF!</v>
      </c>
      <c r="B759" s="175"/>
      <c r="C759" s="175"/>
      <c r="D759" s="169"/>
      <c r="E759" s="170"/>
      <c r="F759" s="169"/>
      <c r="G759" s="176"/>
    </row>
    <row r="760" spans="1:7" ht="12.75">
      <c r="A760" s="168" t="e">
        <f t="shared" si="0"/>
        <v>#REF!</v>
      </c>
      <c r="B760" s="175"/>
      <c r="C760" s="175"/>
      <c r="D760" s="169"/>
      <c r="E760" s="170"/>
      <c r="F760" s="169"/>
      <c r="G760" s="176"/>
    </row>
    <row r="761" spans="1:7" ht="12.75">
      <c r="A761" s="168" t="e">
        <f t="shared" si="0"/>
        <v>#REF!</v>
      </c>
      <c r="B761" s="175"/>
      <c r="C761" s="175"/>
      <c r="D761" s="169"/>
      <c r="E761" s="170"/>
      <c r="F761" s="169"/>
      <c r="G761" s="176"/>
    </row>
    <row r="762" spans="1:7" ht="12.75">
      <c r="A762" s="168" t="e">
        <f t="shared" si="0"/>
        <v>#REF!</v>
      </c>
      <c r="B762" s="175"/>
      <c r="C762" s="175"/>
      <c r="D762" s="169"/>
      <c r="E762" s="170"/>
      <c r="F762" s="169"/>
      <c r="G762" s="176"/>
    </row>
    <row r="763" spans="1:7" ht="12.75">
      <c r="A763" s="168" t="e">
        <f t="shared" si="0"/>
        <v>#REF!</v>
      </c>
      <c r="B763" s="175"/>
      <c r="C763" s="175"/>
      <c r="D763" s="169"/>
      <c r="E763" s="170"/>
      <c r="F763" s="169"/>
      <c r="G763" s="176"/>
    </row>
    <row r="764" spans="1:7" ht="12.75">
      <c r="A764" s="168" t="e">
        <f t="shared" si="0"/>
        <v>#REF!</v>
      </c>
      <c r="B764" s="175"/>
      <c r="C764" s="175"/>
      <c r="D764" s="169"/>
      <c r="E764" s="170"/>
      <c r="F764" s="169"/>
      <c r="G764" s="176"/>
    </row>
    <row r="765" spans="1:7" ht="12.75">
      <c r="A765" s="168" t="e">
        <f t="shared" si="0"/>
        <v>#REF!</v>
      </c>
      <c r="B765" s="175"/>
      <c r="C765" s="175"/>
      <c r="D765" s="169"/>
      <c r="E765" s="170"/>
      <c r="F765" s="169"/>
      <c r="G765" s="176"/>
    </row>
    <row r="766" spans="1:7" ht="12.75">
      <c r="A766" s="168" t="e">
        <f t="shared" si="0"/>
        <v>#REF!</v>
      </c>
      <c r="B766" s="175"/>
      <c r="C766" s="175"/>
      <c r="D766" s="169"/>
      <c r="E766" s="170"/>
      <c r="F766" s="169"/>
      <c r="G766" s="176"/>
    </row>
    <row r="767" spans="1:7" ht="12.75">
      <c r="A767" s="168" t="e">
        <f t="shared" si="0"/>
        <v>#REF!</v>
      </c>
      <c r="B767" s="175"/>
      <c r="C767" s="175"/>
      <c r="D767" s="169"/>
      <c r="E767" s="170"/>
      <c r="F767" s="169"/>
      <c r="G767" s="176"/>
    </row>
    <row r="768" spans="1:7" ht="12.75">
      <c r="A768" s="168" t="e">
        <f t="shared" si="0"/>
        <v>#REF!</v>
      </c>
      <c r="B768" s="175"/>
      <c r="C768" s="175"/>
      <c r="D768" s="169"/>
      <c r="E768" s="170"/>
      <c r="F768" s="169"/>
      <c r="G768" s="176"/>
    </row>
    <row r="769" spans="1:7" ht="12.75">
      <c r="A769" s="168" t="e">
        <f t="shared" si="0"/>
        <v>#REF!</v>
      </c>
      <c r="B769" s="175"/>
      <c r="C769" s="175"/>
      <c r="D769" s="169"/>
      <c r="E769" s="170"/>
      <c r="F769" s="169"/>
      <c r="G769" s="176"/>
    </row>
    <row r="770" spans="1:7" ht="12.75">
      <c r="A770" s="168" t="e">
        <f t="shared" si="0"/>
        <v>#REF!</v>
      </c>
      <c r="B770" s="175"/>
      <c r="C770" s="175"/>
      <c r="D770" s="169"/>
      <c r="E770" s="170"/>
      <c r="F770" s="169"/>
      <c r="G770" s="176"/>
    </row>
    <row r="771" spans="1:7" ht="12.75">
      <c r="A771" s="168" t="e">
        <f t="shared" si="0"/>
        <v>#REF!</v>
      </c>
      <c r="B771" s="175"/>
      <c r="C771" s="175"/>
      <c r="D771" s="169"/>
      <c r="E771" s="170"/>
      <c r="F771" s="169"/>
      <c r="G771" s="176"/>
    </row>
    <row r="772" spans="1:7" ht="12.75">
      <c r="A772" s="168" t="e">
        <f t="shared" si="0"/>
        <v>#REF!</v>
      </c>
      <c r="B772" s="175"/>
      <c r="C772" s="175"/>
      <c r="D772" s="169"/>
      <c r="E772" s="170"/>
      <c r="F772" s="169"/>
      <c r="G772" s="176"/>
    </row>
    <row r="773" spans="1:7" ht="12.75">
      <c r="A773" s="168" t="e">
        <f t="shared" si="0"/>
        <v>#REF!</v>
      </c>
      <c r="B773" s="175"/>
      <c r="C773" s="175"/>
      <c r="D773" s="169"/>
      <c r="E773" s="170"/>
      <c r="F773" s="169"/>
      <c r="G773" s="176"/>
    </row>
    <row r="774" spans="1:7" ht="12.75">
      <c r="A774" s="168" t="e">
        <f t="shared" si="0"/>
        <v>#REF!</v>
      </c>
      <c r="B774" s="175"/>
      <c r="C774" s="175"/>
      <c r="D774" s="169"/>
      <c r="E774" s="170"/>
      <c r="F774" s="169"/>
      <c r="G774" s="176"/>
    </row>
    <row r="775" spans="1:7" ht="12.75">
      <c r="A775" s="168" t="e">
        <f t="shared" si="0"/>
        <v>#REF!</v>
      </c>
      <c r="B775" s="175"/>
      <c r="C775" s="175"/>
      <c r="D775" s="169"/>
      <c r="E775" s="170"/>
      <c r="F775" s="169"/>
      <c r="G775" s="176"/>
    </row>
    <row r="776" spans="1:7" ht="12.75">
      <c r="A776" s="168" t="e">
        <f t="shared" si="0"/>
        <v>#REF!</v>
      </c>
      <c r="B776" s="175"/>
      <c r="C776" s="175"/>
      <c r="D776" s="169"/>
      <c r="E776" s="170"/>
      <c r="F776" s="169"/>
      <c r="G776" s="176"/>
    </row>
    <row r="777" spans="1:7" ht="12.75">
      <c r="A777" s="168" t="e">
        <f t="shared" si="0"/>
        <v>#REF!</v>
      </c>
      <c r="B777" s="175"/>
      <c r="C777" s="175"/>
      <c r="D777" s="169"/>
      <c r="E777" s="170"/>
      <c r="F777" s="169"/>
      <c r="G777" s="176"/>
    </row>
    <row r="778" spans="1:7" ht="12.75">
      <c r="A778" s="168" t="e">
        <f t="shared" si="0"/>
        <v>#REF!</v>
      </c>
      <c r="B778" s="175"/>
      <c r="C778" s="175"/>
      <c r="D778" s="169"/>
      <c r="E778" s="170"/>
      <c r="F778" s="169"/>
      <c r="G778" s="176"/>
    </row>
    <row r="779" spans="1:7" ht="12.75">
      <c r="A779" s="168" t="e">
        <f t="shared" si="0"/>
        <v>#REF!</v>
      </c>
      <c r="B779" s="175"/>
      <c r="C779" s="175"/>
      <c r="D779" s="169"/>
      <c r="E779" s="170"/>
      <c r="F779" s="169"/>
      <c r="G779" s="176"/>
    </row>
    <row r="780" spans="1:7" ht="12.75">
      <c r="A780" s="168" t="e">
        <f t="shared" si="0"/>
        <v>#REF!</v>
      </c>
      <c r="B780" s="175"/>
      <c r="C780" s="175"/>
      <c r="D780" s="169"/>
      <c r="E780" s="170"/>
      <c r="F780" s="169"/>
      <c r="G780" s="176"/>
    </row>
    <row r="781" spans="1:7" ht="12.75">
      <c r="A781" s="168" t="e">
        <f t="shared" si="0"/>
        <v>#REF!</v>
      </c>
      <c r="B781" s="175"/>
      <c r="C781" s="175"/>
      <c r="D781" s="169"/>
      <c r="E781" s="170"/>
      <c r="F781" s="169"/>
      <c r="G781" s="176"/>
    </row>
    <row r="782" spans="1:7" ht="12.75">
      <c r="A782" s="168" t="e">
        <f t="shared" si="0"/>
        <v>#REF!</v>
      </c>
      <c r="B782" s="175"/>
      <c r="C782" s="175"/>
      <c r="D782" s="169"/>
      <c r="E782" s="170"/>
      <c r="F782" s="169"/>
      <c r="G782" s="176"/>
    </row>
    <row r="783" spans="1:7" ht="12.75">
      <c r="A783" s="168" t="e">
        <f t="shared" si="0"/>
        <v>#REF!</v>
      </c>
      <c r="B783" s="175"/>
      <c r="C783" s="175"/>
      <c r="D783" s="169"/>
      <c r="E783" s="170"/>
      <c r="F783" s="169"/>
      <c r="G783" s="176"/>
    </row>
    <row r="784" spans="1:7" ht="12.75">
      <c r="A784" s="168" t="e">
        <f t="shared" si="0"/>
        <v>#REF!</v>
      </c>
      <c r="B784" s="175"/>
      <c r="C784" s="175"/>
      <c r="D784" s="169"/>
      <c r="E784" s="170"/>
      <c r="F784" s="169"/>
      <c r="G784" s="176"/>
    </row>
    <row r="785" spans="1:7" ht="12.75">
      <c r="A785" s="168" t="e">
        <f t="shared" si="0"/>
        <v>#REF!</v>
      </c>
      <c r="B785" s="175"/>
      <c r="C785" s="175"/>
      <c r="D785" s="169"/>
      <c r="E785" s="170"/>
      <c r="F785" s="169"/>
      <c r="G785" s="176"/>
    </row>
    <row r="786" spans="1:7" ht="12.75">
      <c r="A786" s="168" t="e">
        <f t="shared" si="0"/>
        <v>#REF!</v>
      </c>
      <c r="B786" s="175"/>
      <c r="C786" s="175"/>
      <c r="D786" s="169"/>
      <c r="E786" s="170"/>
      <c r="F786" s="169"/>
      <c r="G786" s="176"/>
    </row>
    <row r="787" spans="1:7" ht="12.75">
      <c r="A787" s="168" t="e">
        <f t="shared" si="0"/>
        <v>#REF!</v>
      </c>
      <c r="B787" s="175"/>
      <c r="C787" s="175"/>
      <c r="D787" s="169"/>
      <c r="E787" s="170"/>
      <c r="F787" s="169"/>
      <c r="G787" s="176"/>
    </row>
    <row r="788" spans="1:7" ht="12.75">
      <c r="A788" s="168" t="e">
        <f t="shared" si="0"/>
        <v>#REF!</v>
      </c>
      <c r="B788" s="175"/>
      <c r="C788" s="175"/>
      <c r="D788" s="169"/>
      <c r="E788" s="170"/>
      <c r="F788" s="169"/>
      <c r="G788" s="176"/>
    </row>
    <row r="789" spans="1:7" ht="12.75">
      <c r="A789" s="168" t="e">
        <f t="shared" si="0"/>
        <v>#REF!</v>
      </c>
      <c r="B789" s="175"/>
      <c r="C789" s="175"/>
      <c r="D789" s="169"/>
      <c r="E789" s="170"/>
      <c r="F789" s="169"/>
      <c r="G789" s="176"/>
    </row>
    <row r="790" spans="1:7" ht="12.75">
      <c r="A790" s="168" t="e">
        <f t="shared" si="0"/>
        <v>#REF!</v>
      </c>
      <c r="B790" s="175"/>
      <c r="C790" s="175"/>
      <c r="D790" s="169"/>
      <c r="E790" s="170"/>
      <c r="F790" s="169"/>
      <c r="G790" s="176"/>
    </row>
    <row r="791" spans="1:7" ht="12.75">
      <c r="A791" s="168" t="e">
        <f t="shared" si="0"/>
        <v>#REF!</v>
      </c>
      <c r="B791" s="175"/>
      <c r="C791" s="175"/>
      <c r="D791" s="169"/>
      <c r="E791" s="170"/>
      <c r="F791" s="169"/>
      <c r="G791" s="176"/>
    </row>
    <row r="792" spans="1:7" ht="12.75">
      <c r="A792" s="168" t="e">
        <f t="shared" si="0"/>
        <v>#REF!</v>
      </c>
      <c r="B792" s="175"/>
      <c r="C792" s="175"/>
      <c r="D792" s="169"/>
      <c r="E792" s="170"/>
      <c r="F792" s="169"/>
      <c r="G792" s="176"/>
    </row>
    <row r="793" spans="1:7" ht="12.75">
      <c r="A793" s="168" t="e">
        <f t="shared" si="0"/>
        <v>#REF!</v>
      </c>
      <c r="B793" s="175"/>
      <c r="C793" s="175"/>
      <c r="D793" s="169"/>
      <c r="E793" s="170"/>
      <c r="F793" s="169"/>
      <c r="G793" s="176"/>
    </row>
    <row r="794" spans="1:7" ht="12.75">
      <c r="A794" s="168" t="e">
        <f t="shared" si="0"/>
        <v>#REF!</v>
      </c>
      <c r="B794" s="175"/>
      <c r="C794" s="175"/>
      <c r="D794" s="169"/>
      <c r="E794" s="170"/>
      <c r="F794" s="169"/>
      <c r="G794" s="176"/>
    </row>
    <row r="795" spans="1:7" ht="12.75">
      <c r="A795" s="168" t="e">
        <f t="shared" si="0"/>
        <v>#REF!</v>
      </c>
      <c r="B795" s="175"/>
      <c r="C795" s="175"/>
      <c r="D795" s="169"/>
      <c r="E795" s="170"/>
      <c r="F795" s="169"/>
      <c r="G795" s="176"/>
    </row>
    <row r="796" spans="1:7" ht="12.75">
      <c r="A796" s="168" t="e">
        <f t="shared" si="0"/>
        <v>#REF!</v>
      </c>
      <c r="B796" s="175"/>
      <c r="C796" s="175"/>
      <c r="D796" s="169"/>
      <c r="E796" s="170"/>
      <c r="F796" s="169"/>
      <c r="G796" s="176"/>
    </row>
    <row r="797" spans="1:7" ht="12.75">
      <c r="A797" s="168" t="e">
        <f t="shared" si="0"/>
        <v>#REF!</v>
      </c>
      <c r="B797" s="175"/>
      <c r="C797" s="175"/>
      <c r="D797" s="169"/>
      <c r="E797" s="170"/>
      <c r="F797" s="169"/>
      <c r="G797" s="176"/>
    </row>
    <row r="798" spans="1:7" ht="12.75">
      <c r="A798" s="168" t="e">
        <f t="shared" si="0"/>
        <v>#REF!</v>
      </c>
      <c r="B798" s="175"/>
      <c r="C798" s="175"/>
      <c r="D798" s="169"/>
      <c r="E798" s="170"/>
      <c r="F798" s="169"/>
      <c r="G798" s="176"/>
    </row>
    <row r="799" spans="1:7" ht="12.75">
      <c r="A799" s="168" t="e">
        <f t="shared" si="0"/>
        <v>#REF!</v>
      </c>
      <c r="B799" s="175"/>
      <c r="C799" s="175"/>
      <c r="D799" s="169"/>
      <c r="E799" s="170"/>
      <c r="F799" s="169"/>
      <c r="G799" s="176"/>
    </row>
    <row r="800" spans="1:7" ht="12.75">
      <c r="A800" s="168" t="e">
        <f t="shared" si="0"/>
        <v>#REF!</v>
      </c>
      <c r="B800" s="175"/>
      <c r="C800" s="175"/>
      <c r="D800" s="169"/>
      <c r="E800" s="170"/>
      <c r="F800" s="169"/>
      <c r="G800" s="176"/>
    </row>
    <row r="801" spans="1:7" ht="12.75">
      <c r="A801" s="168" t="e">
        <f t="shared" si="0"/>
        <v>#REF!</v>
      </c>
      <c r="B801" s="175"/>
      <c r="C801" s="175"/>
      <c r="D801" s="169"/>
      <c r="E801" s="170"/>
      <c r="F801" s="169"/>
      <c r="G801" s="176"/>
    </row>
    <row r="802" spans="1:7" ht="12.75">
      <c r="A802" s="168" t="e">
        <f t="shared" si="0"/>
        <v>#REF!</v>
      </c>
      <c r="B802" s="175"/>
      <c r="C802" s="175"/>
      <c r="D802" s="169"/>
      <c r="E802" s="170"/>
      <c r="F802" s="169"/>
      <c r="G802" s="176"/>
    </row>
    <row r="803" spans="1:7" ht="12.75">
      <c r="A803" s="168" t="e">
        <f t="shared" si="0"/>
        <v>#REF!</v>
      </c>
      <c r="B803" s="175"/>
      <c r="C803" s="175"/>
      <c r="D803" s="169"/>
      <c r="E803" s="170"/>
      <c r="F803" s="169"/>
      <c r="G803" s="176"/>
    </row>
    <row r="804" spans="1:7" ht="12.75">
      <c r="A804" s="168" t="e">
        <f t="shared" si="0"/>
        <v>#REF!</v>
      </c>
      <c r="B804" s="175"/>
      <c r="C804" s="175"/>
      <c r="D804" s="169"/>
      <c r="E804" s="170"/>
      <c r="F804" s="169"/>
      <c r="G804" s="176"/>
    </row>
    <row r="805" spans="1:7" ht="12.75">
      <c r="A805" s="168" t="e">
        <f t="shared" si="0"/>
        <v>#REF!</v>
      </c>
      <c r="B805" s="175"/>
      <c r="C805" s="175"/>
      <c r="D805" s="169"/>
      <c r="E805" s="170"/>
      <c r="F805" s="169"/>
      <c r="G805" s="176"/>
    </row>
    <row r="806" spans="1:7" ht="12.75">
      <c r="A806" s="168" t="e">
        <f t="shared" si="0"/>
        <v>#REF!</v>
      </c>
      <c r="B806" s="175"/>
      <c r="C806" s="175"/>
      <c r="D806" s="169"/>
      <c r="E806" s="170"/>
      <c r="F806" s="169"/>
      <c r="G806" s="176"/>
    </row>
    <row r="807" spans="1:7" ht="12.75">
      <c r="A807" s="168" t="e">
        <f t="shared" si="0"/>
        <v>#REF!</v>
      </c>
      <c r="B807" s="175"/>
      <c r="C807" s="175"/>
      <c r="D807" s="169"/>
      <c r="E807" s="170"/>
      <c r="F807" s="169"/>
      <c r="G807" s="176"/>
    </row>
    <row r="808" spans="1:7" ht="12.75">
      <c r="A808" s="168" t="e">
        <f t="shared" si="0"/>
        <v>#REF!</v>
      </c>
      <c r="B808" s="175"/>
      <c r="C808" s="175"/>
      <c r="D808" s="169"/>
      <c r="E808" s="170"/>
      <c r="F808" s="169"/>
      <c r="G808" s="176"/>
    </row>
    <row r="809" spans="1:7" ht="12.75">
      <c r="A809" s="168" t="e">
        <f t="shared" si="0"/>
        <v>#REF!</v>
      </c>
      <c r="B809" s="175"/>
      <c r="C809" s="175"/>
      <c r="D809" s="169"/>
      <c r="E809" s="170"/>
      <c r="F809" s="169"/>
      <c r="G809" s="176"/>
    </row>
    <row r="810" spans="1:7" ht="12.75">
      <c r="A810" s="168" t="e">
        <f t="shared" si="0"/>
        <v>#REF!</v>
      </c>
      <c r="B810" s="175"/>
      <c r="C810" s="175"/>
      <c r="D810" s="169"/>
      <c r="E810" s="170"/>
      <c r="F810" s="169"/>
      <c r="G810" s="176"/>
    </row>
    <row r="811" spans="1:7" ht="12.75">
      <c r="A811" s="168" t="e">
        <f t="shared" si="0"/>
        <v>#REF!</v>
      </c>
      <c r="B811" s="175"/>
      <c r="C811" s="175"/>
      <c r="D811" s="169"/>
      <c r="E811" s="170"/>
      <c r="F811" s="169"/>
      <c r="G811" s="176"/>
    </row>
    <row r="812" spans="1:7" ht="12.75">
      <c r="A812" s="168" t="e">
        <f t="shared" si="0"/>
        <v>#REF!</v>
      </c>
      <c r="B812" s="175"/>
      <c r="C812" s="175"/>
      <c r="D812" s="169"/>
      <c r="E812" s="170"/>
      <c r="F812" s="169"/>
      <c r="G812" s="176"/>
    </row>
    <row r="813" spans="1:7" ht="12.75">
      <c r="A813" s="168" t="e">
        <f t="shared" si="0"/>
        <v>#REF!</v>
      </c>
      <c r="B813" s="175"/>
      <c r="C813" s="175"/>
      <c r="D813" s="169"/>
      <c r="E813" s="170"/>
      <c r="F813" s="169"/>
      <c r="G813" s="176"/>
    </row>
    <row r="814" spans="1:7" ht="12.75">
      <c r="A814" s="168" t="e">
        <f t="shared" si="0"/>
        <v>#REF!</v>
      </c>
      <c r="B814" s="175"/>
      <c r="C814" s="175"/>
      <c r="D814" s="169"/>
      <c r="E814" s="170"/>
      <c r="F814" s="169"/>
      <c r="G814" s="176"/>
    </row>
    <row r="815" spans="1:7" ht="12.75">
      <c r="A815" s="168" t="e">
        <f t="shared" si="0"/>
        <v>#REF!</v>
      </c>
      <c r="B815" s="175"/>
      <c r="C815" s="175"/>
      <c r="D815" s="169"/>
      <c r="E815" s="170"/>
      <c r="F815" s="169"/>
      <c r="G815" s="176"/>
    </row>
    <row r="816" spans="1:7" ht="12.75">
      <c r="A816" s="168" t="e">
        <f t="shared" si="0"/>
        <v>#REF!</v>
      </c>
      <c r="B816" s="175"/>
      <c r="C816" s="175"/>
      <c r="D816" s="169"/>
      <c r="E816" s="170"/>
      <c r="F816" s="169"/>
      <c r="G816" s="176"/>
    </row>
    <row r="817" spans="1:7" ht="12.75">
      <c r="A817" s="168" t="e">
        <f t="shared" si="0"/>
        <v>#REF!</v>
      </c>
      <c r="B817" s="175"/>
      <c r="C817" s="175"/>
      <c r="D817" s="169"/>
      <c r="E817" s="170"/>
      <c r="F817" s="169"/>
      <c r="G817" s="176"/>
    </row>
    <row r="818" spans="1:7" ht="12.75">
      <c r="A818" s="168" t="e">
        <f t="shared" si="0"/>
        <v>#REF!</v>
      </c>
      <c r="B818" s="175"/>
      <c r="C818" s="175"/>
      <c r="D818" s="169"/>
      <c r="E818" s="170"/>
      <c r="F818" s="169"/>
      <c r="G818" s="176"/>
    </row>
    <row r="819" spans="1:7" ht="12.75">
      <c r="A819" s="168" t="e">
        <f t="shared" si="0"/>
        <v>#REF!</v>
      </c>
      <c r="B819" s="175"/>
      <c r="C819" s="175"/>
      <c r="D819" s="169"/>
      <c r="E819" s="170"/>
      <c r="F819" s="169"/>
      <c r="G819" s="176"/>
    </row>
    <row r="820" spans="1:7" ht="12.75">
      <c r="A820" s="168" t="e">
        <f t="shared" si="0"/>
        <v>#REF!</v>
      </c>
      <c r="B820" s="175"/>
      <c r="C820" s="175"/>
      <c r="D820" s="169"/>
      <c r="E820" s="170"/>
      <c r="F820" s="169"/>
      <c r="G820" s="176"/>
    </row>
    <row r="821" spans="1:7" ht="12.75">
      <c r="A821" s="168" t="e">
        <f t="shared" si="0"/>
        <v>#REF!</v>
      </c>
      <c r="B821" s="175"/>
      <c r="C821" s="175"/>
      <c r="D821" s="169"/>
      <c r="E821" s="170"/>
      <c r="F821" s="169"/>
      <c r="G821" s="176"/>
    </row>
    <row r="822" spans="1:7" ht="12.75">
      <c r="A822" s="168" t="e">
        <f t="shared" si="0"/>
        <v>#REF!</v>
      </c>
      <c r="B822" s="175"/>
      <c r="C822" s="175"/>
      <c r="D822" s="169"/>
      <c r="E822" s="170"/>
      <c r="F822" s="169"/>
      <c r="G822" s="176"/>
    </row>
    <row r="823" spans="1:7" ht="12.75">
      <c r="A823" s="168" t="e">
        <f t="shared" si="0"/>
        <v>#REF!</v>
      </c>
      <c r="B823" s="175"/>
      <c r="C823" s="175"/>
      <c r="D823" s="169"/>
      <c r="E823" s="170"/>
      <c r="F823" s="169"/>
      <c r="G823" s="176"/>
    </row>
    <row r="824" spans="1:7" ht="12.75">
      <c r="A824" s="168" t="e">
        <f t="shared" si="0"/>
        <v>#REF!</v>
      </c>
      <c r="B824" s="175"/>
      <c r="C824" s="175"/>
      <c r="D824" s="169"/>
      <c r="E824" s="170"/>
      <c r="F824" s="169"/>
      <c r="G824" s="176"/>
    </row>
    <row r="825" spans="1:7" ht="12.75">
      <c r="A825" s="168" t="e">
        <f t="shared" si="0"/>
        <v>#REF!</v>
      </c>
      <c r="B825" s="175"/>
      <c r="C825" s="175"/>
      <c r="D825" s="169"/>
      <c r="E825" s="170"/>
      <c r="F825" s="169"/>
      <c r="G825" s="176"/>
    </row>
    <row r="826" spans="1:7" ht="12.75">
      <c r="A826" s="168" t="e">
        <f t="shared" si="0"/>
        <v>#REF!</v>
      </c>
      <c r="B826" s="175"/>
      <c r="C826" s="175"/>
      <c r="D826" s="169"/>
      <c r="E826" s="170"/>
      <c r="F826" s="169"/>
      <c r="G826" s="176"/>
    </row>
    <row r="827" spans="1:7" ht="12.75">
      <c r="A827" s="168" t="e">
        <f t="shared" si="0"/>
        <v>#REF!</v>
      </c>
      <c r="B827" s="175"/>
      <c r="C827" s="175"/>
      <c r="D827" s="169"/>
      <c r="E827" s="170"/>
      <c r="F827" s="169"/>
      <c r="G827" s="176"/>
    </row>
    <row r="828" spans="1:7" ht="12.75">
      <c r="A828" s="168" t="e">
        <f t="shared" si="0"/>
        <v>#REF!</v>
      </c>
      <c r="B828" s="175"/>
      <c r="C828" s="175"/>
      <c r="D828" s="169"/>
      <c r="E828" s="170"/>
      <c r="F828" s="169"/>
      <c r="G828" s="176"/>
    </row>
    <row r="829" spans="1:7" ht="12.75">
      <c r="A829" s="168" t="e">
        <f t="shared" si="0"/>
        <v>#REF!</v>
      </c>
      <c r="B829" s="175"/>
      <c r="C829" s="175"/>
      <c r="D829" s="169"/>
      <c r="E829" s="170"/>
      <c r="F829" s="169"/>
      <c r="G829" s="176"/>
    </row>
    <row r="830" spans="1:7" ht="12.75">
      <c r="A830" s="168" t="e">
        <f t="shared" si="0"/>
        <v>#REF!</v>
      </c>
      <c r="B830" s="175"/>
      <c r="C830" s="175"/>
      <c r="D830" s="169"/>
      <c r="E830" s="170"/>
      <c r="F830" s="169"/>
      <c r="G830" s="176"/>
    </row>
    <row r="831" spans="1:7" ht="12.75">
      <c r="A831" s="168" t="e">
        <f t="shared" si="0"/>
        <v>#REF!</v>
      </c>
      <c r="B831" s="175"/>
      <c r="C831" s="175"/>
      <c r="D831" s="169"/>
      <c r="E831" s="170"/>
      <c r="F831" s="169"/>
      <c r="G831" s="176"/>
    </row>
    <row r="832" spans="1:7" ht="12.75">
      <c r="A832" s="168" t="e">
        <f t="shared" si="0"/>
        <v>#REF!</v>
      </c>
      <c r="B832" s="175"/>
      <c r="C832" s="175"/>
      <c r="D832" s="169"/>
      <c r="E832" s="170"/>
      <c r="F832" s="169"/>
      <c r="G832" s="176"/>
    </row>
    <row r="833" spans="1:7" ht="12.75">
      <c r="A833" s="168" t="e">
        <f t="shared" si="0"/>
        <v>#REF!</v>
      </c>
      <c r="B833" s="175"/>
      <c r="C833" s="175"/>
      <c r="D833" s="169"/>
      <c r="E833" s="170"/>
      <c r="F833" s="169"/>
      <c r="G833" s="176"/>
    </row>
    <row r="834" spans="1:7" ht="12.75">
      <c r="A834" s="168" t="e">
        <f t="shared" si="0"/>
        <v>#REF!</v>
      </c>
      <c r="B834" s="175"/>
      <c r="C834" s="175"/>
      <c r="D834" s="169"/>
      <c r="E834" s="170"/>
      <c r="F834" s="169"/>
      <c r="G834" s="176"/>
    </row>
    <row r="835" spans="1:7" ht="12.75">
      <c r="A835" s="168" t="e">
        <f t="shared" si="0"/>
        <v>#REF!</v>
      </c>
      <c r="B835" s="175"/>
      <c r="C835" s="175"/>
      <c r="D835" s="169"/>
      <c r="E835" s="170"/>
      <c r="F835" s="169"/>
      <c r="G835" s="176"/>
    </row>
    <row r="836" spans="1:7" ht="12.75">
      <c r="A836" s="168" t="e">
        <f t="shared" si="0"/>
        <v>#REF!</v>
      </c>
      <c r="B836" s="175"/>
      <c r="C836" s="175"/>
      <c r="D836" s="169"/>
      <c r="E836" s="170"/>
      <c r="F836" s="169"/>
      <c r="G836" s="176"/>
    </row>
    <row r="837" spans="1:7" ht="12.75">
      <c r="A837" s="168" t="e">
        <f t="shared" si="0"/>
        <v>#REF!</v>
      </c>
      <c r="B837" s="175"/>
      <c r="C837" s="175"/>
      <c r="D837" s="169"/>
      <c r="E837" s="170"/>
      <c r="F837" s="169"/>
      <c r="G837" s="176"/>
    </row>
    <row r="838" spans="1:7" ht="12.75">
      <c r="A838" s="168" t="e">
        <f t="shared" si="0"/>
        <v>#REF!</v>
      </c>
      <c r="B838" s="175"/>
      <c r="C838" s="175"/>
      <c r="D838" s="169"/>
      <c r="E838" s="170"/>
      <c r="F838" s="169"/>
      <c r="G838" s="176"/>
    </row>
    <row r="839" spans="1:7" ht="12.75">
      <c r="A839" s="168" t="e">
        <f t="shared" si="0"/>
        <v>#REF!</v>
      </c>
      <c r="B839" s="175"/>
      <c r="C839" s="175"/>
      <c r="D839" s="169"/>
      <c r="E839" s="170"/>
      <c r="F839" s="169"/>
      <c r="G839" s="176"/>
    </row>
    <row r="840" spans="1:7" ht="12.75">
      <c r="A840" s="168" t="e">
        <f t="shared" si="0"/>
        <v>#REF!</v>
      </c>
      <c r="B840" s="175"/>
      <c r="C840" s="175"/>
      <c r="D840" s="169"/>
      <c r="E840" s="170"/>
      <c r="F840" s="169"/>
      <c r="G840" s="176"/>
    </row>
    <row r="841" spans="1:7" ht="12.75">
      <c r="A841" s="168" t="e">
        <f t="shared" si="0"/>
        <v>#REF!</v>
      </c>
      <c r="B841" s="175"/>
      <c r="C841" s="175"/>
      <c r="D841" s="169"/>
      <c r="E841" s="170"/>
      <c r="F841" s="169"/>
      <c r="G841" s="176"/>
    </row>
    <row r="842" spans="1:7" ht="12.75">
      <c r="A842" s="168" t="e">
        <f t="shared" si="0"/>
        <v>#REF!</v>
      </c>
      <c r="B842" s="175"/>
      <c r="C842" s="175"/>
      <c r="D842" s="169"/>
      <c r="E842" s="170"/>
      <c r="F842" s="169"/>
      <c r="G842" s="176"/>
    </row>
    <row r="843" spans="1:7" ht="12.75">
      <c r="A843" s="168" t="e">
        <f t="shared" si="0"/>
        <v>#REF!</v>
      </c>
      <c r="B843" s="175"/>
      <c r="C843" s="175"/>
      <c r="D843" s="169"/>
      <c r="E843" s="170"/>
      <c r="F843" s="169"/>
      <c r="G843" s="176"/>
    </row>
    <row r="844" spans="1:7" ht="12.75">
      <c r="A844" s="168" t="e">
        <f t="shared" si="0"/>
        <v>#REF!</v>
      </c>
      <c r="B844" s="175"/>
      <c r="C844" s="175"/>
      <c r="D844" s="169"/>
      <c r="E844" s="170"/>
      <c r="F844" s="169"/>
      <c r="G844" s="176"/>
    </row>
    <row r="845" spans="1:7" ht="12.75">
      <c r="A845" s="168" t="e">
        <f t="shared" si="0"/>
        <v>#REF!</v>
      </c>
      <c r="B845" s="175"/>
      <c r="C845" s="175"/>
      <c r="D845" s="169"/>
      <c r="E845" s="170"/>
      <c r="F845" s="169"/>
      <c r="G845" s="176"/>
    </row>
    <row r="846" spans="1:7" ht="12.75">
      <c r="A846" s="168" t="e">
        <f t="shared" si="0"/>
        <v>#REF!</v>
      </c>
      <c r="B846" s="175"/>
      <c r="C846" s="175"/>
      <c r="D846" s="169"/>
      <c r="E846" s="170"/>
      <c r="F846" s="169"/>
      <c r="G846" s="176"/>
    </row>
    <row r="847" spans="1:7" ht="12.75">
      <c r="A847" s="168" t="e">
        <f t="shared" si="0"/>
        <v>#REF!</v>
      </c>
      <c r="B847" s="175"/>
      <c r="C847" s="175"/>
      <c r="D847" s="169"/>
      <c r="E847" s="170"/>
      <c r="F847" s="169"/>
      <c r="G847" s="176"/>
    </row>
    <row r="848" spans="1:7" ht="12.75">
      <c r="A848" s="168" t="e">
        <f t="shared" si="0"/>
        <v>#REF!</v>
      </c>
      <c r="B848" s="175"/>
      <c r="C848" s="175"/>
      <c r="D848" s="169"/>
      <c r="E848" s="170"/>
      <c r="F848" s="169"/>
      <c r="G848" s="176"/>
    </row>
    <row r="849" spans="1:7" ht="12.75">
      <c r="A849" s="168" t="e">
        <f t="shared" si="0"/>
        <v>#REF!</v>
      </c>
      <c r="B849" s="175"/>
      <c r="C849" s="175"/>
      <c r="D849" s="169"/>
      <c r="E849" s="170"/>
      <c r="F849" s="169"/>
      <c r="G849" s="176"/>
    </row>
    <row r="850" spans="1:7" ht="12.75">
      <c r="A850" s="168" t="e">
        <f t="shared" si="0"/>
        <v>#REF!</v>
      </c>
      <c r="B850" s="175"/>
      <c r="C850" s="175"/>
      <c r="D850" s="169"/>
      <c r="E850" s="170"/>
      <c r="F850" s="169"/>
      <c r="G850" s="176"/>
    </row>
    <row r="851" spans="1:7" ht="12.75">
      <c r="A851" s="168" t="e">
        <f t="shared" si="0"/>
        <v>#REF!</v>
      </c>
      <c r="B851" s="175"/>
      <c r="C851" s="175"/>
      <c r="D851" s="169"/>
      <c r="E851" s="170"/>
      <c r="F851" s="169"/>
      <c r="G851" s="176"/>
    </row>
    <row r="852" spans="1:7" ht="12.75">
      <c r="A852" s="168" t="e">
        <f t="shared" si="0"/>
        <v>#REF!</v>
      </c>
      <c r="B852" s="175"/>
      <c r="C852" s="175"/>
      <c r="D852" s="169"/>
      <c r="E852" s="170"/>
      <c r="F852" s="169"/>
      <c r="G852" s="176"/>
    </row>
    <row r="853" spans="1:7" ht="12.75">
      <c r="A853" s="168" t="e">
        <f t="shared" si="0"/>
        <v>#REF!</v>
      </c>
      <c r="B853" s="175"/>
      <c r="C853" s="175"/>
      <c r="D853" s="169"/>
      <c r="E853" s="170"/>
      <c r="F853" s="169"/>
      <c r="G853" s="176"/>
    </row>
    <row r="854" spans="1:7" ht="12.75">
      <c r="A854" s="168" t="e">
        <f t="shared" si="0"/>
        <v>#REF!</v>
      </c>
      <c r="B854" s="175"/>
      <c r="C854" s="175"/>
      <c r="D854" s="169"/>
      <c r="E854" s="170"/>
      <c r="F854" s="169"/>
      <c r="G854" s="176"/>
    </row>
    <row r="855" spans="1:7" ht="12.75">
      <c r="A855" s="168" t="e">
        <f t="shared" si="0"/>
        <v>#REF!</v>
      </c>
      <c r="B855" s="175"/>
      <c r="C855" s="175"/>
      <c r="D855" s="169"/>
      <c r="E855" s="170"/>
      <c r="F855" s="169"/>
      <c r="G855" s="176"/>
    </row>
    <row r="856" spans="1:7" ht="12.75">
      <c r="A856" s="168" t="e">
        <f t="shared" si="0"/>
        <v>#REF!</v>
      </c>
      <c r="B856" s="175"/>
      <c r="C856" s="175"/>
      <c r="D856" s="169"/>
      <c r="E856" s="170"/>
      <c r="F856" s="169"/>
      <c r="G856" s="176"/>
    </row>
    <row r="857" spans="1:7" ht="12.75">
      <c r="A857" s="168" t="e">
        <f t="shared" si="0"/>
        <v>#REF!</v>
      </c>
      <c r="B857" s="175"/>
      <c r="C857" s="175"/>
      <c r="D857" s="169"/>
      <c r="E857" s="170"/>
      <c r="F857" s="169"/>
      <c r="G857" s="176"/>
    </row>
    <row r="858" spans="1:7" ht="12.75">
      <c r="A858" s="168" t="e">
        <f t="shared" si="0"/>
        <v>#REF!</v>
      </c>
      <c r="B858" s="175"/>
      <c r="C858" s="175"/>
      <c r="D858" s="169"/>
      <c r="E858" s="170"/>
      <c r="F858" s="169"/>
      <c r="G858" s="176"/>
    </row>
    <row r="859" spans="1:7" ht="12.75">
      <c r="A859" s="168" t="e">
        <f t="shared" si="0"/>
        <v>#REF!</v>
      </c>
      <c r="B859" s="175"/>
      <c r="C859" s="175"/>
      <c r="D859" s="169"/>
      <c r="E859" s="170"/>
      <c r="F859" s="169"/>
      <c r="G859" s="176"/>
    </row>
    <row r="860" spans="1:7" ht="12.75">
      <c r="A860" s="168" t="e">
        <f t="shared" si="0"/>
        <v>#REF!</v>
      </c>
      <c r="B860" s="175"/>
      <c r="C860" s="175"/>
      <c r="D860" s="169"/>
      <c r="E860" s="170"/>
      <c r="F860" s="169"/>
      <c r="G860" s="176"/>
    </row>
    <row r="861" spans="1:7" ht="12.75">
      <c r="A861" s="168" t="e">
        <f t="shared" si="0"/>
        <v>#REF!</v>
      </c>
      <c r="B861" s="175"/>
      <c r="C861" s="175"/>
      <c r="D861" s="169"/>
      <c r="E861" s="170"/>
      <c r="F861" s="169"/>
      <c r="G861" s="176"/>
    </row>
    <row r="862" spans="1:7" ht="12.75">
      <c r="A862" s="168" t="e">
        <f t="shared" si="0"/>
        <v>#REF!</v>
      </c>
      <c r="B862" s="175"/>
      <c r="C862" s="175"/>
      <c r="D862" s="169"/>
      <c r="E862" s="170"/>
      <c r="F862" s="169"/>
      <c r="G862" s="176"/>
    </row>
    <row r="863" spans="1:7" ht="12.75">
      <c r="A863" s="168" t="e">
        <f t="shared" si="0"/>
        <v>#REF!</v>
      </c>
      <c r="B863" s="175"/>
      <c r="C863" s="175"/>
      <c r="D863" s="169"/>
      <c r="E863" s="170"/>
      <c r="F863" s="169"/>
      <c r="G863" s="176"/>
    </row>
    <row r="864" spans="1:7" ht="12.75">
      <c r="A864" s="168" t="e">
        <f t="shared" si="0"/>
        <v>#REF!</v>
      </c>
      <c r="B864" s="175"/>
      <c r="C864" s="175"/>
      <c r="D864" s="169"/>
      <c r="E864" s="170"/>
      <c r="F864" s="169"/>
      <c r="G864" s="176"/>
    </row>
    <row r="865" spans="1:7" ht="12.75">
      <c r="A865" s="168" t="e">
        <f t="shared" si="0"/>
        <v>#REF!</v>
      </c>
      <c r="B865" s="175"/>
      <c r="C865" s="175"/>
      <c r="D865" s="169"/>
      <c r="E865" s="170"/>
      <c r="F865" s="169"/>
      <c r="G865" s="176"/>
    </row>
    <row r="866" spans="1:7" ht="12.75">
      <c r="A866" s="168" t="e">
        <f t="shared" si="0"/>
        <v>#REF!</v>
      </c>
      <c r="B866" s="175"/>
      <c r="C866" s="175"/>
      <c r="D866" s="169"/>
      <c r="E866" s="170"/>
      <c r="F866" s="169"/>
      <c r="G866" s="176"/>
    </row>
    <row r="867" spans="1:7" ht="12.75">
      <c r="A867" s="168" t="e">
        <f t="shared" si="0"/>
        <v>#REF!</v>
      </c>
      <c r="B867" s="175"/>
      <c r="C867" s="175"/>
      <c r="D867" s="169"/>
      <c r="E867" s="170"/>
      <c r="F867" s="169"/>
      <c r="G867" s="176"/>
    </row>
    <row r="868" spans="1:7" ht="12.75">
      <c r="A868" s="168" t="e">
        <f t="shared" si="0"/>
        <v>#REF!</v>
      </c>
      <c r="B868" s="175"/>
      <c r="C868" s="175"/>
      <c r="D868" s="169"/>
      <c r="E868" s="170"/>
      <c r="F868" s="169"/>
      <c r="G868" s="176"/>
    </row>
    <row r="869" spans="1:7" ht="12.75">
      <c r="A869" s="168" t="e">
        <f t="shared" si="0"/>
        <v>#REF!</v>
      </c>
      <c r="B869" s="175"/>
      <c r="C869" s="175"/>
      <c r="D869" s="169"/>
      <c r="E869" s="170"/>
      <c r="F869" s="169"/>
      <c r="G869" s="176"/>
    </row>
    <row r="870" spans="1:7" ht="12.75">
      <c r="A870" s="168" t="e">
        <f t="shared" si="0"/>
        <v>#REF!</v>
      </c>
      <c r="B870" s="175"/>
      <c r="C870" s="175"/>
      <c r="D870" s="169"/>
      <c r="E870" s="170"/>
      <c r="F870" s="169"/>
      <c r="G870" s="176"/>
    </row>
    <row r="871" spans="1:7" ht="12.75">
      <c r="A871" s="168" t="e">
        <f t="shared" si="0"/>
        <v>#REF!</v>
      </c>
      <c r="B871" s="175"/>
      <c r="C871" s="175"/>
      <c r="D871" s="169"/>
      <c r="E871" s="170"/>
      <c r="F871" s="169"/>
      <c r="G871" s="176"/>
    </row>
    <row r="872" spans="1:7" ht="12.75">
      <c r="A872" s="168" t="e">
        <f t="shared" si="0"/>
        <v>#REF!</v>
      </c>
      <c r="B872" s="175"/>
      <c r="C872" s="175"/>
      <c r="D872" s="169"/>
      <c r="E872" s="170"/>
      <c r="F872" s="169"/>
      <c r="G872" s="176"/>
    </row>
    <row r="873" spans="1:7" ht="12.75">
      <c r="A873" s="168" t="e">
        <f t="shared" si="0"/>
        <v>#REF!</v>
      </c>
      <c r="B873" s="175"/>
      <c r="C873" s="175"/>
      <c r="D873" s="169"/>
      <c r="E873" s="170"/>
      <c r="F873" s="169"/>
      <c r="G873" s="176"/>
    </row>
    <row r="874" spans="1:7" ht="12.75">
      <c r="A874" s="168" t="e">
        <f t="shared" si="0"/>
        <v>#REF!</v>
      </c>
      <c r="B874" s="175"/>
      <c r="C874" s="175"/>
      <c r="D874" s="169"/>
      <c r="E874" s="170"/>
      <c r="F874" s="169"/>
      <c r="G874" s="176"/>
    </row>
    <row r="875" spans="1:7" ht="12.75">
      <c r="A875" s="168" t="e">
        <f t="shared" si="0"/>
        <v>#REF!</v>
      </c>
      <c r="B875" s="175"/>
      <c r="C875" s="175"/>
      <c r="D875" s="169"/>
      <c r="E875" s="170"/>
      <c r="F875" s="169"/>
      <c r="G875" s="176"/>
    </row>
    <row r="876" spans="1:7" ht="12.75">
      <c r="A876" s="168" t="e">
        <f t="shared" si="0"/>
        <v>#REF!</v>
      </c>
      <c r="B876" s="175"/>
      <c r="C876" s="175"/>
      <c r="D876" s="169"/>
      <c r="E876" s="170"/>
      <c r="F876" s="169"/>
      <c r="G876" s="176"/>
    </row>
    <row r="877" spans="1:7" ht="12.75">
      <c r="A877" s="168" t="e">
        <f t="shared" si="0"/>
        <v>#REF!</v>
      </c>
      <c r="B877" s="175"/>
      <c r="C877" s="175"/>
      <c r="D877" s="169"/>
      <c r="E877" s="170"/>
      <c r="F877" s="169"/>
      <c r="G877" s="176"/>
    </row>
    <row r="878" spans="1:7" ht="12.75">
      <c r="A878" s="168" t="e">
        <f t="shared" si="0"/>
        <v>#REF!</v>
      </c>
      <c r="B878" s="175"/>
      <c r="C878" s="175"/>
      <c r="D878" s="169"/>
      <c r="E878" s="170"/>
      <c r="F878" s="169"/>
      <c r="G878" s="176"/>
    </row>
    <row r="879" spans="1:7" ht="12.75">
      <c r="A879" s="168" t="e">
        <f t="shared" si="0"/>
        <v>#REF!</v>
      </c>
      <c r="B879" s="175"/>
      <c r="C879" s="175"/>
      <c r="D879" s="169"/>
      <c r="E879" s="170"/>
      <c r="F879" s="169"/>
      <c r="G879" s="176"/>
    </row>
    <row r="880" spans="1:7" ht="12.75">
      <c r="A880" s="168" t="e">
        <f t="shared" si="0"/>
        <v>#REF!</v>
      </c>
      <c r="B880" s="175"/>
      <c r="C880" s="175"/>
      <c r="D880" s="169"/>
      <c r="E880" s="170"/>
      <c r="F880" s="169"/>
      <c r="G880" s="176"/>
    </row>
    <row r="881" spans="1:7" ht="12.75">
      <c r="A881" s="168" t="e">
        <f t="shared" si="0"/>
        <v>#REF!</v>
      </c>
      <c r="B881" s="175"/>
      <c r="C881" s="175"/>
      <c r="D881" s="169"/>
      <c r="E881" s="170"/>
      <c r="F881" s="169"/>
      <c r="G881" s="176"/>
    </row>
    <row r="882" spans="1:7" ht="12.75">
      <c r="A882" s="168" t="e">
        <f t="shared" si="0"/>
        <v>#REF!</v>
      </c>
      <c r="B882" s="175"/>
      <c r="C882" s="175"/>
      <c r="D882" s="169"/>
      <c r="E882" s="170"/>
      <c r="F882" s="169"/>
      <c r="G882" s="176"/>
    </row>
    <row r="883" spans="1:7" ht="12.75">
      <c r="A883" s="168" t="e">
        <f t="shared" si="0"/>
        <v>#REF!</v>
      </c>
      <c r="B883" s="175"/>
      <c r="C883" s="175"/>
      <c r="D883" s="169"/>
      <c r="E883" s="170"/>
      <c r="F883" s="169"/>
      <c r="G883" s="176"/>
    </row>
    <row r="884" spans="1:7" ht="12.75">
      <c r="A884" s="168" t="e">
        <f t="shared" si="0"/>
        <v>#REF!</v>
      </c>
      <c r="B884" s="175"/>
      <c r="C884" s="175"/>
      <c r="D884" s="169"/>
      <c r="E884" s="170"/>
      <c r="F884" s="169"/>
      <c r="G884" s="176"/>
    </row>
    <row r="885" spans="1:7" ht="12.75">
      <c r="A885" s="168" t="e">
        <f t="shared" si="0"/>
        <v>#REF!</v>
      </c>
      <c r="B885" s="175"/>
      <c r="C885" s="175"/>
      <c r="D885" s="169"/>
      <c r="E885" s="170"/>
      <c r="F885" s="169"/>
      <c r="G885" s="176"/>
    </row>
    <row r="886" spans="1:7" ht="12.75">
      <c r="A886" s="168" t="e">
        <f t="shared" si="0"/>
        <v>#REF!</v>
      </c>
      <c r="B886" s="175"/>
      <c r="C886" s="175"/>
      <c r="D886" s="169"/>
      <c r="E886" s="170"/>
      <c r="F886" s="169"/>
      <c r="G886" s="176"/>
    </row>
    <row r="887" spans="1:7" ht="12.75">
      <c r="A887" s="168" t="e">
        <f t="shared" si="0"/>
        <v>#REF!</v>
      </c>
      <c r="B887" s="175"/>
      <c r="C887" s="175"/>
      <c r="D887" s="169"/>
      <c r="E887" s="170"/>
      <c r="F887" s="169"/>
      <c r="G887" s="176"/>
    </row>
    <row r="888" spans="1:7" ht="12.75">
      <c r="A888" s="168" t="e">
        <f t="shared" si="0"/>
        <v>#REF!</v>
      </c>
      <c r="B888" s="175"/>
      <c r="C888" s="175"/>
      <c r="D888" s="169"/>
      <c r="E888" s="170"/>
      <c r="F888" s="169"/>
      <c r="G888" s="176"/>
    </row>
    <row r="889" spans="1:7" ht="12.75">
      <c r="A889" s="168" t="e">
        <f t="shared" si="0"/>
        <v>#REF!</v>
      </c>
      <c r="B889" s="175"/>
      <c r="C889" s="175"/>
      <c r="D889" s="169"/>
      <c r="E889" s="170"/>
      <c r="F889" s="169"/>
      <c r="G889" s="176"/>
    </row>
    <row r="890" spans="1:7" ht="12.75">
      <c r="A890" s="168" t="e">
        <f t="shared" si="0"/>
        <v>#REF!</v>
      </c>
      <c r="B890" s="175"/>
      <c r="C890" s="175"/>
      <c r="D890" s="169"/>
      <c r="E890" s="170"/>
      <c r="F890" s="169"/>
      <c r="G890" s="176"/>
    </row>
    <row r="891" spans="1:7" ht="12.75">
      <c r="A891" s="168" t="e">
        <f t="shared" si="0"/>
        <v>#REF!</v>
      </c>
      <c r="B891" s="175"/>
      <c r="C891" s="175"/>
      <c r="D891" s="169"/>
      <c r="E891" s="170"/>
      <c r="F891" s="169"/>
      <c r="G891" s="176"/>
    </row>
    <row r="892" spans="1:7" ht="12.75">
      <c r="A892" s="168" t="e">
        <f t="shared" si="0"/>
        <v>#REF!</v>
      </c>
      <c r="B892" s="175"/>
      <c r="C892" s="175"/>
      <c r="D892" s="169"/>
      <c r="E892" s="170"/>
      <c r="F892" s="169"/>
      <c r="G892" s="176"/>
    </row>
    <row r="893" spans="1:7" ht="12.75">
      <c r="A893" s="168" t="e">
        <f t="shared" si="0"/>
        <v>#REF!</v>
      </c>
      <c r="B893" s="175"/>
      <c r="C893" s="175"/>
      <c r="D893" s="169"/>
      <c r="E893" s="170"/>
      <c r="F893" s="169"/>
      <c r="G893" s="176"/>
    </row>
    <row r="894" spans="1:7" ht="12.75">
      <c r="A894" s="168" t="e">
        <f t="shared" si="0"/>
        <v>#REF!</v>
      </c>
      <c r="B894" s="175"/>
      <c r="C894" s="175"/>
      <c r="D894" s="169"/>
      <c r="E894" s="170"/>
      <c r="F894" s="169"/>
      <c r="G894" s="176"/>
    </row>
    <row r="895" spans="1:7" ht="12.75">
      <c r="A895" s="168" t="e">
        <f t="shared" si="0"/>
        <v>#REF!</v>
      </c>
      <c r="B895" s="175"/>
      <c r="C895" s="175"/>
      <c r="D895" s="169"/>
      <c r="E895" s="170"/>
      <c r="F895" s="169"/>
      <c r="G895" s="176"/>
    </row>
    <row r="896" spans="1:7" ht="12.75">
      <c r="A896" s="168" t="e">
        <f t="shared" si="0"/>
        <v>#REF!</v>
      </c>
      <c r="B896" s="175"/>
      <c r="C896" s="175"/>
      <c r="D896" s="169"/>
      <c r="E896" s="170"/>
      <c r="F896" s="169"/>
      <c r="G896" s="176"/>
    </row>
    <row r="897" spans="1:7" ht="12.75">
      <c r="A897" s="168" t="e">
        <f t="shared" si="0"/>
        <v>#REF!</v>
      </c>
      <c r="B897" s="175"/>
      <c r="C897" s="175"/>
      <c r="D897" s="169"/>
      <c r="E897" s="170"/>
      <c r="F897" s="169"/>
      <c r="G897" s="176"/>
    </row>
    <row r="898" spans="1:7" ht="12.75">
      <c r="A898" s="168" t="e">
        <f t="shared" si="0"/>
        <v>#REF!</v>
      </c>
      <c r="B898" s="175"/>
      <c r="C898" s="175"/>
      <c r="D898" s="169"/>
      <c r="E898" s="170"/>
      <c r="F898" s="169"/>
      <c r="G898" s="176"/>
    </row>
    <row r="899" spans="1:7" ht="12.75">
      <c r="A899" s="168" t="e">
        <f t="shared" si="0"/>
        <v>#REF!</v>
      </c>
      <c r="B899" s="175"/>
      <c r="C899" s="175"/>
      <c r="D899" s="169"/>
      <c r="E899" s="170"/>
      <c r="F899" s="169"/>
      <c r="G899" s="176"/>
    </row>
    <row r="900" spans="1:7" ht="12.75">
      <c r="A900" s="168" t="e">
        <f t="shared" si="0"/>
        <v>#REF!</v>
      </c>
      <c r="B900" s="175"/>
      <c r="C900" s="175"/>
      <c r="D900" s="169"/>
      <c r="E900" s="170"/>
      <c r="F900" s="169"/>
      <c r="G900" s="176"/>
    </row>
    <row r="901" spans="1:7" ht="12.75">
      <c r="A901" s="168" t="e">
        <f t="shared" si="0"/>
        <v>#REF!</v>
      </c>
      <c r="B901" s="175"/>
      <c r="C901" s="175"/>
      <c r="D901" s="169"/>
      <c r="E901" s="170"/>
      <c r="F901" s="169"/>
      <c r="G901" s="176"/>
    </row>
    <row r="902" spans="1:7" ht="12.75">
      <c r="A902" s="168" t="e">
        <f t="shared" si="0"/>
        <v>#REF!</v>
      </c>
      <c r="B902" s="175"/>
      <c r="C902" s="175"/>
      <c r="D902" s="169"/>
      <c r="E902" s="170"/>
      <c r="F902" s="169"/>
      <c r="G902" s="176"/>
    </row>
    <row r="903" spans="1:7" ht="12.75">
      <c r="A903" s="168" t="e">
        <f t="shared" si="0"/>
        <v>#REF!</v>
      </c>
      <c r="B903" s="175"/>
      <c r="C903" s="175"/>
      <c r="D903" s="169"/>
      <c r="E903" s="170"/>
      <c r="F903" s="169"/>
      <c r="G903" s="176"/>
    </row>
    <row r="904" spans="1:7" ht="12.75">
      <c r="A904" s="168" t="e">
        <f t="shared" si="0"/>
        <v>#REF!</v>
      </c>
      <c r="B904" s="175"/>
      <c r="C904" s="175"/>
      <c r="D904" s="169"/>
      <c r="E904" s="170"/>
      <c r="F904" s="169"/>
      <c r="G904" s="176"/>
    </row>
    <row r="905" spans="1:7" ht="12.75">
      <c r="A905" s="168" t="e">
        <f t="shared" si="0"/>
        <v>#REF!</v>
      </c>
      <c r="B905" s="175"/>
      <c r="C905" s="175"/>
      <c r="D905" s="169"/>
      <c r="E905" s="170"/>
      <c r="F905" s="169"/>
      <c r="G905" s="176"/>
    </row>
    <row r="906" spans="1:7" ht="12.75">
      <c r="A906" s="168" t="e">
        <f t="shared" si="0"/>
        <v>#REF!</v>
      </c>
      <c r="B906" s="175"/>
      <c r="C906" s="175"/>
      <c r="D906" s="169"/>
      <c r="E906" s="170"/>
      <c r="F906" s="169"/>
      <c r="G906" s="176"/>
    </row>
    <row r="907" spans="1:7" ht="12.75">
      <c r="A907" s="168" t="e">
        <f t="shared" si="0"/>
        <v>#REF!</v>
      </c>
      <c r="B907" s="175"/>
      <c r="C907" s="175"/>
      <c r="D907" s="169"/>
      <c r="E907" s="170"/>
      <c r="F907" s="169"/>
      <c r="G907" s="176"/>
    </row>
    <row r="908" spans="1:7" ht="12.75">
      <c r="A908" s="168" t="e">
        <f t="shared" si="0"/>
        <v>#REF!</v>
      </c>
      <c r="B908" s="175"/>
      <c r="C908" s="175"/>
      <c r="D908" s="169"/>
      <c r="E908" s="170"/>
      <c r="F908" s="169"/>
      <c r="G908" s="176"/>
    </row>
    <row r="909" spans="1:7" ht="12.75">
      <c r="A909" s="168" t="e">
        <f t="shared" si="0"/>
        <v>#REF!</v>
      </c>
      <c r="B909" s="175"/>
      <c r="C909" s="175"/>
      <c r="D909" s="169"/>
      <c r="E909" s="170"/>
      <c r="F909" s="169"/>
      <c r="G909" s="176"/>
    </row>
    <row r="910" spans="1:7" ht="12.75">
      <c r="A910" s="168" t="e">
        <f t="shared" si="0"/>
        <v>#REF!</v>
      </c>
      <c r="B910" s="175"/>
      <c r="C910" s="175"/>
      <c r="D910" s="169"/>
      <c r="E910" s="170"/>
      <c r="F910" s="169"/>
      <c r="G910" s="176"/>
    </row>
    <row r="911" spans="1:7" ht="12.75">
      <c r="A911" s="168" t="e">
        <f t="shared" si="0"/>
        <v>#REF!</v>
      </c>
      <c r="B911" s="175"/>
      <c r="C911" s="175"/>
      <c r="D911" s="169"/>
      <c r="E911" s="170"/>
      <c r="F911" s="169"/>
      <c r="G911" s="176"/>
    </row>
    <row r="912" spans="1:7" ht="12.75">
      <c r="A912" s="168" t="e">
        <f t="shared" si="0"/>
        <v>#REF!</v>
      </c>
      <c r="B912" s="175"/>
      <c r="C912" s="175"/>
      <c r="D912" s="169"/>
      <c r="E912" s="170"/>
      <c r="F912" s="169"/>
      <c r="G912" s="176"/>
    </row>
    <row r="913" spans="1:7" ht="12.75">
      <c r="A913" s="168" t="e">
        <f t="shared" si="0"/>
        <v>#REF!</v>
      </c>
      <c r="B913" s="175"/>
      <c r="C913" s="175"/>
      <c r="D913" s="169"/>
      <c r="E913" s="170"/>
      <c r="F913" s="169"/>
      <c r="G913" s="176"/>
    </row>
    <row r="914" spans="1:7" ht="12.75">
      <c r="A914" s="168" t="e">
        <f t="shared" si="0"/>
        <v>#REF!</v>
      </c>
      <c r="B914" s="175"/>
      <c r="C914" s="175"/>
      <c r="D914" s="169"/>
      <c r="E914" s="170"/>
      <c r="F914" s="169"/>
      <c r="G914" s="176"/>
    </row>
    <row r="915" spans="1:7" ht="12.75">
      <c r="A915" s="168" t="e">
        <f t="shared" si="0"/>
        <v>#REF!</v>
      </c>
      <c r="B915" s="175"/>
      <c r="C915" s="175"/>
      <c r="D915" s="169"/>
      <c r="E915" s="170"/>
      <c r="F915" s="169"/>
      <c r="G915" s="176"/>
    </row>
    <row r="916" spans="1:7" ht="12.75">
      <c r="A916" s="168" t="e">
        <f t="shared" si="0"/>
        <v>#REF!</v>
      </c>
      <c r="B916" s="175"/>
      <c r="C916" s="175"/>
      <c r="D916" s="169"/>
      <c r="E916" s="170"/>
      <c r="F916" s="169"/>
      <c r="G916" s="176"/>
    </row>
    <row r="917" spans="1:7" ht="12.75">
      <c r="A917" s="168" t="e">
        <f t="shared" si="0"/>
        <v>#REF!</v>
      </c>
      <c r="B917" s="175"/>
      <c r="C917" s="175"/>
      <c r="D917" s="169"/>
      <c r="E917" s="170"/>
      <c r="F917" s="169"/>
      <c r="G917" s="176"/>
    </row>
    <row r="918" spans="1:7" ht="12.75">
      <c r="A918" s="168" t="e">
        <f t="shared" si="0"/>
        <v>#REF!</v>
      </c>
      <c r="B918" s="175"/>
      <c r="C918" s="175"/>
      <c r="D918" s="169"/>
      <c r="E918" s="170"/>
      <c r="F918" s="169"/>
      <c r="G918" s="176"/>
    </row>
    <row r="919" spans="1:7" ht="12.75">
      <c r="A919" s="168" t="e">
        <f t="shared" si="0"/>
        <v>#REF!</v>
      </c>
      <c r="B919" s="175"/>
      <c r="C919" s="175"/>
      <c r="D919" s="169"/>
      <c r="E919" s="170"/>
      <c r="F919" s="169"/>
      <c r="G919" s="176"/>
    </row>
    <row r="920" spans="1:7" ht="12.75">
      <c r="A920" s="168" t="e">
        <f t="shared" si="0"/>
        <v>#REF!</v>
      </c>
      <c r="B920" s="175"/>
      <c r="C920" s="175"/>
      <c r="D920" s="169"/>
      <c r="E920" s="170"/>
      <c r="F920" s="169"/>
      <c r="G920" s="176"/>
    </row>
    <row r="921" spans="1:7" ht="12.75">
      <c r="A921" s="168" t="e">
        <f t="shared" si="0"/>
        <v>#REF!</v>
      </c>
      <c r="B921" s="175"/>
      <c r="C921" s="175"/>
      <c r="D921" s="169"/>
      <c r="E921" s="170"/>
      <c r="F921" s="169"/>
      <c r="G921" s="176"/>
    </row>
    <row r="922" spans="1:7" ht="12.75">
      <c r="A922" s="168" t="e">
        <f t="shared" si="0"/>
        <v>#REF!</v>
      </c>
      <c r="B922" s="175"/>
      <c r="C922" s="175"/>
      <c r="D922" s="169"/>
      <c r="E922" s="170"/>
      <c r="F922" s="169"/>
      <c r="G922" s="176"/>
    </row>
    <row r="923" spans="1:7" ht="12.75">
      <c r="A923" s="168" t="e">
        <f t="shared" si="0"/>
        <v>#REF!</v>
      </c>
      <c r="B923" s="175"/>
      <c r="C923" s="175"/>
      <c r="D923" s="169"/>
      <c r="E923" s="170"/>
      <c r="F923" s="169"/>
      <c r="G923" s="176"/>
    </row>
    <row r="924" spans="1:7" ht="12.75">
      <c r="A924" s="168" t="e">
        <f t="shared" si="0"/>
        <v>#REF!</v>
      </c>
      <c r="B924" s="175"/>
      <c r="C924" s="175"/>
      <c r="D924" s="169"/>
      <c r="E924" s="170"/>
      <c r="F924" s="169"/>
      <c r="G924" s="176"/>
    </row>
    <row r="925" spans="1:7" ht="12.75">
      <c r="A925" s="168" t="e">
        <f t="shared" si="0"/>
        <v>#REF!</v>
      </c>
      <c r="B925" s="175"/>
      <c r="C925" s="175"/>
      <c r="D925" s="169"/>
      <c r="E925" s="170"/>
      <c r="F925" s="169"/>
      <c r="G925" s="176"/>
    </row>
    <row r="926" spans="1:7" ht="12.75">
      <c r="A926" s="168" t="e">
        <f t="shared" si="0"/>
        <v>#REF!</v>
      </c>
      <c r="B926" s="175"/>
      <c r="C926" s="175"/>
      <c r="D926" s="169"/>
      <c r="E926" s="170"/>
      <c r="F926" s="169"/>
      <c r="G926" s="176"/>
    </row>
    <row r="927" spans="1:7" ht="12.75">
      <c r="A927" s="168" t="e">
        <f t="shared" si="0"/>
        <v>#REF!</v>
      </c>
      <c r="B927" s="175"/>
      <c r="C927" s="175"/>
      <c r="D927" s="169"/>
      <c r="E927" s="170"/>
      <c r="F927" s="169"/>
      <c r="G927" s="176"/>
    </row>
    <row r="928" spans="1:7" ht="12.75">
      <c r="A928" s="168" t="e">
        <f t="shared" si="0"/>
        <v>#REF!</v>
      </c>
      <c r="B928" s="175"/>
      <c r="C928" s="175"/>
      <c r="D928" s="169"/>
      <c r="E928" s="170"/>
      <c r="F928" s="169"/>
      <c r="G928" s="176"/>
    </row>
    <row r="929" spans="1:7" ht="12.75">
      <c r="A929" s="168" t="e">
        <f t="shared" si="0"/>
        <v>#REF!</v>
      </c>
      <c r="B929" s="175"/>
      <c r="C929" s="175"/>
      <c r="D929" s="169"/>
      <c r="E929" s="170"/>
      <c r="F929" s="169"/>
      <c r="G929" s="176"/>
    </row>
    <row r="930" spans="1:7" ht="12.75">
      <c r="A930" s="168" t="e">
        <f t="shared" si="0"/>
        <v>#REF!</v>
      </c>
      <c r="B930" s="175"/>
      <c r="C930" s="175"/>
      <c r="D930" s="169"/>
      <c r="E930" s="170"/>
      <c r="F930" s="169"/>
      <c r="G930" s="176"/>
    </row>
    <row r="931" spans="1:7" ht="12.75">
      <c r="A931" s="168" t="e">
        <f t="shared" si="0"/>
        <v>#REF!</v>
      </c>
      <c r="B931" s="175"/>
      <c r="C931" s="175"/>
      <c r="D931" s="169"/>
      <c r="E931" s="170"/>
      <c r="F931" s="169"/>
      <c r="G931" s="176"/>
    </row>
    <row r="932" spans="1:7" ht="12.75">
      <c r="A932" s="168" t="e">
        <f t="shared" si="0"/>
        <v>#REF!</v>
      </c>
      <c r="B932" s="175"/>
      <c r="C932" s="175"/>
      <c r="D932" s="169"/>
      <c r="E932" s="170"/>
      <c r="F932" s="169"/>
      <c r="G932" s="176"/>
    </row>
    <row r="933" spans="1:7" ht="12.75">
      <c r="A933" s="168" t="e">
        <f t="shared" si="0"/>
        <v>#REF!</v>
      </c>
      <c r="B933" s="175"/>
      <c r="C933" s="175"/>
      <c r="D933" s="169"/>
      <c r="E933" s="170"/>
      <c r="F933" s="169"/>
      <c r="G933" s="176"/>
    </row>
    <row r="934" spans="1:7" ht="12.75">
      <c r="A934" s="168" t="e">
        <f t="shared" si="0"/>
        <v>#REF!</v>
      </c>
      <c r="B934" s="175"/>
      <c r="C934" s="175"/>
      <c r="D934" s="169"/>
      <c r="E934" s="170"/>
      <c r="F934" s="169"/>
      <c r="G934" s="176"/>
    </row>
    <row r="935" spans="1:7" ht="12.75">
      <c r="A935" s="168" t="e">
        <f t="shared" si="0"/>
        <v>#REF!</v>
      </c>
      <c r="B935" s="175"/>
      <c r="C935" s="175"/>
      <c r="D935" s="169"/>
      <c r="E935" s="170"/>
      <c r="F935" s="169"/>
      <c r="G935" s="176"/>
    </row>
    <row r="936" spans="1:7" ht="12.75">
      <c r="A936" s="168" t="e">
        <f t="shared" si="0"/>
        <v>#REF!</v>
      </c>
      <c r="B936" s="175"/>
      <c r="C936" s="175"/>
      <c r="D936" s="169"/>
      <c r="E936" s="170"/>
      <c r="F936" s="169"/>
      <c r="G936" s="176"/>
    </row>
    <row r="937" spans="1:7" ht="12.75">
      <c r="A937" s="168" t="e">
        <f t="shared" si="0"/>
        <v>#REF!</v>
      </c>
      <c r="B937" s="175"/>
      <c r="C937" s="175"/>
      <c r="D937" s="169"/>
      <c r="E937" s="170"/>
      <c r="F937" s="169"/>
      <c r="G937" s="176"/>
    </row>
    <row r="938" spans="1:7" ht="12.75">
      <c r="A938" s="168" t="e">
        <f t="shared" si="0"/>
        <v>#REF!</v>
      </c>
      <c r="B938" s="175"/>
      <c r="C938" s="175"/>
      <c r="D938" s="169"/>
      <c r="E938" s="170"/>
      <c r="F938" s="169"/>
      <c r="G938" s="176"/>
    </row>
    <row r="939" spans="1:7" ht="12.75">
      <c r="A939" s="168" t="e">
        <f t="shared" si="0"/>
        <v>#REF!</v>
      </c>
      <c r="B939" s="175"/>
      <c r="C939" s="175"/>
      <c r="D939" s="169"/>
      <c r="E939" s="170"/>
      <c r="F939" s="169"/>
      <c r="G939" s="176"/>
    </row>
    <row r="940" spans="1:7" ht="12.75">
      <c r="A940" s="168" t="e">
        <f t="shared" si="0"/>
        <v>#REF!</v>
      </c>
      <c r="B940" s="175"/>
      <c r="C940" s="175"/>
      <c r="D940" s="169"/>
      <c r="E940" s="170"/>
      <c r="F940" s="169"/>
      <c r="G940" s="176"/>
    </row>
    <row r="941" spans="1:7" ht="12.75">
      <c r="A941" s="168" t="e">
        <f t="shared" si="0"/>
        <v>#REF!</v>
      </c>
      <c r="B941" s="175"/>
      <c r="C941" s="175"/>
      <c r="D941" s="169"/>
      <c r="E941" s="170"/>
      <c r="F941" s="169"/>
      <c r="G941" s="176"/>
    </row>
    <row r="942" spans="1:7" ht="12.75">
      <c r="A942" s="168" t="e">
        <f t="shared" si="0"/>
        <v>#REF!</v>
      </c>
      <c r="B942" s="175"/>
      <c r="C942" s="175"/>
      <c r="D942" s="169"/>
      <c r="E942" s="170"/>
      <c r="F942" s="169"/>
      <c r="G942" s="176"/>
    </row>
    <row r="943" spans="1:7" ht="12.75">
      <c r="A943" s="168" t="e">
        <f t="shared" si="0"/>
        <v>#REF!</v>
      </c>
      <c r="B943" s="175"/>
      <c r="C943" s="175"/>
      <c r="D943" s="169"/>
      <c r="E943" s="170"/>
      <c r="F943" s="169"/>
      <c r="G943" s="176"/>
    </row>
    <row r="944" spans="1:7" ht="12.75">
      <c r="A944" s="168" t="e">
        <f t="shared" si="0"/>
        <v>#REF!</v>
      </c>
      <c r="B944" s="175"/>
      <c r="C944" s="175"/>
      <c r="D944" s="169"/>
      <c r="E944" s="170"/>
      <c r="F944" s="169"/>
      <c r="G944" s="176"/>
    </row>
    <row r="945" spans="1:7" ht="12.75">
      <c r="A945" s="168" t="e">
        <f t="shared" si="0"/>
        <v>#REF!</v>
      </c>
      <c r="B945" s="175"/>
      <c r="C945" s="175"/>
      <c r="D945" s="169"/>
      <c r="E945" s="170"/>
      <c r="F945" s="169"/>
      <c r="G945" s="176"/>
    </row>
    <row r="946" spans="1:7" ht="12.75">
      <c r="A946" s="168" t="e">
        <f t="shared" si="0"/>
        <v>#REF!</v>
      </c>
      <c r="B946" s="175"/>
      <c r="C946" s="175"/>
      <c r="D946" s="169"/>
      <c r="E946" s="170"/>
      <c r="F946" s="169"/>
      <c r="G946" s="176"/>
    </row>
    <row r="947" spans="1:7" ht="12.75">
      <c r="A947" s="168" t="e">
        <f t="shared" si="0"/>
        <v>#REF!</v>
      </c>
      <c r="B947" s="175"/>
      <c r="C947" s="175"/>
      <c r="D947" s="169"/>
      <c r="E947" s="170"/>
      <c r="F947" s="169"/>
      <c r="G947" s="176"/>
    </row>
    <row r="948" spans="1:7" ht="12.75">
      <c r="A948" s="168" t="e">
        <f t="shared" si="0"/>
        <v>#REF!</v>
      </c>
      <c r="B948" s="175"/>
      <c r="C948" s="175"/>
      <c r="D948" s="169"/>
      <c r="E948" s="170"/>
      <c r="F948" s="169"/>
      <c r="G948" s="176"/>
    </row>
    <row r="949" spans="1:7" ht="12.75">
      <c r="A949" s="168" t="e">
        <f t="shared" si="0"/>
        <v>#REF!</v>
      </c>
      <c r="B949" s="175"/>
      <c r="C949" s="175"/>
      <c r="D949" s="169"/>
      <c r="E949" s="170"/>
      <c r="F949" s="169"/>
      <c r="G949" s="176"/>
    </row>
    <row r="950" spans="1:7" ht="12.75">
      <c r="A950" s="168" t="e">
        <f t="shared" si="0"/>
        <v>#REF!</v>
      </c>
      <c r="B950" s="175"/>
      <c r="C950" s="175"/>
      <c r="D950" s="169"/>
      <c r="E950" s="170"/>
      <c r="F950" s="169"/>
      <c r="G950" s="176"/>
    </row>
    <row r="951" spans="1:7" ht="12.75">
      <c r="A951" s="168" t="e">
        <f t="shared" si="0"/>
        <v>#REF!</v>
      </c>
      <c r="B951" s="175"/>
      <c r="C951" s="175"/>
      <c r="D951" s="169"/>
      <c r="E951" s="170"/>
      <c r="F951" s="169"/>
      <c r="G951" s="176"/>
    </row>
    <row r="952" spans="1:7" ht="12.75">
      <c r="A952" s="168" t="e">
        <f t="shared" si="0"/>
        <v>#REF!</v>
      </c>
      <c r="B952" s="175"/>
      <c r="C952" s="175"/>
      <c r="D952" s="169"/>
      <c r="E952" s="170"/>
      <c r="F952" s="169"/>
      <c r="G952" s="176"/>
    </row>
    <row r="953" spans="1:7" ht="12.75">
      <c r="A953" s="168" t="e">
        <f t="shared" si="0"/>
        <v>#REF!</v>
      </c>
      <c r="B953" s="175"/>
      <c r="C953" s="175"/>
      <c r="D953" s="169"/>
      <c r="E953" s="170"/>
      <c r="F953" s="169"/>
      <c r="G953" s="176"/>
    </row>
    <row r="954" spans="1:7" ht="12.75">
      <c r="A954" s="168" t="e">
        <f t="shared" si="0"/>
        <v>#REF!</v>
      </c>
      <c r="B954" s="175"/>
      <c r="C954" s="175"/>
      <c r="D954" s="169"/>
      <c r="E954" s="170"/>
      <c r="F954" s="169"/>
      <c r="G954" s="176"/>
    </row>
    <row r="955" spans="1:7" ht="12.75">
      <c r="A955" s="168" t="e">
        <f t="shared" si="0"/>
        <v>#REF!</v>
      </c>
      <c r="B955" s="175"/>
      <c r="C955" s="175"/>
      <c r="D955" s="169"/>
      <c r="E955" s="170"/>
      <c r="F955" s="169"/>
      <c r="G955" s="176"/>
    </row>
    <row r="956" spans="1:7" ht="12.75">
      <c r="A956" s="168" t="e">
        <f t="shared" si="0"/>
        <v>#REF!</v>
      </c>
      <c r="B956" s="175"/>
      <c r="C956" s="175"/>
      <c r="D956" s="169"/>
      <c r="E956" s="170"/>
      <c r="F956" s="169"/>
      <c r="G956" s="176"/>
    </row>
    <row r="957" spans="1:7" ht="12.75">
      <c r="A957" s="168" t="e">
        <f t="shared" si="0"/>
        <v>#REF!</v>
      </c>
      <c r="B957" s="175"/>
      <c r="C957" s="175"/>
      <c r="D957" s="169"/>
      <c r="E957" s="170"/>
      <c r="F957" s="169"/>
      <c r="G957" s="176"/>
    </row>
    <row r="958" spans="1:7" ht="12.75">
      <c r="A958" s="168" t="e">
        <f t="shared" si="0"/>
        <v>#REF!</v>
      </c>
      <c r="B958" s="175"/>
      <c r="C958" s="175"/>
      <c r="D958" s="169"/>
      <c r="E958" s="170"/>
      <c r="F958" s="169"/>
      <c r="G958" s="176"/>
    </row>
    <row r="959" spans="1:7" ht="12.75">
      <c r="A959" s="168" t="e">
        <f t="shared" si="0"/>
        <v>#REF!</v>
      </c>
      <c r="B959" s="175"/>
      <c r="C959" s="175"/>
      <c r="D959" s="169"/>
      <c r="E959" s="170"/>
      <c r="F959" s="169"/>
      <c r="G959" s="176"/>
    </row>
    <row r="960" spans="1:7" ht="12.75">
      <c r="A960" s="168" t="e">
        <f t="shared" si="0"/>
        <v>#REF!</v>
      </c>
      <c r="B960" s="175"/>
      <c r="C960" s="175"/>
      <c r="D960" s="169"/>
      <c r="E960" s="170"/>
      <c r="F960" s="169"/>
      <c r="G960" s="176"/>
    </row>
    <row r="961" spans="1:7" ht="12.75">
      <c r="A961" s="168" t="e">
        <f t="shared" si="0"/>
        <v>#REF!</v>
      </c>
      <c r="B961" s="175"/>
      <c r="C961" s="175"/>
      <c r="D961" s="169"/>
      <c r="E961" s="170"/>
      <c r="F961" s="169"/>
      <c r="G961" s="176"/>
    </row>
    <row r="962" spans="1:7" ht="12.75">
      <c r="A962" s="168" t="e">
        <f t="shared" si="0"/>
        <v>#REF!</v>
      </c>
      <c r="B962" s="175"/>
      <c r="C962" s="175"/>
      <c r="D962" s="169"/>
      <c r="E962" s="170"/>
      <c r="F962" s="169"/>
      <c r="G962" s="176"/>
    </row>
    <row r="963" spans="1:7" ht="12.75">
      <c r="A963" s="168" t="e">
        <f t="shared" si="0"/>
        <v>#REF!</v>
      </c>
      <c r="B963" s="175"/>
      <c r="C963" s="175"/>
      <c r="D963" s="169"/>
      <c r="E963" s="170"/>
      <c r="F963" s="169"/>
      <c r="G963" s="176"/>
    </row>
    <row r="964" spans="1:7" ht="12.75">
      <c r="A964" s="168" t="e">
        <f t="shared" si="0"/>
        <v>#REF!</v>
      </c>
      <c r="B964" s="175"/>
      <c r="C964" s="175"/>
      <c r="D964" s="169"/>
      <c r="E964" s="170"/>
      <c r="F964" s="169"/>
      <c r="G964" s="176"/>
    </row>
    <row r="965" spans="1:7" ht="12.75">
      <c r="A965" s="168" t="e">
        <f t="shared" si="0"/>
        <v>#REF!</v>
      </c>
      <c r="B965" s="175"/>
      <c r="C965" s="175"/>
      <c r="D965" s="169"/>
      <c r="E965" s="170"/>
      <c r="F965" s="169"/>
      <c r="G965" s="176"/>
    </row>
    <row r="966" spans="1:7" ht="12.75">
      <c r="A966" s="168" t="e">
        <f t="shared" si="0"/>
        <v>#REF!</v>
      </c>
      <c r="B966" s="175"/>
      <c r="C966" s="175"/>
      <c r="D966" s="169"/>
      <c r="E966" s="170"/>
      <c r="F966" s="169"/>
      <c r="G966" s="176"/>
    </row>
    <row r="967" spans="1:7" ht="12.75">
      <c r="A967" s="168" t="e">
        <f t="shared" si="0"/>
        <v>#REF!</v>
      </c>
      <c r="B967" s="175"/>
      <c r="C967" s="175"/>
      <c r="D967" s="169"/>
      <c r="E967" s="170"/>
      <c r="F967" s="169"/>
      <c r="G967" s="176"/>
    </row>
  </sheetData>
  <mergeCells count="1">
    <mergeCell ref="A1:G1"/>
  </mergeCells>
  <conditionalFormatting sqref="D2:F2 D4:E5 F4:F967 D7:E967">
    <cfRule type="cellIs" dxfId="47" priority="1" operator="equal">
      <formula>"ON"</formula>
    </cfRule>
  </conditionalFormatting>
  <conditionalFormatting sqref="D2:F2 D4:E5 F4:F967 D7:E967">
    <cfRule type="cellIs" dxfId="46" priority="2" operator="equal">
      <formula>"OFF"</formula>
    </cfRule>
  </conditionalFormatting>
  <conditionalFormatting sqref="G63 G68:G69">
    <cfRule type="notContainsBlanks" dxfId="45" priority="3">
      <formula>LEN(TRIM(G63))&gt;0</formula>
    </cfRule>
  </conditionalFormatting>
  <conditionalFormatting sqref="G64">
    <cfRule type="notContainsBlanks" dxfId="44" priority="4">
      <formula>LEN(TRIM(G64))&gt;0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5" customWidth="1"/>
    <col min="2" max="2" width="45.285156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178">
        <v>1</v>
      </c>
      <c r="B2" s="179" t="s">
        <v>182</v>
      </c>
      <c r="C2" s="409" t="s">
        <v>394</v>
      </c>
      <c r="D2" s="179" t="s">
        <v>1503</v>
      </c>
      <c r="E2" s="385" t="s">
        <v>395</v>
      </c>
      <c r="F2" s="170" t="s">
        <v>307</v>
      </c>
      <c r="G2" s="170" t="s">
        <v>434</v>
      </c>
      <c r="H2" s="182" t="s">
        <v>263</v>
      </c>
      <c r="I2" s="173" t="s">
        <v>326</v>
      </c>
      <c r="J2" s="173" t="s">
        <v>255</v>
      </c>
      <c r="K2" s="171"/>
    </row>
    <row r="3" spans="1:25" ht="12.75">
      <c r="A3" s="178">
        <v>2</v>
      </c>
      <c r="B3" s="179" t="s">
        <v>152</v>
      </c>
      <c r="C3" s="409" t="s">
        <v>153</v>
      </c>
      <c r="D3" s="179" t="s">
        <v>1504</v>
      </c>
      <c r="E3" s="385" t="s">
        <v>154</v>
      </c>
      <c r="F3" s="170" t="s">
        <v>307</v>
      </c>
      <c r="G3" s="170" t="s">
        <v>434</v>
      </c>
      <c r="H3" s="182" t="s">
        <v>263</v>
      </c>
      <c r="I3" s="173" t="s">
        <v>326</v>
      </c>
      <c r="J3" s="173" t="s">
        <v>255</v>
      </c>
      <c r="K3" s="171"/>
    </row>
    <row r="4" spans="1:25" ht="12.75">
      <c r="A4" s="178">
        <v>3</v>
      </c>
      <c r="B4" s="179" t="s">
        <v>234</v>
      </c>
      <c r="C4" s="409"/>
      <c r="D4" s="179" t="s">
        <v>1505</v>
      </c>
      <c r="E4" s="385" t="s">
        <v>235</v>
      </c>
      <c r="F4" s="170" t="s">
        <v>307</v>
      </c>
      <c r="G4" s="170" t="s">
        <v>434</v>
      </c>
      <c r="H4" s="182" t="s">
        <v>263</v>
      </c>
      <c r="I4" s="173" t="s">
        <v>326</v>
      </c>
      <c r="J4" s="173" t="s">
        <v>255</v>
      </c>
      <c r="K4" s="174"/>
    </row>
    <row r="5" spans="1:25" ht="12.75">
      <c r="A5" s="178">
        <v>4</v>
      </c>
      <c r="B5" s="190" t="s">
        <v>329</v>
      </c>
      <c r="C5" s="52"/>
      <c r="D5" s="179" t="s">
        <v>1506</v>
      </c>
      <c r="E5" s="126" t="s">
        <v>330</v>
      </c>
      <c r="F5" s="170" t="s">
        <v>1370</v>
      </c>
      <c r="G5" s="170" t="s">
        <v>434</v>
      </c>
      <c r="H5" s="384" t="s">
        <v>263</v>
      </c>
      <c r="I5" s="173" t="s">
        <v>326</v>
      </c>
      <c r="J5" s="173" t="s">
        <v>255</v>
      </c>
      <c r="K5" s="126" t="s">
        <v>1507</v>
      </c>
    </row>
    <row r="6" spans="1:25" ht="12.75">
      <c r="A6" s="178">
        <v>5</v>
      </c>
      <c r="B6" s="190" t="s">
        <v>379</v>
      </c>
      <c r="C6" s="52"/>
      <c r="D6" s="53" t="s">
        <v>381</v>
      </c>
      <c r="E6" s="53" t="s">
        <v>380</v>
      </c>
      <c r="F6" s="170" t="s">
        <v>307</v>
      </c>
      <c r="G6" s="170" t="s">
        <v>434</v>
      </c>
      <c r="H6" s="163" t="s">
        <v>263</v>
      </c>
      <c r="I6" s="173" t="s">
        <v>326</v>
      </c>
      <c r="J6" s="173" t="s">
        <v>255</v>
      </c>
      <c r="K6" s="52"/>
    </row>
    <row r="7" spans="1:25" ht="12.75">
      <c r="A7" s="410">
        <v>6</v>
      </c>
      <c r="B7" s="411" t="s">
        <v>1301</v>
      </c>
      <c r="C7" s="412"/>
      <c r="D7" s="413" t="s">
        <v>1505</v>
      </c>
      <c r="E7" s="414" t="s">
        <v>71</v>
      </c>
      <c r="F7" s="415" t="s">
        <v>307</v>
      </c>
      <c r="G7" s="415" t="s">
        <v>434</v>
      </c>
      <c r="H7" s="416" t="s">
        <v>263</v>
      </c>
      <c r="I7" s="417" t="s">
        <v>326</v>
      </c>
      <c r="J7" s="417" t="s">
        <v>255</v>
      </c>
      <c r="K7" s="418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1:25" ht="12.75">
      <c r="A8" s="410">
        <v>7</v>
      </c>
      <c r="B8" s="413" t="s">
        <v>1508</v>
      </c>
      <c r="C8" s="419"/>
      <c r="D8" s="413" t="s">
        <v>381</v>
      </c>
      <c r="E8" s="420" t="s">
        <v>44</v>
      </c>
      <c r="F8" s="415" t="s">
        <v>307</v>
      </c>
      <c r="G8" s="415" t="s">
        <v>434</v>
      </c>
      <c r="H8" s="416" t="s">
        <v>263</v>
      </c>
      <c r="I8" s="417" t="s">
        <v>326</v>
      </c>
      <c r="J8" s="417" t="s">
        <v>255</v>
      </c>
      <c r="K8" s="421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9" spans="1:25" ht="12.75">
      <c r="A9" s="178">
        <v>8</v>
      </c>
      <c r="B9" s="179" t="s">
        <v>590</v>
      </c>
      <c r="C9" s="409"/>
      <c r="D9" s="179" t="s">
        <v>381</v>
      </c>
      <c r="E9" s="422" t="s">
        <v>591</v>
      </c>
      <c r="F9" s="170" t="s">
        <v>307</v>
      </c>
      <c r="G9" s="170" t="s">
        <v>434</v>
      </c>
      <c r="H9" s="182" t="s">
        <v>263</v>
      </c>
      <c r="I9" s="173" t="s">
        <v>326</v>
      </c>
      <c r="J9" s="173" t="s">
        <v>255</v>
      </c>
      <c r="K9" s="174"/>
    </row>
    <row r="10" spans="1:25" ht="12.75">
      <c r="A10" s="178">
        <v>9</v>
      </c>
      <c r="B10" s="179"/>
      <c r="C10" s="409"/>
      <c r="D10" s="179"/>
      <c r="E10" s="422"/>
      <c r="F10" s="170"/>
      <c r="G10" s="170"/>
      <c r="H10" s="170"/>
      <c r="I10" s="174"/>
      <c r="J10" s="171"/>
      <c r="K10" s="171"/>
    </row>
    <row r="11" spans="1:25" ht="12.75">
      <c r="A11" s="178">
        <v>10</v>
      </c>
      <c r="B11" s="179"/>
      <c r="C11" s="409"/>
      <c r="D11" s="179"/>
      <c r="E11" s="422"/>
      <c r="F11" s="170"/>
      <c r="G11" s="170"/>
      <c r="H11" s="170"/>
      <c r="I11" s="174"/>
      <c r="J11" s="171"/>
      <c r="K11" s="171"/>
    </row>
    <row r="12" spans="1:25" ht="12.75">
      <c r="A12" s="178">
        <v>11</v>
      </c>
      <c r="B12" s="179"/>
      <c r="C12" s="409"/>
      <c r="D12" s="179"/>
      <c r="E12" s="169"/>
      <c r="F12" s="170"/>
      <c r="G12" s="170"/>
      <c r="H12" s="197"/>
      <c r="I12" s="174"/>
      <c r="J12" s="174"/>
      <c r="K12" s="174"/>
    </row>
    <row r="13" spans="1:25" ht="12.75">
      <c r="A13" s="178">
        <v>12</v>
      </c>
      <c r="B13" s="179"/>
      <c r="C13" s="409"/>
      <c r="D13" s="179"/>
      <c r="E13" s="385"/>
      <c r="F13" s="170"/>
      <c r="G13" s="170"/>
      <c r="H13" s="197"/>
      <c r="I13" s="174"/>
      <c r="J13" s="174"/>
      <c r="K13" s="174"/>
    </row>
    <row r="14" spans="1:25" ht="12.75">
      <c r="A14" s="178">
        <v>13</v>
      </c>
      <c r="B14" s="179"/>
      <c r="C14" s="409"/>
      <c r="D14" s="179"/>
      <c r="E14" s="385"/>
      <c r="F14" s="170"/>
      <c r="G14" s="170"/>
      <c r="H14" s="170"/>
      <c r="I14" s="174"/>
      <c r="J14" s="174"/>
      <c r="K14" s="174"/>
    </row>
    <row r="15" spans="1:25" ht="12.75">
      <c r="A15" s="178">
        <v>14</v>
      </c>
      <c r="B15" s="179"/>
      <c r="C15" s="409"/>
      <c r="D15" s="179"/>
      <c r="E15" s="385"/>
      <c r="F15" s="170"/>
      <c r="G15" s="170"/>
      <c r="H15" s="170"/>
      <c r="I15" s="174"/>
      <c r="J15" s="174"/>
      <c r="K15" s="174"/>
    </row>
    <row r="16" spans="1:25" ht="12.75">
      <c r="A16" s="178">
        <v>15</v>
      </c>
      <c r="B16" s="179"/>
      <c r="C16" s="409"/>
      <c r="D16" s="179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79"/>
      <c r="C17" s="409"/>
      <c r="D17" s="179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79"/>
      <c r="C18" s="409"/>
      <c r="D18" s="179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79"/>
      <c r="C19" s="409"/>
      <c r="D19" s="179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79"/>
      <c r="C20" s="409"/>
      <c r="D20" s="179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79"/>
      <c r="C21" s="409"/>
      <c r="D21" s="179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79"/>
      <c r="C22" s="409"/>
      <c r="D22" s="179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79"/>
      <c r="C23" s="409"/>
      <c r="D23" s="179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79"/>
      <c r="C24" s="409"/>
      <c r="D24" s="179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79"/>
      <c r="C25" s="409"/>
      <c r="D25" s="179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79"/>
      <c r="C26" s="409"/>
      <c r="D26" s="179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79"/>
      <c r="C27" s="409"/>
      <c r="D27" s="179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79"/>
      <c r="C28" s="409"/>
      <c r="D28" s="179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79"/>
      <c r="C29" s="409"/>
      <c r="D29" s="179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79"/>
      <c r="C30" s="409"/>
      <c r="D30" s="179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79"/>
      <c r="C31" s="409"/>
      <c r="D31" s="179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79"/>
      <c r="C32" s="409"/>
      <c r="D32" s="179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79"/>
      <c r="C33" s="409"/>
      <c r="D33" s="179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79"/>
      <c r="C34" s="409"/>
      <c r="D34" s="179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79"/>
      <c r="C35" s="409"/>
      <c r="D35" s="179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79"/>
      <c r="C36" s="409"/>
      <c r="D36" s="179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79"/>
      <c r="C37" s="409"/>
      <c r="D37" s="179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79"/>
      <c r="C38" s="409"/>
      <c r="D38" s="179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79"/>
      <c r="C39" s="409"/>
      <c r="D39" s="179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79"/>
      <c r="C40" s="409"/>
      <c r="D40" s="179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79"/>
      <c r="C41" s="409"/>
      <c r="D41" s="179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79"/>
      <c r="C42" s="409"/>
      <c r="D42" s="179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79"/>
      <c r="C43" s="409"/>
      <c r="D43" s="179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426"/>
      <c r="C44" s="427"/>
      <c r="D44" s="179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426"/>
      <c r="C45" s="427"/>
      <c r="D45" s="179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426"/>
      <c r="C46" s="427"/>
      <c r="D46" s="179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426"/>
      <c r="C47" s="427"/>
      <c r="D47" s="430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426"/>
      <c r="C48" s="427"/>
      <c r="D48" s="179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430"/>
      <c r="C49" s="431"/>
      <c r="D49" s="430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430"/>
      <c r="C50" s="431"/>
      <c r="D50" s="430"/>
      <c r="E50" s="432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430"/>
      <c r="C51" s="431"/>
      <c r="D51" s="430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430"/>
      <c r="C52" s="431"/>
      <c r="D52" s="430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430"/>
      <c r="C53" s="431"/>
      <c r="D53" s="430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430"/>
      <c r="C54" s="431"/>
      <c r="D54" s="430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430"/>
      <c r="C55" s="431"/>
      <c r="D55" s="430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430"/>
      <c r="C56" s="431"/>
      <c r="D56" s="430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430"/>
      <c r="C57" s="431"/>
      <c r="D57" s="430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430"/>
      <c r="C58" s="431"/>
      <c r="D58" s="430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430"/>
      <c r="C59" s="431"/>
      <c r="D59" s="430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430"/>
      <c r="C60" s="431"/>
      <c r="D60" s="430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430"/>
      <c r="C61" s="431"/>
      <c r="D61" s="430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430"/>
      <c r="C62" s="431"/>
      <c r="D62" s="179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430"/>
      <c r="C63" s="431"/>
      <c r="D63" s="430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430"/>
      <c r="C64" s="431"/>
      <c r="D64" s="430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430"/>
      <c r="C65" s="431"/>
      <c r="D65" s="430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430"/>
      <c r="C66" s="431"/>
      <c r="D66" s="430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430"/>
      <c r="C67" s="431"/>
      <c r="D67" s="430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430"/>
      <c r="C68" s="431"/>
      <c r="D68" s="430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430"/>
      <c r="C69" s="431"/>
      <c r="D69" s="430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430"/>
      <c r="C70" s="431"/>
      <c r="D70" s="430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430"/>
      <c r="C71" s="431"/>
      <c r="D71" s="430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430"/>
      <c r="C72" s="431"/>
      <c r="D72" s="430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430"/>
      <c r="C73" s="431"/>
      <c r="D73" s="430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430"/>
      <c r="C74" s="431"/>
      <c r="D74" s="430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430"/>
      <c r="C75" s="431"/>
      <c r="D75" s="430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79"/>
      <c r="C76" s="165"/>
      <c r="D76" s="430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430"/>
      <c r="C77" s="431"/>
      <c r="D77" s="430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430"/>
      <c r="C78" s="431"/>
      <c r="D78" s="430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430"/>
      <c r="C79" s="431"/>
      <c r="D79" s="430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426"/>
      <c r="C80" s="427"/>
      <c r="D80" s="430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430"/>
      <c r="C81" s="431"/>
      <c r="D81" s="430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430"/>
      <c r="C82" s="431"/>
      <c r="D82" s="430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430"/>
      <c r="C83" s="431"/>
      <c r="D83" s="430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430"/>
      <c r="C84" s="431"/>
      <c r="D84" s="430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430"/>
      <c r="C85" s="431"/>
      <c r="D85" s="430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430"/>
      <c r="C86" s="431"/>
      <c r="D86" s="430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43" priority="1" operator="equal">
      <formula>"ON"</formula>
    </cfRule>
  </conditionalFormatting>
  <conditionalFormatting sqref="E1:H986">
    <cfRule type="cellIs" dxfId="42" priority="2" operator="equal">
      <formula>"OFF"</formula>
    </cfRule>
  </conditionalFormatting>
  <conditionalFormatting sqref="I82 I87:I88">
    <cfRule type="notContainsBlanks" dxfId="41" priority="3">
      <formula>LEN(TRIM(I82))&gt;0</formula>
    </cfRule>
  </conditionalFormatting>
  <conditionalFormatting sqref="I83">
    <cfRule type="notContainsBlanks" dxfId="40" priority="4">
      <formula>LEN(TRIM(I83))&gt;0</formula>
    </cfRule>
  </conditionalFormatting>
  <dataValidations count="2">
    <dataValidation type="list" allowBlank="1" showErrorMessage="1" sqref="F2:F986" xr:uid="{00000000-0002-0000-1600-000000000000}">
      <formula1>"ON,OFF,Need Repaired"</formula1>
    </dataValidation>
    <dataValidation type="list" allowBlank="1" showErrorMessage="1" sqref="G2:G986" xr:uid="{00000000-0002-0000-1600-000001000000}">
      <formula1>"YES,NO"</formula1>
    </dataValidation>
  </dataValidations>
  <hyperlinks>
    <hyperlink ref="H2" r:id="rId1" xr:uid="{00000000-0004-0000-1600-000000000000}"/>
    <hyperlink ref="H3" r:id="rId2" xr:uid="{00000000-0004-0000-1600-000001000000}"/>
    <hyperlink ref="H4" r:id="rId3" xr:uid="{00000000-0004-0000-1600-000002000000}"/>
    <hyperlink ref="H5" r:id="rId4" xr:uid="{00000000-0004-0000-1600-000003000000}"/>
    <hyperlink ref="H6" r:id="rId5" xr:uid="{00000000-0004-0000-1600-000004000000}"/>
    <hyperlink ref="H7" r:id="rId6" xr:uid="{00000000-0004-0000-1600-000005000000}"/>
    <hyperlink ref="H8" r:id="rId7" xr:uid="{00000000-0004-0000-1600-000006000000}"/>
    <hyperlink ref="H9" r:id="rId8" xr:uid="{00000000-0004-0000-1600-00000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5.85546875" customWidth="1"/>
    <col min="3" max="3" width="15.140625" customWidth="1"/>
    <col min="4" max="4" width="42.140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381" t="s">
        <v>2</v>
      </c>
      <c r="D1" s="381" t="s">
        <v>578</v>
      </c>
      <c r="E1" s="381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410">
        <v>1</v>
      </c>
      <c r="B2" s="423" t="s">
        <v>1509</v>
      </c>
      <c r="C2" s="423"/>
      <c r="D2" s="423" t="s">
        <v>1510</v>
      </c>
      <c r="E2" s="424" t="s">
        <v>1351</v>
      </c>
      <c r="F2" s="415" t="s">
        <v>307</v>
      </c>
      <c r="G2" s="415" t="s">
        <v>434</v>
      </c>
      <c r="H2" s="425" t="s">
        <v>263</v>
      </c>
      <c r="I2" s="417" t="s">
        <v>326</v>
      </c>
      <c r="J2" s="417" t="s">
        <v>255</v>
      </c>
      <c r="K2" s="417" t="s">
        <v>47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2.75">
      <c r="A3" s="410">
        <v>2</v>
      </c>
      <c r="B3" s="428" t="s">
        <v>387</v>
      </c>
      <c r="C3" s="428" t="s">
        <v>583</v>
      </c>
      <c r="D3" s="428" t="s">
        <v>1511</v>
      </c>
      <c r="E3" s="429" t="s">
        <v>584</v>
      </c>
      <c r="F3" s="415" t="s">
        <v>307</v>
      </c>
      <c r="G3" s="415" t="s">
        <v>434</v>
      </c>
      <c r="H3" s="416" t="s">
        <v>263</v>
      </c>
      <c r="I3" s="417" t="s">
        <v>326</v>
      </c>
      <c r="J3" s="417" t="s">
        <v>255</v>
      </c>
      <c r="K3" s="417" t="s">
        <v>1512</v>
      </c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2.75">
      <c r="A4" s="410">
        <v>3</v>
      </c>
      <c r="B4" s="433" t="s">
        <v>1513</v>
      </c>
      <c r="C4" s="433" t="s">
        <v>46</v>
      </c>
      <c r="D4" s="423" t="s">
        <v>1510</v>
      </c>
      <c r="E4" s="433" t="s">
        <v>360</v>
      </c>
      <c r="F4" s="415" t="s">
        <v>307</v>
      </c>
      <c r="G4" s="415" t="s">
        <v>434</v>
      </c>
      <c r="H4" s="416" t="s">
        <v>263</v>
      </c>
      <c r="I4" s="417" t="s">
        <v>326</v>
      </c>
      <c r="J4" s="417" t="s">
        <v>255</v>
      </c>
      <c r="K4" s="417" t="s">
        <v>1514</v>
      </c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ht="12.75">
      <c r="A5" s="410">
        <v>4</v>
      </c>
      <c r="B5" s="132" t="s">
        <v>99</v>
      </c>
      <c r="C5" s="434"/>
      <c r="D5" s="423" t="s">
        <v>1510</v>
      </c>
      <c r="E5" s="435" t="s">
        <v>100</v>
      </c>
      <c r="F5" s="415" t="s">
        <v>307</v>
      </c>
      <c r="G5" s="415" t="s">
        <v>434</v>
      </c>
      <c r="H5" s="436" t="s">
        <v>263</v>
      </c>
      <c r="I5" s="417" t="s">
        <v>326</v>
      </c>
      <c r="J5" s="417" t="s">
        <v>255</v>
      </c>
      <c r="K5" s="73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 ht="12.75">
      <c r="A6" s="410">
        <v>5</v>
      </c>
      <c r="B6" s="132" t="s">
        <v>1515</v>
      </c>
      <c r="C6" s="437" t="s">
        <v>1223</v>
      </c>
      <c r="D6" s="437" t="s">
        <v>1516</v>
      </c>
      <c r="E6" s="437" t="s">
        <v>1224</v>
      </c>
      <c r="F6" s="415" t="s">
        <v>307</v>
      </c>
      <c r="G6" s="415" t="s">
        <v>434</v>
      </c>
      <c r="H6" s="425" t="s">
        <v>263</v>
      </c>
      <c r="I6" s="417" t="s">
        <v>326</v>
      </c>
      <c r="J6" s="417" t="s">
        <v>255</v>
      </c>
      <c r="K6" s="132" t="s">
        <v>47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2.75">
      <c r="A7" s="410">
        <v>6</v>
      </c>
      <c r="B7" s="428" t="s">
        <v>387</v>
      </c>
      <c r="C7" s="438"/>
      <c r="D7" s="428" t="s">
        <v>1517</v>
      </c>
      <c r="E7" s="439" t="s">
        <v>388</v>
      </c>
      <c r="F7" s="415" t="s">
        <v>307</v>
      </c>
      <c r="G7" s="415" t="s">
        <v>434</v>
      </c>
      <c r="H7" s="416" t="s">
        <v>263</v>
      </c>
      <c r="I7" s="417" t="s">
        <v>326</v>
      </c>
      <c r="J7" s="417" t="s">
        <v>255</v>
      </c>
      <c r="K7" s="417" t="s">
        <v>47</v>
      </c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1:25" ht="12.75">
      <c r="A8" s="410">
        <v>7</v>
      </c>
      <c r="B8" s="428" t="s">
        <v>1518</v>
      </c>
      <c r="C8" s="428"/>
      <c r="D8" s="437" t="s">
        <v>1516</v>
      </c>
      <c r="E8" s="420" t="s">
        <v>229</v>
      </c>
      <c r="F8" s="415" t="s">
        <v>307</v>
      </c>
      <c r="G8" s="415" t="s">
        <v>434</v>
      </c>
      <c r="H8" s="416" t="s">
        <v>263</v>
      </c>
      <c r="I8" s="417" t="s">
        <v>326</v>
      </c>
      <c r="J8" s="417" t="s">
        <v>255</v>
      </c>
      <c r="K8" s="417" t="s">
        <v>1519</v>
      </c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9" spans="1:25" ht="12.75">
      <c r="A9" s="410">
        <v>8</v>
      </c>
      <c r="B9" s="428" t="s">
        <v>1301</v>
      </c>
      <c r="C9" s="428"/>
      <c r="D9" s="428" t="s">
        <v>1517</v>
      </c>
      <c r="E9" s="440" t="s">
        <v>1367</v>
      </c>
      <c r="F9" s="415" t="s">
        <v>307</v>
      </c>
      <c r="G9" s="415" t="s">
        <v>434</v>
      </c>
      <c r="H9" s="416" t="s">
        <v>263</v>
      </c>
      <c r="I9" s="417" t="s">
        <v>326</v>
      </c>
      <c r="J9" s="417" t="s">
        <v>255</v>
      </c>
      <c r="K9" s="417" t="s">
        <v>1519</v>
      </c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</row>
    <row r="10" spans="1:25" ht="12.75">
      <c r="A10" s="410">
        <v>9</v>
      </c>
      <c r="B10" s="428" t="s">
        <v>1520</v>
      </c>
      <c r="C10" s="428"/>
      <c r="D10" s="428" t="s">
        <v>1511</v>
      </c>
      <c r="E10" s="440" t="s">
        <v>1357</v>
      </c>
      <c r="F10" s="415" t="s">
        <v>307</v>
      </c>
      <c r="G10" s="415" t="s">
        <v>434</v>
      </c>
      <c r="H10" s="416" t="s">
        <v>263</v>
      </c>
      <c r="I10" s="417" t="s">
        <v>326</v>
      </c>
      <c r="J10" s="417" t="s">
        <v>255</v>
      </c>
      <c r="K10" s="417" t="s">
        <v>1519</v>
      </c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 spans="1:25" ht="12.75">
      <c r="A11" s="410">
        <v>10</v>
      </c>
      <c r="B11" s="428" t="s">
        <v>237</v>
      </c>
      <c r="C11" s="428"/>
      <c r="D11" s="428" t="s">
        <v>1511</v>
      </c>
      <c r="E11" s="440" t="s">
        <v>238</v>
      </c>
      <c r="F11" s="415" t="s">
        <v>307</v>
      </c>
      <c r="G11" s="415" t="s">
        <v>434</v>
      </c>
      <c r="H11" s="416" t="s">
        <v>263</v>
      </c>
      <c r="I11" s="417" t="s">
        <v>326</v>
      </c>
      <c r="J11" s="417" t="s">
        <v>255</v>
      </c>
      <c r="K11" s="417" t="s">
        <v>1519</v>
      </c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 spans="1:25" ht="12.75">
      <c r="A12" s="410">
        <v>11</v>
      </c>
      <c r="B12" s="428" t="s">
        <v>1508</v>
      </c>
      <c r="C12" s="428"/>
      <c r="D12" s="428" t="s">
        <v>1521</v>
      </c>
      <c r="E12" s="420" t="s">
        <v>32</v>
      </c>
      <c r="F12" s="415" t="s">
        <v>307</v>
      </c>
      <c r="G12" s="415" t="s">
        <v>434</v>
      </c>
      <c r="H12" s="416" t="s">
        <v>263</v>
      </c>
      <c r="I12" s="417" t="s">
        <v>326</v>
      </c>
      <c r="J12" s="417" t="s">
        <v>255</v>
      </c>
      <c r="K12" s="418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spans="1:25" ht="12.75">
      <c r="A13" s="178">
        <v>12</v>
      </c>
      <c r="B13" s="194"/>
      <c r="C13" s="194"/>
      <c r="D13" s="194"/>
      <c r="E13" s="385"/>
      <c r="F13" s="170"/>
      <c r="G13" s="170"/>
      <c r="H13" s="197"/>
      <c r="I13" s="174"/>
      <c r="J13" s="174"/>
      <c r="K13" s="174"/>
    </row>
    <row r="14" spans="1:25" ht="12.75">
      <c r="A14" s="178">
        <v>13</v>
      </c>
      <c r="B14" s="194"/>
      <c r="C14" s="194"/>
      <c r="D14" s="194"/>
      <c r="E14" s="385"/>
      <c r="F14" s="170"/>
      <c r="G14" s="170"/>
      <c r="H14" s="170"/>
      <c r="I14" s="174"/>
      <c r="J14" s="174"/>
      <c r="K14" s="174"/>
    </row>
    <row r="15" spans="1:25" ht="12.75">
      <c r="A15" s="178">
        <v>14</v>
      </c>
      <c r="B15" s="194"/>
      <c r="C15" s="194"/>
      <c r="D15" s="194"/>
      <c r="E15" s="385"/>
      <c r="F15" s="170"/>
      <c r="G15" s="170"/>
      <c r="H15" s="170"/>
      <c r="I15" s="174"/>
      <c r="J15" s="174"/>
      <c r="K15" s="174"/>
    </row>
    <row r="16" spans="1:25" ht="12.75">
      <c r="A16" s="178">
        <v>15</v>
      </c>
      <c r="B16" s="194"/>
      <c r="C16" s="194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4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4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4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4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4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4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4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4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4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4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4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4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4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4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4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4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4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4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4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4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4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4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4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4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4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4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4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1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1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1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1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1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1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1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1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1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1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1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1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1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1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1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1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1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1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1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1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1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1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1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1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1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1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1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1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1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1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1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1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4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1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1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1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1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1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1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1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1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1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1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69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69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69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69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69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69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69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69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69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69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69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69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69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69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69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69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69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69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69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69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69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69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69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69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69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69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69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69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69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69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69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69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5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5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5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5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5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5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5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5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5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5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5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5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5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5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5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5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5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5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5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5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5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5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5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5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5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5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5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5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5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5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5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5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5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5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5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5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5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5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5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5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5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5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5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5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5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5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5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5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5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5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5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5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5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5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5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5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5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5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5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5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5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5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5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5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5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5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5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5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5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5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5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5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5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5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5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5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5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5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5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5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5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5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5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5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5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5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5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5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5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5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5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5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5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5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5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5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5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5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5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5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5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5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5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5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5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5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5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5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5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5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5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5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5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5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5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5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5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5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5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5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5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5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5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5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5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5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5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5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5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5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5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5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5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5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5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5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5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5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5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5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5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5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5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5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5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5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5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5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5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5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5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5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5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5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5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5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5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5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5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5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5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5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5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5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5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5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5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5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5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5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5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5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5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5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5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5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5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5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5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5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5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5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5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5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5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5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5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5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5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5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5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5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5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5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5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5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5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5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5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5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5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5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5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5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5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5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5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5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5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5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5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5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5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5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5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5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5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5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5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5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5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5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5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5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5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5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5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5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5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5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5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5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5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5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5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5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5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5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5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5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5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5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5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5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5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5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5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5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5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5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5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5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5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5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5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5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5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5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5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5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5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5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5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5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5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5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5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5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5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5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5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5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5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5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5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5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5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5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5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5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5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5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5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5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5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5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5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5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5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5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5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5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5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5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5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5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5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5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5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5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5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5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5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5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5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5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5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5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5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5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5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5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5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5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5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5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5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5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5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5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5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5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5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5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5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5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5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5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5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5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5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5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5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5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5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5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5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5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5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5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5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5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5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5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5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5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5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5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5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5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5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5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5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5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5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5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5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5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5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5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5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5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5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5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5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5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5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5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5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5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5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5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5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5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5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5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5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5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5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5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5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5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5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5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5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5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5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5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5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5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5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5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5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5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5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5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5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5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5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5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5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5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5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5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5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5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5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5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5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5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5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5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5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5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5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5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5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5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5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5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5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5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5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5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5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5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5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5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5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5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5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5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5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5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5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5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5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5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5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5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5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5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5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5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5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5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5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5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5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5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5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5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5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5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5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5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5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5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5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5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5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5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5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5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5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5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5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5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5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5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5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5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5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5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5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5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5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5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5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5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5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5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5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5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5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5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5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5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5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5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5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5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5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5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5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5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5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5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5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5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5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5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5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5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5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5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5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5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5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5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5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5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5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5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5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5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5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5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5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5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5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5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5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5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5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5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5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5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5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5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5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5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5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5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5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5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5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5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5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5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5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5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5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5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5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5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5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5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5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5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5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5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5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5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5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5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5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5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5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5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5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5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5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5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5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5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5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5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5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5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5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5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5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5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5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5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5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5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5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5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5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5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5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5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5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5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5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5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5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5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5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5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5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5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5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5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5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5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5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5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5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5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5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5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5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5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5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5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5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5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5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5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5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5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5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5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5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5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5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5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5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5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5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5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5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5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5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5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5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5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5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5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5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5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5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5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5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5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5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5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5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5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5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5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5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5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5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5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5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5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5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5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5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5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5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5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5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5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5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5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5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5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5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5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5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5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5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5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5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5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5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5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5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5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5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5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5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5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5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5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5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5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5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5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5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5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5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5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5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5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5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5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5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5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5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5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5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5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5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5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5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5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5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5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5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5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5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5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5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5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5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5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5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5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5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5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5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5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5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5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5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5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5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5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5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5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5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5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5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5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5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5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5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5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5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5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5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5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5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5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5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5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5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5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5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5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5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5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5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5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5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5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5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5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5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5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5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5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5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5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5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5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5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5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5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5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5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5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5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5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5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5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5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5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5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5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5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5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5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5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5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5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5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5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5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5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5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5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5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5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5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5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5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5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5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5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5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5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5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5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5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5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5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5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5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5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5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5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5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5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5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5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5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5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5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5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5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5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5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5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5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5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5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5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5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5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5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5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5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5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5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5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5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5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5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5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5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5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5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5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5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5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5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5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5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5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5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5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5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5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5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5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5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5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5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5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5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5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5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5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5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5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5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5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5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5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5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5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 F1:H986 E3:E986">
    <cfRule type="cellIs" dxfId="39" priority="1" operator="equal">
      <formula>"ON"</formula>
    </cfRule>
  </conditionalFormatting>
  <conditionalFormatting sqref="E1 F1:H986 E3:E986">
    <cfRule type="cellIs" dxfId="38" priority="2" operator="equal">
      <formula>"OFF"</formula>
    </cfRule>
  </conditionalFormatting>
  <conditionalFormatting sqref="I82 I87:I88">
    <cfRule type="notContainsBlanks" dxfId="37" priority="3">
      <formula>LEN(TRIM(I82))&gt;0</formula>
    </cfRule>
  </conditionalFormatting>
  <conditionalFormatting sqref="I83">
    <cfRule type="notContainsBlanks" dxfId="36" priority="4">
      <formula>LEN(TRIM(I83))&gt;0</formula>
    </cfRule>
  </conditionalFormatting>
  <dataValidations count="2">
    <dataValidation type="list" allowBlank="1" showErrorMessage="1" sqref="F2:F986" xr:uid="{00000000-0002-0000-1700-000000000000}">
      <formula1>"ON,OFF,Need Repaired"</formula1>
    </dataValidation>
    <dataValidation type="list" allowBlank="1" showErrorMessage="1" sqref="G2:G986" xr:uid="{00000000-0002-0000-1700-000001000000}">
      <formula1>"YES,NO"</formula1>
    </dataValidation>
  </dataValidations>
  <hyperlinks>
    <hyperlink ref="H2" r:id="rId1" xr:uid="{00000000-0004-0000-1700-000000000000}"/>
    <hyperlink ref="H3" r:id="rId2" xr:uid="{00000000-0004-0000-1700-000001000000}"/>
    <hyperlink ref="H4" r:id="rId3" xr:uid="{00000000-0004-0000-1700-000002000000}"/>
    <hyperlink ref="H5" r:id="rId4" xr:uid="{00000000-0004-0000-1700-000003000000}"/>
    <hyperlink ref="H6" r:id="rId5" xr:uid="{00000000-0004-0000-1700-000004000000}"/>
    <hyperlink ref="H7" r:id="rId6" xr:uid="{00000000-0004-0000-1700-000005000000}"/>
    <hyperlink ref="H8" r:id="rId7" xr:uid="{00000000-0004-0000-1700-000006000000}"/>
    <hyperlink ref="H9" r:id="rId8" xr:uid="{00000000-0004-0000-1700-000007000000}"/>
    <hyperlink ref="H10" r:id="rId9" xr:uid="{00000000-0004-0000-1700-000008000000}"/>
    <hyperlink ref="H11" r:id="rId10" xr:uid="{00000000-0004-0000-1700-000009000000}"/>
    <hyperlink ref="H12" r:id="rId11" xr:uid="{00000000-0004-0000-1700-00000A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5.85546875" customWidth="1"/>
    <col min="3" max="3" width="19" customWidth="1"/>
    <col min="4" max="4" width="47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381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410">
        <v>1</v>
      </c>
      <c r="B2" s="441" t="s">
        <v>1522</v>
      </c>
      <c r="C2" s="441" t="s">
        <v>586</v>
      </c>
      <c r="D2" s="441" t="s">
        <v>1523</v>
      </c>
      <c r="E2" s="424" t="s">
        <v>587</v>
      </c>
      <c r="F2" s="415" t="s">
        <v>307</v>
      </c>
      <c r="G2" s="415" t="s">
        <v>434</v>
      </c>
      <c r="H2" s="425" t="s">
        <v>263</v>
      </c>
      <c r="I2" s="417" t="s">
        <v>326</v>
      </c>
      <c r="J2" s="417" t="s">
        <v>255</v>
      </c>
      <c r="K2" s="417" t="s">
        <v>1524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2.75">
      <c r="A3" s="410">
        <v>2</v>
      </c>
      <c r="B3" s="428" t="s">
        <v>39</v>
      </c>
      <c r="C3" s="428" t="s">
        <v>40</v>
      </c>
      <c r="D3" s="428" t="s">
        <v>1525</v>
      </c>
      <c r="E3" s="429" t="s">
        <v>1526</v>
      </c>
      <c r="F3" s="415" t="s">
        <v>307</v>
      </c>
      <c r="G3" s="415" t="s">
        <v>434</v>
      </c>
      <c r="H3" s="416" t="s">
        <v>263</v>
      </c>
      <c r="I3" s="417" t="s">
        <v>326</v>
      </c>
      <c r="J3" s="417" t="s">
        <v>255</v>
      </c>
      <c r="K3" s="417" t="s">
        <v>1527</v>
      </c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2.75">
      <c r="A4" s="410">
        <v>3</v>
      </c>
      <c r="B4" s="433" t="s">
        <v>216</v>
      </c>
      <c r="C4" s="428" t="s">
        <v>217</v>
      </c>
      <c r="D4" s="423" t="s">
        <v>1528</v>
      </c>
      <c r="E4" s="433" t="s">
        <v>218</v>
      </c>
      <c r="F4" s="415" t="s">
        <v>307</v>
      </c>
      <c r="G4" s="415" t="s">
        <v>434</v>
      </c>
      <c r="H4" s="416" t="s">
        <v>263</v>
      </c>
      <c r="I4" s="417" t="s">
        <v>326</v>
      </c>
      <c r="J4" s="417" t="s">
        <v>255</v>
      </c>
      <c r="K4" s="417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ht="12.75">
      <c r="A5" s="410">
        <v>4</v>
      </c>
      <c r="B5" s="433" t="s">
        <v>216</v>
      </c>
      <c r="C5" s="428" t="s">
        <v>331</v>
      </c>
      <c r="D5" s="423" t="s">
        <v>1529</v>
      </c>
      <c r="E5" s="435" t="s">
        <v>332</v>
      </c>
      <c r="F5" s="415" t="s">
        <v>307</v>
      </c>
      <c r="G5" s="415" t="s">
        <v>434</v>
      </c>
      <c r="H5" s="436" t="s">
        <v>263</v>
      </c>
      <c r="I5" s="417" t="s">
        <v>326</v>
      </c>
      <c r="J5" s="417" t="s">
        <v>255</v>
      </c>
      <c r="K5" s="73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 ht="12.75">
      <c r="A6" s="410">
        <v>5</v>
      </c>
      <c r="B6" s="433" t="s">
        <v>216</v>
      </c>
      <c r="C6" s="428" t="s">
        <v>398</v>
      </c>
      <c r="D6" s="437" t="s">
        <v>1530</v>
      </c>
      <c r="E6" s="437" t="s">
        <v>399</v>
      </c>
      <c r="F6" s="415" t="s">
        <v>307</v>
      </c>
      <c r="G6" s="415" t="s">
        <v>434</v>
      </c>
      <c r="H6" s="425" t="s">
        <v>263</v>
      </c>
      <c r="I6" s="417" t="s">
        <v>326</v>
      </c>
      <c r="J6" s="417" t="s">
        <v>255</v>
      </c>
      <c r="K6" s="132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2.75">
      <c r="A7" s="410">
        <v>6</v>
      </c>
      <c r="B7" s="433" t="s">
        <v>82</v>
      </c>
      <c r="C7" s="428" t="s">
        <v>83</v>
      </c>
      <c r="D7" s="428" t="s">
        <v>1531</v>
      </c>
      <c r="E7" s="439" t="s">
        <v>84</v>
      </c>
      <c r="F7" s="415" t="s">
        <v>307</v>
      </c>
      <c r="G7" s="415" t="s">
        <v>434</v>
      </c>
      <c r="H7" s="416" t="s">
        <v>263</v>
      </c>
      <c r="I7" s="417" t="s">
        <v>326</v>
      </c>
      <c r="J7" s="417" t="s">
        <v>255</v>
      </c>
      <c r="K7" s="417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1:25" ht="12.75">
      <c r="A8" s="410">
        <v>7</v>
      </c>
      <c r="B8" s="433" t="s">
        <v>82</v>
      </c>
      <c r="C8" s="428" t="s">
        <v>405</v>
      </c>
      <c r="D8" s="437" t="s">
        <v>1532</v>
      </c>
      <c r="E8" s="420" t="s">
        <v>1533</v>
      </c>
      <c r="F8" s="415" t="s">
        <v>307</v>
      </c>
      <c r="G8" s="415" t="s">
        <v>434</v>
      </c>
      <c r="H8" s="416" t="s">
        <v>263</v>
      </c>
      <c r="I8" s="417" t="s">
        <v>326</v>
      </c>
      <c r="J8" s="417" t="s">
        <v>255</v>
      </c>
      <c r="K8" s="417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9" spans="1:25" ht="12.75">
      <c r="A9" s="410">
        <v>8</v>
      </c>
      <c r="B9" s="433" t="s">
        <v>108</v>
      </c>
      <c r="C9" s="428" t="s">
        <v>109</v>
      </c>
      <c r="D9" s="428" t="s">
        <v>1534</v>
      </c>
      <c r="E9" s="440" t="s">
        <v>110</v>
      </c>
      <c r="F9" s="415" t="s">
        <v>307</v>
      </c>
      <c r="G9" s="415" t="s">
        <v>434</v>
      </c>
      <c r="H9" s="416" t="s">
        <v>263</v>
      </c>
      <c r="I9" s="417" t="s">
        <v>326</v>
      </c>
      <c r="J9" s="417" t="s">
        <v>255</v>
      </c>
      <c r="K9" s="417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</row>
    <row r="10" spans="1:25" ht="12.75">
      <c r="A10" s="410">
        <v>9</v>
      </c>
      <c r="B10" s="433" t="s">
        <v>357</v>
      </c>
      <c r="C10" s="428" t="s">
        <v>358</v>
      </c>
      <c r="D10" s="428" t="s">
        <v>1535</v>
      </c>
      <c r="E10" s="440" t="s">
        <v>359</v>
      </c>
      <c r="F10" s="415" t="s">
        <v>307</v>
      </c>
      <c r="G10" s="415" t="s">
        <v>434</v>
      </c>
      <c r="H10" s="416" t="s">
        <v>263</v>
      </c>
      <c r="I10" s="417" t="s">
        <v>326</v>
      </c>
      <c r="J10" s="417" t="s">
        <v>255</v>
      </c>
      <c r="K10" s="417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 spans="1:25" ht="12.75">
      <c r="A11" s="410">
        <v>10</v>
      </c>
      <c r="B11" s="433" t="s">
        <v>216</v>
      </c>
      <c r="C11" s="428" t="s">
        <v>406</v>
      </c>
      <c r="D11" s="428" t="s">
        <v>1536</v>
      </c>
      <c r="E11" s="440" t="s">
        <v>407</v>
      </c>
      <c r="F11" s="415" t="s">
        <v>307</v>
      </c>
      <c r="G11" s="415" t="s">
        <v>434</v>
      </c>
      <c r="H11" s="416" t="s">
        <v>263</v>
      </c>
      <c r="I11" s="417" t="s">
        <v>326</v>
      </c>
      <c r="J11" s="417" t="s">
        <v>255</v>
      </c>
      <c r="K11" s="417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 spans="1:25" ht="12.75">
      <c r="A12" s="410">
        <v>11</v>
      </c>
      <c r="B12" s="428" t="s">
        <v>39</v>
      </c>
      <c r="C12" s="428" t="s">
        <v>192</v>
      </c>
      <c r="D12" s="428" t="s">
        <v>1537</v>
      </c>
      <c r="E12" s="420" t="s">
        <v>193</v>
      </c>
      <c r="F12" s="415" t="s">
        <v>307</v>
      </c>
      <c r="G12" s="415" t="s">
        <v>434</v>
      </c>
      <c r="H12" s="416" t="s">
        <v>263</v>
      </c>
      <c r="I12" s="417" t="s">
        <v>326</v>
      </c>
      <c r="J12" s="417" t="s">
        <v>255</v>
      </c>
      <c r="K12" s="418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spans="1:25" ht="12.75">
      <c r="A13" s="410">
        <v>12</v>
      </c>
      <c r="B13" s="433" t="s">
        <v>324</v>
      </c>
      <c r="C13" s="428" t="s">
        <v>389</v>
      </c>
      <c r="D13" s="428" t="s">
        <v>1538</v>
      </c>
      <c r="E13" s="429" t="s">
        <v>390</v>
      </c>
      <c r="F13" s="415" t="s">
        <v>307</v>
      </c>
      <c r="G13" s="415" t="s">
        <v>434</v>
      </c>
      <c r="H13" s="416" t="s">
        <v>263</v>
      </c>
      <c r="I13" s="417" t="s">
        <v>326</v>
      </c>
      <c r="J13" s="417" t="s">
        <v>255</v>
      </c>
      <c r="K13" s="418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 spans="1:25" ht="12.75">
      <c r="A14" s="410">
        <v>13</v>
      </c>
      <c r="B14" s="433" t="s">
        <v>376</v>
      </c>
      <c r="C14" s="428" t="s">
        <v>336</v>
      </c>
      <c r="D14" s="428" t="s">
        <v>1539</v>
      </c>
      <c r="E14" s="429" t="s">
        <v>377</v>
      </c>
      <c r="F14" s="415" t="s">
        <v>307</v>
      </c>
      <c r="G14" s="415" t="s">
        <v>434</v>
      </c>
      <c r="H14" s="416" t="s">
        <v>263</v>
      </c>
      <c r="I14" s="417" t="s">
        <v>326</v>
      </c>
      <c r="J14" s="417" t="s">
        <v>255</v>
      </c>
      <c r="K14" s="418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</row>
    <row r="15" spans="1:25" ht="12.75">
      <c r="A15" s="410">
        <v>14</v>
      </c>
      <c r="B15" s="441" t="s">
        <v>1522</v>
      </c>
      <c r="C15" s="428" t="s">
        <v>1540</v>
      </c>
      <c r="D15" s="428" t="s">
        <v>1541</v>
      </c>
      <c r="E15" s="429" t="s">
        <v>580</v>
      </c>
      <c r="F15" s="415" t="s">
        <v>307</v>
      </c>
      <c r="G15" s="415" t="s">
        <v>434</v>
      </c>
      <c r="H15" s="416" t="s">
        <v>263</v>
      </c>
      <c r="I15" s="417" t="s">
        <v>326</v>
      </c>
      <c r="J15" s="417" t="s">
        <v>255</v>
      </c>
      <c r="K15" s="418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</row>
    <row r="16" spans="1:25" ht="12.75">
      <c r="A16" s="410">
        <v>15</v>
      </c>
      <c r="B16" s="433" t="s">
        <v>82</v>
      </c>
      <c r="C16" s="428" t="s">
        <v>226</v>
      </c>
      <c r="D16" s="428" t="s">
        <v>1542</v>
      </c>
      <c r="E16" s="429" t="s">
        <v>227</v>
      </c>
      <c r="F16" s="415" t="s">
        <v>307</v>
      </c>
      <c r="G16" s="415" t="s">
        <v>434</v>
      </c>
      <c r="H16" s="416" t="s">
        <v>263</v>
      </c>
      <c r="I16" s="417" t="s">
        <v>326</v>
      </c>
      <c r="J16" s="417" t="s">
        <v>255</v>
      </c>
      <c r="K16" s="421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</row>
    <row r="17" spans="1:25" ht="12.75">
      <c r="A17" s="410">
        <v>16</v>
      </c>
      <c r="B17" s="428" t="s">
        <v>1543</v>
      </c>
      <c r="C17" s="428"/>
      <c r="D17" s="428" t="s">
        <v>1544</v>
      </c>
      <c r="E17" s="429" t="s">
        <v>280</v>
      </c>
      <c r="F17" s="415" t="s">
        <v>307</v>
      </c>
      <c r="G17" s="415" t="s">
        <v>434</v>
      </c>
      <c r="H17" s="416" t="s">
        <v>263</v>
      </c>
      <c r="I17" s="417" t="s">
        <v>326</v>
      </c>
      <c r="J17" s="417" t="s">
        <v>255</v>
      </c>
      <c r="K17" s="421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</row>
    <row r="18" spans="1:25" ht="12.75">
      <c r="A18" s="410">
        <v>17</v>
      </c>
      <c r="B18" s="428" t="s">
        <v>1545</v>
      </c>
      <c r="C18" s="428"/>
      <c r="D18" s="428" t="s">
        <v>1546</v>
      </c>
      <c r="E18" s="429" t="s">
        <v>342</v>
      </c>
      <c r="F18" s="415" t="s">
        <v>307</v>
      </c>
      <c r="G18" s="415" t="s">
        <v>434</v>
      </c>
      <c r="H18" s="416" t="s">
        <v>263</v>
      </c>
      <c r="I18" s="417" t="s">
        <v>323</v>
      </c>
      <c r="J18" s="417" t="s">
        <v>255</v>
      </c>
      <c r="K18" s="421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 spans="1:25" ht="12.75">
      <c r="A19" s="178">
        <v>18</v>
      </c>
      <c r="B19" s="428" t="s">
        <v>317</v>
      </c>
      <c r="C19" s="428"/>
      <c r="D19" s="428" t="s">
        <v>1547</v>
      </c>
      <c r="E19" s="429" t="s">
        <v>318</v>
      </c>
      <c r="F19" s="415" t="s">
        <v>254</v>
      </c>
      <c r="G19" s="415" t="s">
        <v>434</v>
      </c>
      <c r="H19" s="416" t="s">
        <v>263</v>
      </c>
      <c r="I19" s="417" t="s">
        <v>323</v>
      </c>
      <c r="J19" s="173" t="s">
        <v>255</v>
      </c>
      <c r="K19" s="171"/>
    </row>
    <row r="20" spans="1:25" ht="12.75">
      <c r="A20" s="410">
        <v>19</v>
      </c>
      <c r="B20" s="428" t="s">
        <v>1336</v>
      </c>
      <c r="C20" s="428"/>
      <c r="D20" s="428" t="s">
        <v>1544</v>
      </c>
      <c r="E20" s="429" t="s">
        <v>270</v>
      </c>
      <c r="F20" s="415" t="s">
        <v>307</v>
      </c>
      <c r="G20" s="415" t="s">
        <v>434</v>
      </c>
      <c r="H20" s="416" t="s">
        <v>263</v>
      </c>
      <c r="I20" s="417" t="s">
        <v>323</v>
      </c>
      <c r="J20" s="417" t="s">
        <v>255</v>
      </c>
      <c r="K20" s="421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 spans="1:25" ht="12.75">
      <c r="A21" s="410">
        <v>20</v>
      </c>
      <c r="B21" s="428" t="s">
        <v>1355</v>
      </c>
      <c r="C21" s="428"/>
      <c r="D21" s="428" t="s">
        <v>1538</v>
      </c>
      <c r="E21" s="429" t="s">
        <v>1356</v>
      </c>
      <c r="F21" s="415" t="s">
        <v>307</v>
      </c>
      <c r="G21" s="415" t="s">
        <v>434</v>
      </c>
      <c r="H21" s="416" t="s">
        <v>263</v>
      </c>
      <c r="I21" s="417" t="s">
        <v>323</v>
      </c>
      <c r="J21" s="417" t="s">
        <v>255</v>
      </c>
      <c r="K21" s="418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 spans="1:25" ht="12.75">
      <c r="A22" s="410">
        <v>21</v>
      </c>
      <c r="B22" s="428" t="s">
        <v>1548</v>
      </c>
      <c r="C22" s="428"/>
      <c r="D22" s="428" t="s">
        <v>1538</v>
      </c>
      <c r="E22" s="429">
        <v>357880054414531</v>
      </c>
      <c r="F22" s="415" t="s">
        <v>307</v>
      </c>
      <c r="G22" s="415" t="s">
        <v>434</v>
      </c>
      <c r="H22" s="416" t="s">
        <v>263</v>
      </c>
      <c r="I22" s="417" t="s">
        <v>323</v>
      </c>
      <c r="J22" s="417" t="s">
        <v>255</v>
      </c>
      <c r="K22" s="418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 spans="1:25" ht="12.75">
      <c r="A23" s="410">
        <v>22</v>
      </c>
      <c r="B23" s="428" t="s">
        <v>1301</v>
      </c>
      <c r="C23" s="428"/>
      <c r="D23" s="428" t="s">
        <v>1541</v>
      </c>
      <c r="E23" s="429" t="s">
        <v>27</v>
      </c>
      <c r="F23" s="415" t="s">
        <v>307</v>
      </c>
      <c r="G23" s="415" t="s">
        <v>434</v>
      </c>
      <c r="H23" s="416" t="s">
        <v>263</v>
      </c>
      <c r="I23" s="417" t="s">
        <v>323</v>
      </c>
      <c r="J23" s="417" t="s">
        <v>255</v>
      </c>
      <c r="K23" s="421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 spans="1:25" ht="12.75">
      <c r="A24" s="410">
        <v>23</v>
      </c>
      <c r="B24" s="428" t="s">
        <v>1341</v>
      </c>
      <c r="C24" s="428"/>
      <c r="D24" s="428" t="s">
        <v>1546</v>
      </c>
      <c r="E24" s="429" t="s">
        <v>181</v>
      </c>
      <c r="F24" s="415" t="s">
        <v>307</v>
      </c>
      <c r="G24" s="415" t="s">
        <v>434</v>
      </c>
      <c r="H24" s="416" t="s">
        <v>263</v>
      </c>
      <c r="I24" s="417" t="s">
        <v>323</v>
      </c>
      <c r="J24" s="417" t="s">
        <v>255</v>
      </c>
      <c r="K24" s="421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 spans="1:25" ht="12.75">
      <c r="A25" s="410">
        <v>24</v>
      </c>
      <c r="B25" s="428" t="s">
        <v>1549</v>
      </c>
      <c r="C25" s="428"/>
      <c r="D25" s="428" t="s">
        <v>1537</v>
      </c>
      <c r="E25" s="429" t="s">
        <v>104</v>
      </c>
      <c r="F25" s="415" t="s">
        <v>307</v>
      </c>
      <c r="G25" s="415" t="s">
        <v>434</v>
      </c>
      <c r="H25" s="416" t="s">
        <v>263</v>
      </c>
      <c r="I25" s="417" t="s">
        <v>340</v>
      </c>
      <c r="J25" s="417" t="s">
        <v>255</v>
      </c>
      <c r="K25" s="421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 spans="1:25" ht="12.75">
      <c r="A26" s="178">
        <v>25</v>
      </c>
      <c r="B26" s="52"/>
      <c r="C26" s="194"/>
      <c r="D26" s="194"/>
      <c r="E26" s="385"/>
      <c r="F26" s="170"/>
      <c r="G26" s="170"/>
      <c r="H26" s="170"/>
      <c r="I26" s="172"/>
      <c r="J26" s="171"/>
      <c r="K26" s="171"/>
    </row>
    <row r="27" spans="1:25" ht="12.75">
      <c r="A27" s="178">
        <v>26</v>
      </c>
      <c r="B27" s="194"/>
      <c r="C27" s="194"/>
      <c r="D27" s="194"/>
      <c r="E27" s="385"/>
      <c r="F27" s="170"/>
      <c r="G27" s="170"/>
      <c r="H27" s="170"/>
      <c r="I27" s="173"/>
      <c r="J27" s="174"/>
      <c r="K27" s="174"/>
    </row>
    <row r="28" spans="1:25" ht="12.75">
      <c r="A28" s="178">
        <v>27</v>
      </c>
      <c r="B28" s="194"/>
      <c r="C28" s="194"/>
      <c r="D28" s="194"/>
      <c r="E28" s="385"/>
      <c r="F28" s="170"/>
      <c r="G28" s="170"/>
      <c r="H28" s="170"/>
      <c r="I28" s="172"/>
      <c r="J28" s="171"/>
      <c r="K28" s="171"/>
    </row>
    <row r="29" spans="1:25" ht="12.75">
      <c r="A29" s="178">
        <v>28</v>
      </c>
      <c r="B29" s="194"/>
      <c r="C29" s="194"/>
      <c r="D29" s="194"/>
      <c r="E29" s="386"/>
      <c r="F29" s="176"/>
      <c r="G29" s="176"/>
      <c r="H29" s="176"/>
      <c r="I29" s="173"/>
      <c r="J29" s="174"/>
      <c r="K29" s="174"/>
    </row>
    <row r="30" spans="1:25" ht="12.75">
      <c r="A30" s="178">
        <v>29</v>
      </c>
      <c r="B30" s="194"/>
      <c r="C30" s="194"/>
      <c r="D30" s="194"/>
      <c r="E30" s="385"/>
      <c r="F30" s="170"/>
      <c r="G30" s="170"/>
      <c r="H30" s="170"/>
      <c r="I30" s="173"/>
      <c r="J30" s="171"/>
      <c r="K30" s="171"/>
    </row>
    <row r="31" spans="1:25" ht="12.75">
      <c r="A31" s="178">
        <v>30</v>
      </c>
      <c r="B31" s="194"/>
      <c r="C31" s="194"/>
      <c r="D31" s="194"/>
      <c r="E31" s="385"/>
      <c r="F31" s="170"/>
      <c r="G31" s="170"/>
      <c r="H31" s="170"/>
      <c r="I31" s="173"/>
      <c r="J31" s="174"/>
      <c r="K31" s="174"/>
    </row>
    <row r="32" spans="1:25" ht="12.75">
      <c r="A32" s="178">
        <v>31</v>
      </c>
      <c r="B32" s="194"/>
      <c r="C32" s="194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4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4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4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4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4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4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4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4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4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4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4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1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1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1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1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1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1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1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1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1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1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1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1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1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1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1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1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1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1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1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1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1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1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1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1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1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1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1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1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1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1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1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1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4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1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1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1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1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1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1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1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1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1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1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69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69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69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69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69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69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69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69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69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69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69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69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69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69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69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69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69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69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69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69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69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69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69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69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69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69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69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69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69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69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69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69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5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5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5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5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5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5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5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5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5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5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5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5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5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5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5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5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5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5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5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5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5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5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5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5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5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5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5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5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5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5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5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5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5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5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5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5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5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5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5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5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5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5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5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5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5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5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5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5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5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5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5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5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5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5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5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5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5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5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5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5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5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5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5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5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5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5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5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5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5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5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5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5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5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5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5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5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5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5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5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5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5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5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5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5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5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5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5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5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5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5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5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5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5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5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5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5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5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5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5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5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5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5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5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5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5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5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5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5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5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5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5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5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5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5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5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5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5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5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5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5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5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5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5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5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5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5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5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5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5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5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5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5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5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5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5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5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5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5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5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5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5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5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5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5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5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5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5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5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5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5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5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5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5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5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5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5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5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5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5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5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5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5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5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5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5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5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5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5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5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5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5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5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5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5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5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5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5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5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5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5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5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5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5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5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5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5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5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5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5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5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5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5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5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5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5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5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5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5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5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5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5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5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5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5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5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5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5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5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5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5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5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5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5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5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5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5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5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5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5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5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5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5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5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5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5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5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5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5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5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5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5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5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5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5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5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5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5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5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5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5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5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5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5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5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5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5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5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5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5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5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5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5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5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5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5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5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5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5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5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5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5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5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5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5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5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5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5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5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5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5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5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5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5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5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5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5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5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5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5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5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5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5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5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5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5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5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5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5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5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5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5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5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5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5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5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5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5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5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5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5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5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5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5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5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5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5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5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5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5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5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5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5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5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5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5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5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5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5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5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5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5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5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5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5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5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5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5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5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5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5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5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5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5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5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5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5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5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5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5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5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5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5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5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5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5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5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5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5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5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5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5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5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5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5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5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5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5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5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5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5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5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5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5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5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5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5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5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5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5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5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5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5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5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5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5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5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5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5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5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5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5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5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5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5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5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5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5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5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5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5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5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5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5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5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5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5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5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5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5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5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5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5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5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5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5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5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5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5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5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5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5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5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5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5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5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5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5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5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5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5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5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5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5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5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5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5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5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5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5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5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5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5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5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5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5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5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5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5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5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5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5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5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5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5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5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5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5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5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5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5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5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5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5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5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5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5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5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5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5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5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5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5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5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5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5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5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5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5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5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5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5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5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5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5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5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5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5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5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5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5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5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5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5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5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5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5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5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5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5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5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5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5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5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5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5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5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5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5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5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5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5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5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5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5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5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5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5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5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5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5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5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5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5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5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5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5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5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5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5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5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5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5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5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5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5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5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5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5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5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5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5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5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5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5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5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5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5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5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5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5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5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5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5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5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5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5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5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5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5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5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5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5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5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5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5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5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5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5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5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5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5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5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5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5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5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5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5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5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5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5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5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5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5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5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5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5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5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5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5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5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5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5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5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5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5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5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5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5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5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5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5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5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5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5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5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5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5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5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5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5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5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5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5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5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5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5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5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5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5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5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5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5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5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5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5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5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5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5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5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5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5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5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5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5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5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5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5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5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5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5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5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5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5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5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5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5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5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5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5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5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5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5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5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5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5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5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5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5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5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5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5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5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5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5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5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5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5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5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5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5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5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5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5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5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5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5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5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5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5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5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5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5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5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5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5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5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5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5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5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5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5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5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5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5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5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5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5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5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5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5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5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5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5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5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5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5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5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5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5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5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5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5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5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5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5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5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5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5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5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5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5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5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5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5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5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5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5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5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5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5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5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5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5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5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5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5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5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5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5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5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5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5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5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5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5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5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5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5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5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5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5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5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5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5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5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5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5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5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5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5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5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5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5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5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5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5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5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5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5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5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5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5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5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5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5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5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5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5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5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5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5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5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5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5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5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5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5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5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5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5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5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5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5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5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5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5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5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5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5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5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5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5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5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5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5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5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5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5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5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5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5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5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5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5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5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5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5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5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5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5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5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5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5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5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5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5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5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5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5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5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5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5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5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5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5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5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5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5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5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5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5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5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5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5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5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5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5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5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5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5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5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5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5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5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5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5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5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5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5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5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5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5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5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5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5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5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5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5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5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5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5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5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5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5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5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5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5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5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 F1:H986 E3:E986">
    <cfRule type="cellIs" dxfId="35" priority="1" operator="equal">
      <formula>"ON"</formula>
    </cfRule>
  </conditionalFormatting>
  <conditionalFormatting sqref="E1 F1:H986 E3:E986">
    <cfRule type="cellIs" dxfId="34" priority="2" operator="equal">
      <formula>"OFF"</formula>
    </cfRule>
  </conditionalFormatting>
  <conditionalFormatting sqref="I82 I87:I88">
    <cfRule type="notContainsBlanks" dxfId="33" priority="3">
      <formula>LEN(TRIM(I82))&gt;0</formula>
    </cfRule>
  </conditionalFormatting>
  <conditionalFormatting sqref="I83">
    <cfRule type="notContainsBlanks" dxfId="32" priority="4">
      <formula>LEN(TRIM(I83))&gt;0</formula>
    </cfRule>
  </conditionalFormatting>
  <dataValidations count="2">
    <dataValidation type="list" allowBlank="1" showErrorMessage="1" sqref="F2:F986" xr:uid="{00000000-0002-0000-1800-000000000000}">
      <formula1>"ON,OFF,Need Repaired"</formula1>
    </dataValidation>
    <dataValidation type="list" allowBlank="1" showErrorMessage="1" sqref="G2:G986" xr:uid="{00000000-0002-0000-1800-000001000000}">
      <formula1>"YES,NO"</formula1>
    </dataValidation>
  </dataValidations>
  <hyperlinks>
    <hyperlink ref="H2" r:id="rId1" xr:uid="{00000000-0004-0000-1800-000000000000}"/>
    <hyperlink ref="H3" r:id="rId2" xr:uid="{00000000-0004-0000-1800-000001000000}"/>
    <hyperlink ref="H4" r:id="rId3" xr:uid="{00000000-0004-0000-1800-000002000000}"/>
    <hyperlink ref="H5" r:id="rId4" xr:uid="{00000000-0004-0000-1800-000003000000}"/>
    <hyperlink ref="H6" r:id="rId5" xr:uid="{00000000-0004-0000-1800-000004000000}"/>
    <hyperlink ref="H7" r:id="rId6" xr:uid="{00000000-0004-0000-1800-000005000000}"/>
    <hyperlink ref="H8" r:id="rId7" xr:uid="{00000000-0004-0000-1800-000006000000}"/>
    <hyperlink ref="H9" r:id="rId8" xr:uid="{00000000-0004-0000-1800-000007000000}"/>
    <hyperlink ref="H10" r:id="rId9" xr:uid="{00000000-0004-0000-1800-000008000000}"/>
    <hyperlink ref="H11" r:id="rId10" xr:uid="{00000000-0004-0000-1800-000009000000}"/>
    <hyperlink ref="H12" r:id="rId11" xr:uid="{00000000-0004-0000-1800-00000A000000}"/>
    <hyperlink ref="H13" r:id="rId12" xr:uid="{00000000-0004-0000-1800-00000B000000}"/>
    <hyperlink ref="H14" r:id="rId13" xr:uid="{00000000-0004-0000-1800-00000C000000}"/>
    <hyperlink ref="H15" r:id="rId14" xr:uid="{00000000-0004-0000-1800-00000D000000}"/>
    <hyperlink ref="H16" r:id="rId15" xr:uid="{00000000-0004-0000-1800-00000E000000}"/>
    <hyperlink ref="H17" r:id="rId16" xr:uid="{00000000-0004-0000-1800-00000F000000}"/>
    <hyperlink ref="H18" r:id="rId17" xr:uid="{00000000-0004-0000-1800-000010000000}"/>
    <hyperlink ref="H19" r:id="rId18" xr:uid="{00000000-0004-0000-1800-000011000000}"/>
    <hyperlink ref="H20" r:id="rId19" xr:uid="{00000000-0004-0000-1800-000012000000}"/>
    <hyperlink ref="H21" r:id="rId20" xr:uid="{00000000-0004-0000-1800-000013000000}"/>
    <hyperlink ref="H22" r:id="rId21" xr:uid="{00000000-0004-0000-1800-000014000000}"/>
    <hyperlink ref="H23" r:id="rId22" xr:uid="{00000000-0004-0000-1800-000015000000}"/>
    <hyperlink ref="H24" r:id="rId23" xr:uid="{00000000-0004-0000-1800-000016000000}"/>
    <hyperlink ref="H25" r:id="rId24" xr:uid="{00000000-0004-0000-1800-000017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5.8554687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410">
        <v>1</v>
      </c>
      <c r="B2" s="433" t="s">
        <v>1543</v>
      </c>
      <c r="C2" s="442"/>
      <c r="D2" s="423" t="s">
        <v>1550</v>
      </c>
      <c r="E2" s="424" t="s">
        <v>574</v>
      </c>
      <c r="F2" s="415" t="s">
        <v>307</v>
      </c>
      <c r="G2" s="415" t="s">
        <v>434</v>
      </c>
      <c r="H2" s="425" t="s">
        <v>263</v>
      </c>
      <c r="I2" s="417" t="s">
        <v>340</v>
      </c>
      <c r="J2" s="417" t="s">
        <v>255</v>
      </c>
      <c r="K2" s="417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2.75">
      <c r="A3" s="410">
        <v>2</v>
      </c>
      <c r="B3" s="428" t="s">
        <v>114</v>
      </c>
      <c r="C3" s="443"/>
      <c r="D3" s="428" t="s">
        <v>1551</v>
      </c>
      <c r="E3" s="429" t="s">
        <v>116</v>
      </c>
      <c r="F3" s="415" t="s">
        <v>307</v>
      </c>
      <c r="G3" s="415" t="s">
        <v>434</v>
      </c>
      <c r="H3" s="416" t="s">
        <v>263</v>
      </c>
      <c r="I3" s="417" t="s">
        <v>340</v>
      </c>
      <c r="J3" s="417" t="s">
        <v>255</v>
      </c>
      <c r="K3" s="417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2.75">
      <c r="A4" s="410">
        <v>3</v>
      </c>
      <c r="B4" s="433" t="s">
        <v>1508</v>
      </c>
      <c r="C4" s="444"/>
      <c r="D4" s="132" t="s">
        <v>1552</v>
      </c>
      <c r="E4" s="424" t="s">
        <v>21</v>
      </c>
      <c r="F4" s="415" t="s">
        <v>307</v>
      </c>
      <c r="G4" s="415" t="s">
        <v>434</v>
      </c>
      <c r="H4" s="416" t="s">
        <v>263</v>
      </c>
      <c r="I4" s="417" t="s">
        <v>340</v>
      </c>
      <c r="J4" s="417" t="s">
        <v>255</v>
      </c>
      <c r="K4" s="417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ht="12.75">
      <c r="A5" s="410">
        <v>4</v>
      </c>
      <c r="B5" s="433" t="s">
        <v>1543</v>
      </c>
      <c r="C5" s="445"/>
      <c r="D5" s="423" t="s">
        <v>1553</v>
      </c>
      <c r="E5" s="435" t="s">
        <v>576</v>
      </c>
      <c r="F5" s="415" t="s">
        <v>307</v>
      </c>
      <c r="G5" s="415" t="s">
        <v>434</v>
      </c>
      <c r="H5" s="436" t="s">
        <v>263</v>
      </c>
      <c r="I5" s="417" t="s">
        <v>1554</v>
      </c>
      <c r="J5" s="417" t="s">
        <v>255</v>
      </c>
      <c r="K5" s="73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 ht="12.75">
      <c r="A6" s="410">
        <v>5</v>
      </c>
      <c r="B6" s="132" t="s">
        <v>1301</v>
      </c>
      <c r="C6" s="446"/>
      <c r="D6" s="437" t="s">
        <v>1553</v>
      </c>
      <c r="E6" s="437" t="s">
        <v>1303</v>
      </c>
      <c r="F6" s="415" t="s">
        <v>307</v>
      </c>
      <c r="G6" s="415" t="s">
        <v>434</v>
      </c>
      <c r="H6" s="425" t="s">
        <v>263</v>
      </c>
      <c r="I6" s="417" t="s">
        <v>1554</v>
      </c>
      <c r="J6" s="417" t="s">
        <v>255</v>
      </c>
      <c r="K6" s="132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2.75">
      <c r="A7" s="410">
        <v>6</v>
      </c>
      <c r="B7" s="428" t="s">
        <v>1555</v>
      </c>
      <c r="C7" s="447"/>
      <c r="D7" s="437" t="s">
        <v>1553</v>
      </c>
      <c r="E7" s="439" t="s">
        <v>1238</v>
      </c>
      <c r="F7" s="415" t="s">
        <v>307</v>
      </c>
      <c r="G7" s="415" t="s">
        <v>434</v>
      </c>
      <c r="H7" s="416" t="s">
        <v>263</v>
      </c>
      <c r="I7" s="417" t="s">
        <v>1554</v>
      </c>
      <c r="J7" s="417" t="s">
        <v>255</v>
      </c>
      <c r="K7" s="417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1:25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25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25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25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25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25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25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25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25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 F1:H986 E3 E5:E986">
    <cfRule type="cellIs" dxfId="31" priority="1" operator="equal">
      <formula>"ON"</formula>
    </cfRule>
  </conditionalFormatting>
  <conditionalFormatting sqref="E1 F1:H986 E3 E5:E986">
    <cfRule type="cellIs" dxfId="30" priority="2" operator="equal">
      <formula>"OFF"</formula>
    </cfRule>
  </conditionalFormatting>
  <conditionalFormatting sqref="I82 I87:I88">
    <cfRule type="notContainsBlanks" dxfId="29" priority="3">
      <formula>LEN(TRIM(I82))&gt;0</formula>
    </cfRule>
  </conditionalFormatting>
  <conditionalFormatting sqref="I83">
    <cfRule type="notContainsBlanks" dxfId="28" priority="4">
      <formula>LEN(TRIM(I83))&gt;0</formula>
    </cfRule>
  </conditionalFormatting>
  <dataValidations count="2">
    <dataValidation type="list" allowBlank="1" showErrorMessage="1" sqref="F2:F986" xr:uid="{00000000-0002-0000-1900-000000000000}">
      <formula1>"ON,OFF,Need Repaired"</formula1>
    </dataValidation>
    <dataValidation type="list" allowBlank="1" showErrorMessage="1" sqref="G2:G986" xr:uid="{00000000-0002-0000-1900-000001000000}">
      <formula1>"YES,NO"</formula1>
    </dataValidation>
  </dataValidations>
  <hyperlinks>
    <hyperlink ref="H2" r:id="rId1" xr:uid="{00000000-0004-0000-1900-000000000000}"/>
    <hyperlink ref="H3" r:id="rId2" xr:uid="{00000000-0004-0000-1900-000001000000}"/>
    <hyperlink ref="H4" r:id="rId3" xr:uid="{00000000-0004-0000-1900-000002000000}"/>
    <hyperlink ref="H5" r:id="rId4" xr:uid="{00000000-0004-0000-1900-000003000000}"/>
    <hyperlink ref="H6" r:id="rId5" xr:uid="{00000000-0004-0000-1900-000004000000}"/>
    <hyperlink ref="H7" r:id="rId6" xr:uid="{00000000-0004-0000-1900-000005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Y98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54.28515625" customWidth="1"/>
    <col min="3" max="3" width="24.5703125" customWidth="1"/>
    <col min="4" max="4" width="18.425781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5">
      <c r="A2" s="410">
        <v>1</v>
      </c>
      <c r="B2" s="448" t="s">
        <v>362</v>
      </c>
      <c r="C2" s="448" t="s">
        <v>363</v>
      </c>
      <c r="D2" s="424" t="s">
        <v>1556</v>
      </c>
      <c r="E2" s="448" t="s">
        <v>364</v>
      </c>
      <c r="F2" s="415" t="s">
        <v>307</v>
      </c>
      <c r="G2" s="415" t="s">
        <v>434</v>
      </c>
      <c r="H2" s="425" t="s">
        <v>263</v>
      </c>
      <c r="I2" s="417" t="s">
        <v>1416</v>
      </c>
      <c r="J2" s="417" t="s">
        <v>255</v>
      </c>
      <c r="K2" s="417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>
      <c r="A3" s="410">
        <v>2</v>
      </c>
      <c r="B3" s="448" t="s">
        <v>1557</v>
      </c>
      <c r="C3" s="447"/>
      <c r="D3" s="438" t="s">
        <v>1556</v>
      </c>
      <c r="E3" s="448" t="s">
        <v>1362</v>
      </c>
      <c r="F3" s="415" t="s">
        <v>307</v>
      </c>
      <c r="G3" s="415" t="s">
        <v>434</v>
      </c>
      <c r="H3" s="416" t="s">
        <v>263</v>
      </c>
      <c r="I3" s="417" t="s">
        <v>1416</v>
      </c>
      <c r="J3" s="417" t="s">
        <v>255</v>
      </c>
      <c r="K3" s="417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5">
      <c r="A4" s="410">
        <v>3</v>
      </c>
      <c r="B4" s="449" t="s">
        <v>1558</v>
      </c>
      <c r="C4" s="447"/>
      <c r="D4" s="132" t="s">
        <v>1556</v>
      </c>
      <c r="E4" s="448" t="s">
        <v>66</v>
      </c>
      <c r="F4" s="415" t="s">
        <v>307</v>
      </c>
      <c r="G4" s="415" t="s">
        <v>434</v>
      </c>
      <c r="H4" s="416" t="s">
        <v>263</v>
      </c>
      <c r="I4" s="417" t="s">
        <v>1416</v>
      </c>
      <c r="J4" s="417" t="s">
        <v>255</v>
      </c>
      <c r="K4" s="417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ht="15">
      <c r="A5" s="410">
        <v>4</v>
      </c>
      <c r="B5" s="132" t="s">
        <v>365</v>
      </c>
      <c r="C5" s="445"/>
      <c r="D5" s="424" t="s">
        <v>368</v>
      </c>
      <c r="E5" s="448" t="s">
        <v>367</v>
      </c>
      <c r="F5" s="415" t="s">
        <v>307</v>
      </c>
      <c r="G5" s="415" t="s">
        <v>434</v>
      </c>
      <c r="H5" s="436" t="s">
        <v>263</v>
      </c>
      <c r="I5" s="417" t="s">
        <v>369</v>
      </c>
      <c r="J5" s="417" t="s">
        <v>255</v>
      </c>
      <c r="K5" s="73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 ht="15">
      <c r="A6" s="410">
        <v>5</v>
      </c>
      <c r="B6" s="449" t="s">
        <v>1557</v>
      </c>
      <c r="C6" s="446"/>
      <c r="D6" s="424" t="s">
        <v>368</v>
      </c>
      <c r="E6" s="448" t="s">
        <v>1364</v>
      </c>
      <c r="F6" s="415" t="s">
        <v>307</v>
      </c>
      <c r="G6" s="415" t="s">
        <v>434</v>
      </c>
      <c r="H6" s="425" t="s">
        <v>263</v>
      </c>
      <c r="I6" s="417" t="s">
        <v>369</v>
      </c>
      <c r="J6" s="417" t="s">
        <v>255</v>
      </c>
      <c r="K6" s="132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2.75">
      <c r="A7" s="410">
        <v>6</v>
      </c>
      <c r="B7" s="132" t="s">
        <v>1559</v>
      </c>
      <c r="C7" s="73"/>
      <c r="D7" s="132" t="s">
        <v>368</v>
      </c>
      <c r="E7" s="439"/>
      <c r="F7" s="415" t="s">
        <v>307</v>
      </c>
      <c r="G7" s="415" t="s">
        <v>434</v>
      </c>
      <c r="H7" s="416" t="s">
        <v>263</v>
      </c>
      <c r="I7" s="417" t="s">
        <v>369</v>
      </c>
      <c r="J7" s="417" t="s">
        <v>255</v>
      </c>
      <c r="K7" s="417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1:25" ht="15">
      <c r="A8" s="410">
        <v>7</v>
      </c>
      <c r="B8" s="132" t="s">
        <v>146</v>
      </c>
      <c r="C8" s="73"/>
      <c r="D8" s="132" t="s">
        <v>368</v>
      </c>
      <c r="E8" s="449" t="s">
        <v>103</v>
      </c>
      <c r="F8" s="415" t="s">
        <v>307</v>
      </c>
      <c r="G8" s="415" t="s">
        <v>434</v>
      </c>
      <c r="H8" s="416" t="s">
        <v>263</v>
      </c>
      <c r="I8" s="417" t="s">
        <v>369</v>
      </c>
      <c r="J8" s="417" t="s">
        <v>255</v>
      </c>
      <c r="K8" s="417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9" spans="1:25" ht="15">
      <c r="A9" s="410">
        <v>8</v>
      </c>
      <c r="B9" s="448" t="s">
        <v>1560</v>
      </c>
      <c r="C9" s="448" t="s">
        <v>157</v>
      </c>
      <c r="D9" s="428" t="s">
        <v>1441</v>
      </c>
      <c r="E9" s="450" t="s">
        <v>310</v>
      </c>
      <c r="F9" s="415" t="s">
        <v>307</v>
      </c>
      <c r="G9" s="415" t="s">
        <v>434</v>
      </c>
      <c r="H9" s="416" t="s">
        <v>263</v>
      </c>
      <c r="I9" s="417" t="s">
        <v>369</v>
      </c>
      <c r="J9" s="417" t="s">
        <v>255</v>
      </c>
      <c r="K9" s="417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</row>
    <row r="10" spans="1:25" ht="15">
      <c r="A10" s="410">
        <v>9</v>
      </c>
      <c r="B10" s="428" t="s">
        <v>1561</v>
      </c>
      <c r="C10" s="447"/>
      <c r="D10" s="428" t="s">
        <v>1441</v>
      </c>
      <c r="E10" s="448" t="s">
        <v>1352</v>
      </c>
      <c r="F10" s="415" t="s">
        <v>307</v>
      </c>
      <c r="G10" s="415" t="s">
        <v>434</v>
      </c>
      <c r="H10" s="416" t="s">
        <v>263</v>
      </c>
      <c r="I10" s="417" t="s">
        <v>369</v>
      </c>
      <c r="J10" s="417" t="s">
        <v>255</v>
      </c>
      <c r="K10" s="417" t="s">
        <v>1562</v>
      </c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 spans="1:25" ht="15">
      <c r="A11" s="410">
        <v>10</v>
      </c>
      <c r="B11" s="428" t="s">
        <v>142</v>
      </c>
      <c r="C11" s="448" t="s">
        <v>143</v>
      </c>
      <c r="D11" s="438" t="s">
        <v>1441</v>
      </c>
      <c r="E11" s="448" t="s">
        <v>144</v>
      </c>
      <c r="F11" s="415" t="s">
        <v>307</v>
      </c>
      <c r="G11" s="415" t="s">
        <v>434</v>
      </c>
      <c r="H11" s="416" t="s">
        <v>263</v>
      </c>
      <c r="I11" s="417" t="s">
        <v>369</v>
      </c>
      <c r="J11" s="417" t="s">
        <v>255</v>
      </c>
      <c r="K11" s="417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 spans="1:25" ht="15">
      <c r="A12" s="410">
        <v>11</v>
      </c>
      <c r="B12" s="428" t="s">
        <v>34</v>
      </c>
      <c r="C12" s="448" t="s">
        <v>1563</v>
      </c>
      <c r="D12" s="428" t="s">
        <v>1463</v>
      </c>
      <c r="E12" s="420"/>
      <c r="F12" s="415" t="s">
        <v>254</v>
      </c>
      <c r="G12" s="415" t="s">
        <v>581</v>
      </c>
      <c r="H12" s="416" t="s">
        <v>263</v>
      </c>
      <c r="I12" s="417" t="s">
        <v>259</v>
      </c>
      <c r="J12" s="417" t="s">
        <v>255</v>
      </c>
      <c r="K12" s="418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spans="1:25" ht="15">
      <c r="A13" s="410">
        <v>12</v>
      </c>
      <c r="B13" s="438" t="s">
        <v>1557</v>
      </c>
      <c r="C13" s="447"/>
      <c r="D13" s="438" t="s">
        <v>1463</v>
      </c>
      <c r="E13" s="448" t="s">
        <v>1365</v>
      </c>
      <c r="F13" s="415" t="s">
        <v>307</v>
      </c>
      <c r="G13" s="415" t="s">
        <v>434</v>
      </c>
      <c r="H13" s="416" t="s">
        <v>263</v>
      </c>
      <c r="I13" s="417" t="s">
        <v>259</v>
      </c>
      <c r="J13" s="417" t="s">
        <v>255</v>
      </c>
      <c r="K13" s="418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 spans="1:25" ht="15">
      <c r="A14" s="410">
        <v>13</v>
      </c>
      <c r="B14" s="438" t="s">
        <v>146</v>
      </c>
      <c r="C14" s="447"/>
      <c r="D14" s="438" t="s">
        <v>1463</v>
      </c>
      <c r="E14" s="448" t="s">
        <v>148</v>
      </c>
      <c r="F14" s="415" t="s">
        <v>307</v>
      </c>
      <c r="G14" s="415" t="s">
        <v>434</v>
      </c>
      <c r="H14" s="416" t="s">
        <v>263</v>
      </c>
      <c r="I14" s="417" t="s">
        <v>259</v>
      </c>
      <c r="J14" s="417" t="s">
        <v>255</v>
      </c>
      <c r="K14" s="418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</row>
    <row r="15" spans="1:25" ht="15">
      <c r="A15" s="410">
        <v>14</v>
      </c>
      <c r="B15" s="448" t="s">
        <v>1564</v>
      </c>
      <c r="C15" s="448" t="s">
        <v>1319</v>
      </c>
      <c r="D15" s="438" t="s">
        <v>352</v>
      </c>
      <c r="E15" s="448" t="s">
        <v>1320</v>
      </c>
      <c r="F15" s="415" t="s">
        <v>307</v>
      </c>
      <c r="G15" s="415" t="s">
        <v>434</v>
      </c>
      <c r="H15" s="416" t="s">
        <v>263</v>
      </c>
      <c r="I15" s="417" t="s">
        <v>259</v>
      </c>
      <c r="J15" s="417" t="s">
        <v>255</v>
      </c>
      <c r="K15" s="417" t="s">
        <v>1565</v>
      </c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</row>
    <row r="16" spans="1:25" ht="15">
      <c r="A16" s="410">
        <v>15</v>
      </c>
      <c r="B16" s="438" t="s">
        <v>350</v>
      </c>
      <c r="C16" s="447"/>
      <c r="D16" s="438" t="s">
        <v>352</v>
      </c>
      <c r="E16" s="448" t="s">
        <v>351</v>
      </c>
      <c r="F16" s="415" t="s">
        <v>307</v>
      </c>
      <c r="G16" s="415" t="s">
        <v>434</v>
      </c>
      <c r="H16" s="416" t="s">
        <v>263</v>
      </c>
      <c r="I16" s="417" t="s">
        <v>259</v>
      </c>
      <c r="J16" s="417" t="s">
        <v>255</v>
      </c>
      <c r="K16" s="417" t="s">
        <v>1566</v>
      </c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</row>
    <row r="17" spans="1:25" ht="12.75">
      <c r="A17" s="410">
        <v>16</v>
      </c>
      <c r="B17" s="438" t="s">
        <v>353</v>
      </c>
      <c r="C17" s="447"/>
      <c r="D17" s="438" t="s">
        <v>352</v>
      </c>
      <c r="E17" s="420"/>
      <c r="F17" s="415" t="s">
        <v>307</v>
      </c>
      <c r="G17" s="415" t="s">
        <v>434</v>
      </c>
      <c r="H17" s="416" t="s">
        <v>263</v>
      </c>
      <c r="I17" s="417" t="s">
        <v>259</v>
      </c>
      <c r="J17" s="417" t="s">
        <v>255</v>
      </c>
      <c r="K17" s="421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</row>
    <row r="18" spans="1:25" ht="12.75">
      <c r="A18" s="410">
        <v>17</v>
      </c>
      <c r="B18" s="438" t="s">
        <v>1567</v>
      </c>
      <c r="C18" s="447"/>
      <c r="D18" s="438" t="s">
        <v>352</v>
      </c>
      <c r="E18" s="420"/>
      <c r="F18" s="415" t="s">
        <v>307</v>
      </c>
      <c r="G18" s="415" t="s">
        <v>434</v>
      </c>
      <c r="H18" s="416" t="s">
        <v>263</v>
      </c>
      <c r="I18" s="417" t="s">
        <v>259</v>
      </c>
      <c r="J18" s="417" t="s">
        <v>255</v>
      </c>
      <c r="K18" s="421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 spans="1:25" ht="15">
      <c r="A19" s="410">
        <v>18</v>
      </c>
      <c r="B19" s="438" t="s">
        <v>1568</v>
      </c>
      <c r="C19" s="448" t="s">
        <v>1359</v>
      </c>
      <c r="D19" s="438" t="s">
        <v>352</v>
      </c>
      <c r="E19" s="420" t="s">
        <v>1360</v>
      </c>
      <c r="F19" s="415" t="s">
        <v>307</v>
      </c>
      <c r="G19" s="415" t="s">
        <v>434</v>
      </c>
      <c r="H19" s="436" t="s">
        <v>263</v>
      </c>
      <c r="I19" s="417" t="s">
        <v>259</v>
      </c>
      <c r="J19" s="417" t="s">
        <v>255</v>
      </c>
      <c r="K19" s="421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</row>
    <row r="20" spans="1:25" ht="15">
      <c r="A20" s="410">
        <v>19</v>
      </c>
      <c r="B20" s="438" t="s">
        <v>250</v>
      </c>
      <c r="C20" s="448" t="s">
        <v>1571</v>
      </c>
      <c r="D20" s="438" t="s">
        <v>352</v>
      </c>
      <c r="E20" s="420" t="s">
        <v>158</v>
      </c>
      <c r="F20" s="415" t="s">
        <v>307</v>
      </c>
      <c r="G20" s="415" t="s">
        <v>434</v>
      </c>
      <c r="H20" s="416" t="s">
        <v>263</v>
      </c>
      <c r="I20" s="417" t="s">
        <v>259</v>
      </c>
      <c r="J20" s="417" t="s">
        <v>255</v>
      </c>
      <c r="K20" s="421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 spans="1:25" ht="15">
      <c r="A21" s="410">
        <v>20</v>
      </c>
      <c r="B21" s="448" t="s">
        <v>162</v>
      </c>
      <c r="C21" s="447"/>
      <c r="D21" s="438" t="s">
        <v>352</v>
      </c>
      <c r="E21" s="448" t="s">
        <v>117</v>
      </c>
      <c r="F21" s="415" t="s">
        <v>307</v>
      </c>
      <c r="G21" s="415" t="s">
        <v>434</v>
      </c>
      <c r="H21" s="416" t="s">
        <v>263</v>
      </c>
      <c r="I21" s="417" t="s">
        <v>259</v>
      </c>
      <c r="J21" s="417" t="s">
        <v>255</v>
      </c>
      <c r="K21" s="418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 spans="1:25" ht="15">
      <c r="A22" s="410">
        <v>21</v>
      </c>
      <c r="B22" s="438" t="s">
        <v>1576</v>
      </c>
      <c r="C22" s="447"/>
      <c r="D22" s="438" t="s">
        <v>352</v>
      </c>
      <c r="E22" s="448" t="s">
        <v>1371</v>
      </c>
      <c r="F22" s="415" t="s">
        <v>307</v>
      </c>
      <c r="G22" s="415" t="s">
        <v>434</v>
      </c>
      <c r="H22" s="416" t="s">
        <v>263</v>
      </c>
      <c r="I22" s="417" t="s">
        <v>259</v>
      </c>
      <c r="J22" s="417" t="s">
        <v>255</v>
      </c>
      <c r="K22" s="418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 spans="1:25" ht="15">
      <c r="A23" s="410">
        <v>22</v>
      </c>
      <c r="B23" s="448" t="s">
        <v>1579</v>
      </c>
      <c r="C23" s="448"/>
      <c r="D23" s="438" t="s">
        <v>1488</v>
      </c>
      <c r="E23" s="448" t="s">
        <v>1311</v>
      </c>
      <c r="F23" s="415" t="s">
        <v>307</v>
      </c>
      <c r="G23" s="415" t="s">
        <v>434</v>
      </c>
      <c r="H23" s="416" t="s">
        <v>263</v>
      </c>
      <c r="I23" s="417" t="s">
        <v>375</v>
      </c>
      <c r="J23" s="417" t="s">
        <v>255</v>
      </c>
      <c r="K23" s="421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 spans="1:25" ht="15">
      <c r="A24" s="410">
        <v>23</v>
      </c>
      <c r="B24" s="438" t="s">
        <v>1581</v>
      </c>
      <c r="C24" s="448" t="s">
        <v>1310</v>
      </c>
      <c r="D24" s="438" t="s">
        <v>1488</v>
      </c>
      <c r="E24" s="448" t="s">
        <v>1328</v>
      </c>
      <c r="F24" s="415" t="s">
        <v>307</v>
      </c>
      <c r="G24" s="415" t="s">
        <v>434</v>
      </c>
      <c r="H24" s="416" t="s">
        <v>263</v>
      </c>
      <c r="I24" s="417" t="s">
        <v>375</v>
      </c>
      <c r="J24" s="417" t="s">
        <v>255</v>
      </c>
      <c r="K24" s="421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 spans="1:25" ht="15">
      <c r="A25" s="410">
        <v>24</v>
      </c>
      <c r="B25" s="428" t="s">
        <v>250</v>
      </c>
      <c r="C25" s="448" t="s">
        <v>1582</v>
      </c>
      <c r="D25" s="428" t="s">
        <v>1488</v>
      </c>
      <c r="E25" s="448" t="s">
        <v>499</v>
      </c>
      <c r="F25" s="415" t="s">
        <v>307</v>
      </c>
      <c r="G25" s="415" t="s">
        <v>434</v>
      </c>
      <c r="H25" s="416" t="s">
        <v>263</v>
      </c>
      <c r="I25" s="417" t="s">
        <v>375</v>
      </c>
      <c r="J25" s="417" t="s">
        <v>255</v>
      </c>
      <c r="K25" s="421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 spans="1:25" ht="15">
      <c r="A26" s="410">
        <v>25</v>
      </c>
      <c r="B26" s="428" t="s">
        <v>1341</v>
      </c>
      <c r="C26" s="448" t="s">
        <v>1333</v>
      </c>
      <c r="D26" s="428" t="s">
        <v>1488</v>
      </c>
      <c r="E26" s="448" t="s">
        <v>1334</v>
      </c>
      <c r="F26" s="415" t="s">
        <v>307</v>
      </c>
      <c r="G26" s="415" t="s">
        <v>434</v>
      </c>
      <c r="H26" s="416" t="s">
        <v>263</v>
      </c>
      <c r="I26" s="417" t="s">
        <v>375</v>
      </c>
      <c r="J26" s="417" t="s">
        <v>255</v>
      </c>
      <c r="K26" s="421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</row>
    <row r="27" spans="1:25" ht="15">
      <c r="A27" s="410">
        <v>26</v>
      </c>
      <c r="B27" s="428" t="s">
        <v>162</v>
      </c>
      <c r="C27" s="443"/>
      <c r="D27" s="428" t="s">
        <v>1488</v>
      </c>
      <c r="E27" s="449" t="s">
        <v>164</v>
      </c>
      <c r="F27" s="415" t="s">
        <v>307</v>
      </c>
      <c r="G27" s="415" t="s">
        <v>434</v>
      </c>
      <c r="H27" s="416" t="s">
        <v>263</v>
      </c>
      <c r="I27" s="417" t="s">
        <v>375</v>
      </c>
      <c r="J27" s="417" t="s">
        <v>255</v>
      </c>
      <c r="K27" s="418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</row>
    <row r="28" spans="1:25" ht="15">
      <c r="A28" s="410">
        <v>27</v>
      </c>
      <c r="B28" s="428" t="s">
        <v>1586</v>
      </c>
      <c r="C28" s="448" t="s">
        <v>371</v>
      </c>
      <c r="D28" s="428" t="s">
        <v>373</v>
      </c>
      <c r="E28" s="448" t="s">
        <v>372</v>
      </c>
      <c r="F28" s="415" t="s">
        <v>307</v>
      </c>
      <c r="G28" s="415" t="s">
        <v>434</v>
      </c>
      <c r="H28" s="416" t="s">
        <v>263</v>
      </c>
      <c r="I28" s="417" t="s">
        <v>375</v>
      </c>
      <c r="J28" s="417" t="s">
        <v>255</v>
      </c>
      <c r="K28" s="421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</row>
    <row r="29" spans="1:25" ht="15">
      <c r="A29" s="410">
        <v>28</v>
      </c>
      <c r="B29" s="428" t="s">
        <v>1586</v>
      </c>
      <c r="C29" s="447"/>
      <c r="D29" s="428" t="s">
        <v>373</v>
      </c>
      <c r="E29" s="448" t="s">
        <v>1587</v>
      </c>
      <c r="F29" s="415" t="s">
        <v>254</v>
      </c>
      <c r="G29" s="415" t="s">
        <v>581</v>
      </c>
      <c r="H29" s="416" t="s">
        <v>263</v>
      </c>
      <c r="I29" s="417" t="s">
        <v>375</v>
      </c>
      <c r="J29" s="417" t="s">
        <v>255</v>
      </c>
      <c r="K29" s="418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</row>
    <row r="30" spans="1:25" ht="15">
      <c r="A30" s="410">
        <v>29</v>
      </c>
      <c r="B30" s="428" t="s">
        <v>1588</v>
      </c>
      <c r="C30" s="448" t="s">
        <v>1589</v>
      </c>
      <c r="D30" s="428" t="s">
        <v>373</v>
      </c>
      <c r="E30" s="448" t="s">
        <v>1387</v>
      </c>
      <c r="F30" s="415" t="s">
        <v>307</v>
      </c>
      <c r="G30" s="415" t="s">
        <v>434</v>
      </c>
      <c r="H30" s="416" t="s">
        <v>263</v>
      </c>
      <c r="I30" s="417" t="s">
        <v>375</v>
      </c>
      <c r="J30" s="417" t="s">
        <v>255</v>
      </c>
      <c r="K30" s="421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</row>
    <row r="31" spans="1:25" ht="15">
      <c r="A31" s="410">
        <v>30</v>
      </c>
      <c r="B31" s="428" t="s">
        <v>1590</v>
      </c>
      <c r="C31" s="448" t="s">
        <v>1376</v>
      </c>
      <c r="D31" s="428" t="s">
        <v>373</v>
      </c>
      <c r="E31" s="448" t="s">
        <v>1377</v>
      </c>
      <c r="F31" s="415" t="s">
        <v>307</v>
      </c>
      <c r="G31" s="415" t="s">
        <v>434</v>
      </c>
      <c r="H31" s="416" t="s">
        <v>263</v>
      </c>
      <c r="I31" s="417" t="s">
        <v>375</v>
      </c>
      <c r="J31" s="417" t="s">
        <v>255</v>
      </c>
      <c r="K31" s="418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</row>
    <row r="32" spans="1:25" ht="15">
      <c r="A32" s="410">
        <v>31</v>
      </c>
      <c r="B32" s="428" t="s">
        <v>146</v>
      </c>
      <c r="C32" s="449" t="s">
        <v>111</v>
      </c>
      <c r="D32" s="428" t="s">
        <v>373</v>
      </c>
      <c r="E32" s="429" t="s">
        <v>112</v>
      </c>
      <c r="F32" s="415" t="s">
        <v>307</v>
      </c>
      <c r="G32" s="415" t="s">
        <v>434</v>
      </c>
      <c r="H32" s="416" t="s">
        <v>263</v>
      </c>
      <c r="I32" s="417" t="s">
        <v>375</v>
      </c>
      <c r="J32" s="417" t="s">
        <v>255</v>
      </c>
      <c r="K32" s="418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</row>
    <row r="33" spans="1:25" ht="15">
      <c r="A33" s="410">
        <v>32</v>
      </c>
      <c r="B33" s="448" t="s">
        <v>1591</v>
      </c>
      <c r="C33" s="447"/>
      <c r="D33" s="428" t="s">
        <v>347</v>
      </c>
      <c r="E33" s="73"/>
      <c r="F33" s="415" t="s">
        <v>307</v>
      </c>
      <c r="G33" s="415" t="s">
        <v>434</v>
      </c>
      <c r="H33" s="416" t="s">
        <v>263</v>
      </c>
      <c r="I33" s="417" t="s">
        <v>375</v>
      </c>
      <c r="J33" s="417" t="s">
        <v>255</v>
      </c>
      <c r="K33" s="418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</row>
    <row r="34" spans="1:25" ht="15">
      <c r="A34" s="410">
        <v>33</v>
      </c>
      <c r="B34" s="448" t="s">
        <v>1345</v>
      </c>
      <c r="C34" s="443"/>
      <c r="D34" s="428" t="s">
        <v>347</v>
      </c>
      <c r="E34" s="448" t="s">
        <v>1347</v>
      </c>
      <c r="F34" s="415" t="s">
        <v>307</v>
      </c>
      <c r="G34" s="415" t="s">
        <v>434</v>
      </c>
      <c r="H34" s="416" t="s">
        <v>263</v>
      </c>
      <c r="I34" s="417" t="s">
        <v>375</v>
      </c>
      <c r="J34" s="417" t="s">
        <v>255</v>
      </c>
      <c r="K34" s="421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</row>
    <row r="35" spans="1:25" ht="15">
      <c r="A35" s="410">
        <v>34</v>
      </c>
      <c r="B35" s="438" t="s">
        <v>1348</v>
      </c>
      <c r="C35" s="443"/>
      <c r="D35" s="428" t="s">
        <v>347</v>
      </c>
      <c r="E35" s="448" t="s">
        <v>1349</v>
      </c>
      <c r="F35" s="415" t="s">
        <v>307</v>
      </c>
      <c r="G35" s="415" t="s">
        <v>434</v>
      </c>
      <c r="H35" s="416" t="s">
        <v>263</v>
      </c>
      <c r="I35" s="417" t="s">
        <v>375</v>
      </c>
      <c r="J35" s="417" t="s">
        <v>255</v>
      </c>
      <c r="K35" s="421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</row>
    <row r="36" spans="1:25" ht="12.75">
      <c r="A36" s="410">
        <v>35</v>
      </c>
      <c r="B36" s="428" t="s">
        <v>1592</v>
      </c>
      <c r="C36" s="443"/>
      <c r="D36" s="428" t="s">
        <v>347</v>
      </c>
      <c r="E36" s="429"/>
      <c r="F36" s="415" t="s">
        <v>307</v>
      </c>
      <c r="G36" s="415" t="s">
        <v>434</v>
      </c>
      <c r="H36" s="416" t="s">
        <v>263</v>
      </c>
      <c r="I36" s="417" t="s">
        <v>375</v>
      </c>
      <c r="J36" s="417" t="s">
        <v>255</v>
      </c>
      <c r="K36" s="418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</row>
    <row r="37" spans="1:25" ht="12.75">
      <c r="A37" s="410">
        <v>36</v>
      </c>
      <c r="B37" s="428" t="s">
        <v>166</v>
      </c>
      <c r="C37" s="443"/>
      <c r="D37" s="428" t="s">
        <v>347</v>
      </c>
      <c r="E37" s="454" t="s">
        <v>139</v>
      </c>
      <c r="F37" s="415" t="s">
        <v>307</v>
      </c>
      <c r="G37" s="415" t="s">
        <v>434</v>
      </c>
      <c r="H37" s="416" t="s">
        <v>263</v>
      </c>
      <c r="I37" s="417" t="s">
        <v>375</v>
      </c>
      <c r="J37" s="417" t="s">
        <v>255</v>
      </c>
      <c r="K37" s="418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</row>
    <row r="38" spans="1:25" ht="15">
      <c r="A38" s="410">
        <v>40</v>
      </c>
      <c r="B38" s="448" t="s">
        <v>1593</v>
      </c>
      <c r="C38" s="443"/>
      <c r="D38" s="428" t="s">
        <v>1594</v>
      </c>
      <c r="E38" s="448" t="s">
        <v>1595</v>
      </c>
      <c r="F38" s="415" t="s">
        <v>307</v>
      </c>
      <c r="G38" s="415" t="s">
        <v>434</v>
      </c>
      <c r="H38" s="416" t="s">
        <v>263</v>
      </c>
      <c r="I38" s="417" t="s">
        <v>375</v>
      </c>
      <c r="J38" s="417" t="s">
        <v>255</v>
      </c>
      <c r="K38" s="421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</row>
    <row r="39" spans="1:25" ht="15">
      <c r="A39" s="410">
        <v>41</v>
      </c>
      <c r="B39" s="438" t="s">
        <v>1596</v>
      </c>
      <c r="C39" s="443"/>
      <c r="D39" s="428" t="s">
        <v>1594</v>
      </c>
      <c r="E39" s="448" t="s">
        <v>1337</v>
      </c>
      <c r="F39" s="415" t="s">
        <v>307</v>
      </c>
      <c r="G39" s="415" t="s">
        <v>434</v>
      </c>
      <c r="H39" s="416" t="s">
        <v>263</v>
      </c>
      <c r="I39" s="417" t="s">
        <v>375</v>
      </c>
      <c r="J39" s="417" t="s">
        <v>255</v>
      </c>
      <c r="K39" s="421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</row>
    <row r="40" spans="1:25" ht="12.75">
      <c r="A40" s="410">
        <v>42</v>
      </c>
      <c r="B40" s="428" t="s">
        <v>168</v>
      </c>
      <c r="C40" s="443"/>
      <c r="D40" s="428" t="s">
        <v>1594</v>
      </c>
      <c r="E40" s="429"/>
      <c r="F40" s="415" t="s">
        <v>307</v>
      </c>
      <c r="G40" s="415" t="s">
        <v>434</v>
      </c>
      <c r="H40" s="416" t="s">
        <v>263</v>
      </c>
      <c r="I40" s="417" t="s">
        <v>375</v>
      </c>
      <c r="J40" s="417" t="s">
        <v>255</v>
      </c>
      <c r="K40" s="421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</row>
    <row r="41" spans="1:25" ht="12.75">
      <c r="A41" s="410">
        <v>43</v>
      </c>
      <c r="B41" s="433" t="s">
        <v>1597</v>
      </c>
      <c r="C41" s="419" t="s">
        <v>573</v>
      </c>
      <c r="D41" s="428" t="s">
        <v>1316</v>
      </c>
      <c r="E41" s="429" t="s">
        <v>1315</v>
      </c>
      <c r="F41" s="415" t="s">
        <v>307</v>
      </c>
      <c r="G41" s="415" t="s">
        <v>434</v>
      </c>
      <c r="H41" s="416" t="s">
        <v>263</v>
      </c>
      <c r="I41" s="417" t="s">
        <v>1598</v>
      </c>
      <c r="J41" s="417" t="s">
        <v>255</v>
      </c>
      <c r="K41" s="421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</row>
    <row r="42" spans="1:25" ht="15">
      <c r="A42" s="410">
        <v>44</v>
      </c>
      <c r="B42" s="433" t="s">
        <v>569</v>
      </c>
      <c r="C42" s="444"/>
      <c r="D42" s="428" t="s">
        <v>1316</v>
      </c>
      <c r="E42" s="448" t="s">
        <v>179</v>
      </c>
      <c r="F42" s="415" t="s">
        <v>307</v>
      </c>
      <c r="G42" s="415" t="s">
        <v>434</v>
      </c>
      <c r="H42" s="416" t="s">
        <v>263</v>
      </c>
      <c r="I42" s="417" t="s">
        <v>1598</v>
      </c>
      <c r="J42" s="417" t="s">
        <v>255</v>
      </c>
      <c r="K42" s="421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</row>
    <row r="43" spans="1:25" ht="15">
      <c r="A43" s="410">
        <v>45</v>
      </c>
      <c r="B43" s="433" t="s">
        <v>1597</v>
      </c>
      <c r="C43" s="419" t="s">
        <v>1339</v>
      </c>
      <c r="D43" s="428" t="s">
        <v>1599</v>
      </c>
      <c r="E43" s="448" t="s">
        <v>1340</v>
      </c>
      <c r="F43" s="415" t="s">
        <v>307</v>
      </c>
      <c r="G43" s="415" t="s">
        <v>434</v>
      </c>
      <c r="H43" s="416" t="s">
        <v>263</v>
      </c>
      <c r="I43" s="417" t="s">
        <v>375</v>
      </c>
      <c r="J43" s="417" t="s">
        <v>255</v>
      </c>
      <c r="K43" s="421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</row>
    <row r="44" spans="1:25" ht="15">
      <c r="A44" s="410">
        <v>46</v>
      </c>
      <c r="B44" s="433" t="s">
        <v>1600</v>
      </c>
      <c r="C44" s="444"/>
      <c r="D44" s="433" t="s">
        <v>1599</v>
      </c>
      <c r="E44" s="448" t="s">
        <v>1342</v>
      </c>
      <c r="F44" s="415" t="s">
        <v>307</v>
      </c>
      <c r="G44" s="415" t="s">
        <v>434</v>
      </c>
      <c r="H44" s="416" t="s">
        <v>263</v>
      </c>
      <c r="I44" s="417" t="s">
        <v>375</v>
      </c>
      <c r="J44" s="417" t="s">
        <v>255</v>
      </c>
      <c r="K44" s="421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</row>
    <row r="45" spans="1:25" ht="12.75">
      <c r="A45" s="410">
        <v>47</v>
      </c>
      <c r="B45" s="433" t="s">
        <v>186</v>
      </c>
      <c r="C45" s="444"/>
      <c r="D45" s="433" t="s">
        <v>1599</v>
      </c>
      <c r="E45" s="429"/>
      <c r="F45" s="415" t="s">
        <v>307</v>
      </c>
      <c r="G45" s="415" t="s">
        <v>434</v>
      </c>
      <c r="H45" s="455"/>
      <c r="I45" s="417" t="s">
        <v>375</v>
      </c>
      <c r="J45" s="417" t="s">
        <v>255</v>
      </c>
      <c r="K45" s="421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</row>
    <row r="46" spans="1:25" ht="12.75">
      <c r="A46" s="410">
        <v>48</v>
      </c>
      <c r="B46" s="433" t="s">
        <v>1601</v>
      </c>
      <c r="C46" s="444"/>
      <c r="D46" s="433" t="s">
        <v>258</v>
      </c>
      <c r="E46" s="450" t="s">
        <v>575</v>
      </c>
      <c r="F46" s="415" t="s">
        <v>307</v>
      </c>
      <c r="G46" s="415" t="s">
        <v>434</v>
      </c>
      <c r="H46" s="416" t="s">
        <v>263</v>
      </c>
      <c r="I46" s="417" t="s">
        <v>259</v>
      </c>
      <c r="J46" s="417" t="s">
        <v>255</v>
      </c>
      <c r="K46" s="421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</row>
    <row r="47" spans="1:25" ht="12.75">
      <c r="A47" s="410">
        <v>49</v>
      </c>
      <c r="B47" s="433" t="s">
        <v>1602</v>
      </c>
      <c r="C47" s="444"/>
      <c r="D47" s="433" t="s">
        <v>258</v>
      </c>
      <c r="E47" s="439"/>
      <c r="F47" s="415" t="s">
        <v>307</v>
      </c>
      <c r="G47" s="415" t="s">
        <v>434</v>
      </c>
      <c r="H47" s="416" t="s">
        <v>263</v>
      </c>
      <c r="I47" s="417" t="s">
        <v>259</v>
      </c>
      <c r="J47" s="417" t="s">
        <v>255</v>
      </c>
      <c r="K47" s="417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</row>
    <row r="48" spans="1:25" ht="12.75">
      <c r="A48" s="410">
        <v>50</v>
      </c>
      <c r="B48" s="433" t="s">
        <v>1586</v>
      </c>
      <c r="C48" s="444"/>
      <c r="D48" s="433" t="s">
        <v>258</v>
      </c>
      <c r="E48" s="450"/>
      <c r="F48" s="415" t="s">
        <v>307</v>
      </c>
      <c r="G48" s="415"/>
      <c r="H48" s="456"/>
      <c r="I48" s="417" t="s">
        <v>259</v>
      </c>
      <c r="J48" s="417" t="s">
        <v>255</v>
      </c>
      <c r="K48" s="421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</row>
    <row r="49" spans="1:25" ht="12.75">
      <c r="A49" s="410">
        <v>51</v>
      </c>
      <c r="B49" s="433" t="s">
        <v>1601</v>
      </c>
      <c r="C49" s="444" t="s">
        <v>291</v>
      </c>
      <c r="D49" s="433" t="s">
        <v>1603</v>
      </c>
      <c r="E49" s="450" t="s">
        <v>292</v>
      </c>
      <c r="F49" s="415" t="s">
        <v>307</v>
      </c>
      <c r="G49" s="415" t="s">
        <v>434</v>
      </c>
      <c r="H49" s="416" t="s">
        <v>263</v>
      </c>
      <c r="I49" s="417" t="s">
        <v>266</v>
      </c>
      <c r="J49" s="173" t="s">
        <v>255</v>
      </c>
      <c r="K49" s="421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</row>
    <row r="50" spans="1:25" ht="15">
      <c r="A50" s="410">
        <v>52</v>
      </c>
      <c r="B50" s="433" t="s">
        <v>1568</v>
      </c>
      <c r="C50" s="447"/>
      <c r="D50" s="438" t="s">
        <v>1603</v>
      </c>
      <c r="E50" s="448" t="s">
        <v>210</v>
      </c>
      <c r="F50" s="415" t="s">
        <v>307</v>
      </c>
      <c r="G50" s="415" t="s">
        <v>434</v>
      </c>
      <c r="H50" s="416" t="s">
        <v>263</v>
      </c>
      <c r="I50" s="417" t="s">
        <v>266</v>
      </c>
      <c r="J50" s="417" t="s">
        <v>255</v>
      </c>
      <c r="K50" s="421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</row>
    <row r="51" spans="1:25" ht="15">
      <c r="A51" s="410">
        <v>53</v>
      </c>
      <c r="B51" s="441" t="s">
        <v>162</v>
      </c>
      <c r="C51" s="73"/>
      <c r="D51" s="457" t="s">
        <v>1603</v>
      </c>
      <c r="E51" s="448" t="s">
        <v>199</v>
      </c>
      <c r="F51" s="415" t="s">
        <v>307</v>
      </c>
      <c r="G51" s="415" t="s">
        <v>434</v>
      </c>
      <c r="H51" s="416" t="s">
        <v>263</v>
      </c>
      <c r="I51" s="417" t="s">
        <v>266</v>
      </c>
      <c r="J51" s="417" t="s">
        <v>255</v>
      </c>
      <c r="K51" s="421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</row>
    <row r="52" spans="1:25" ht="12.75">
      <c r="A52" s="410">
        <v>54</v>
      </c>
      <c r="B52" s="433" t="s">
        <v>261</v>
      </c>
      <c r="C52" s="444"/>
      <c r="D52" s="433" t="s">
        <v>26</v>
      </c>
      <c r="E52" s="69" t="s">
        <v>262</v>
      </c>
      <c r="F52" s="415" t="s">
        <v>307</v>
      </c>
      <c r="G52" s="415" t="s">
        <v>434</v>
      </c>
      <c r="H52" s="416" t="s">
        <v>263</v>
      </c>
      <c r="I52" s="417" t="s">
        <v>266</v>
      </c>
      <c r="J52" s="417" t="s">
        <v>255</v>
      </c>
      <c r="K52" s="417" t="s">
        <v>118</v>
      </c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</row>
    <row r="53" spans="1:25" ht="12.75">
      <c r="A53" s="410">
        <v>55</v>
      </c>
      <c r="B53" s="433" t="s">
        <v>250</v>
      </c>
      <c r="C53" s="444"/>
      <c r="D53" s="433" t="s">
        <v>26</v>
      </c>
      <c r="E53" s="69" t="s">
        <v>251</v>
      </c>
      <c r="F53" s="415" t="s">
        <v>307</v>
      </c>
      <c r="G53" s="415" t="s">
        <v>434</v>
      </c>
      <c r="H53" s="416" t="s">
        <v>263</v>
      </c>
      <c r="I53" s="417" t="s">
        <v>266</v>
      </c>
      <c r="J53" s="417" t="s">
        <v>255</v>
      </c>
      <c r="K53" s="417" t="s">
        <v>118</v>
      </c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</row>
    <row r="54" spans="1:25" ht="12.75">
      <c r="A54" s="410">
        <v>56</v>
      </c>
      <c r="B54" s="433" t="s">
        <v>201</v>
      </c>
      <c r="C54" s="444"/>
      <c r="D54" s="433" t="s">
        <v>26</v>
      </c>
      <c r="E54" s="69" t="s">
        <v>203</v>
      </c>
      <c r="F54" s="415" t="s">
        <v>307</v>
      </c>
      <c r="G54" s="415" t="s">
        <v>434</v>
      </c>
      <c r="H54" s="416" t="s">
        <v>263</v>
      </c>
      <c r="I54" s="417" t="s">
        <v>266</v>
      </c>
      <c r="J54" s="417" t="s">
        <v>255</v>
      </c>
      <c r="K54" s="417" t="s">
        <v>118</v>
      </c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</row>
    <row r="55" spans="1:25" ht="12.75">
      <c r="A55" s="410">
        <v>57</v>
      </c>
      <c r="B55" s="433" t="s">
        <v>267</v>
      </c>
      <c r="C55" s="444"/>
      <c r="D55" s="433" t="s">
        <v>26</v>
      </c>
      <c r="E55" s="69" t="s">
        <v>268</v>
      </c>
      <c r="F55" s="415" t="s">
        <v>307</v>
      </c>
      <c r="G55" s="415" t="s">
        <v>434</v>
      </c>
      <c r="H55" s="416" t="s">
        <v>263</v>
      </c>
      <c r="I55" s="417" t="s">
        <v>266</v>
      </c>
      <c r="J55" s="417" t="s">
        <v>255</v>
      </c>
      <c r="K55" s="417" t="s">
        <v>588</v>
      </c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</row>
    <row r="56" spans="1:25" ht="12.75">
      <c r="A56" s="410">
        <v>58</v>
      </c>
      <c r="B56" s="433" t="s">
        <v>1604</v>
      </c>
      <c r="C56" s="444"/>
      <c r="D56" s="433" t="s">
        <v>26</v>
      </c>
      <c r="E56" s="69" t="s">
        <v>24</v>
      </c>
      <c r="F56" s="415" t="s">
        <v>307</v>
      </c>
      <c r="G56" s="415" t="s">
        <v>434</v>
      </c>
      <c r="H56" s="416" t="s">
        <v>263</v>
      </c>
      <c r="I56" s="417" t="s">
        <v>266</v>
      </c>
      <c r="J56" s="417" t="s">
        <v>255</v>
      </c>
      <c r="K56" s="417" t="s">
        <v>588</v>
      </c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</row>
    <row r="57" spans="1:25" ht="12.75">
      <c r="A57" s="410">
        <v>59</v>
      </c>
      <c r="B57" s="433" t="s">
        <v>206</v>
      </c>
      <c r="C57" s="444"/>
      <c r="D57" s="433" t="s">
        <v>26</v>
      </c>
      <c r="E57" s="69" t="s">
        <v>209</v>
      </c>
      <c r="F57" s="415" t="s">
        <v>307</v>
      </c>
      <c r="G57" s="415" t="s">
        <v>434</v>
      </c>
      <c r="H57" s="416" t="s">
        <v>263</v>
      </c>
      <c r="I57" s="417" t="s">
        <v>266</v>
      </c>
      <c r="J57" s="417" t="s">
        <v>255</v>
      </c>
      <c r="K57" s="417" t="s">
        <v>588</v>
      </c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</row>
    <row r="58" spans="1:25" ht="12.75">
      <c r="A58" s="410">
        <v>60</v>
      </c>
      <c r="B58" s="433" t="s">
        <v>162</v>
      </c>
      <c r="C58" s="444"/>
      <c r="D58" s="433" t="s">
        <v>26</v>
      </c>
      <c r="E58" s="69" t="s">
        <v>215</v>
      </c>
      <c r="F58" s="415" t="s">
        <v>307</v>
      </c>
      <c r="G58" s="415" t="s">
        <v>434</v>
      </c>
      <c r="H58" s="455"/>
      <c r="I58" s="417" t="s">
        <v>266</v>
      </c>
      <c r="J58" s="417" t="s">
        <v>255</v>
      </c>
      <c r="K58" s="417" t="s">
        <v>588</v>
      </c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</row>
    <row r="59" spans="1:25" ht="12.75">
      <c r="A59" s="458">
        <v>61</v>
      </c>
      <c r="B59" s="459" t="s">
        <v>1605</v>
      </c>
      <c r="C59" s="460"/>
      <c r="D59" s="335" t="s">
        <v>26</v>
      </c>
      <c r="E59" s="337" t="s">
        <v>1275</v>
      </c>
      <c r="F59" s="461" t="s">
        <v>254</v>
      </c>
      <c r="G59" s="461" t="s">
        <v>581</v>
      </c>
      <c r="H59" s="336" t="s">
        <v>263</v>
      </c>
      <c r="I59" s="462" t="s">
        <v>266</v>
      </c>
      <c r="J59" s="462" t="s">
        <v>255</v>
      </c>
      <c r="K59" s="462" t="s">
        <v>588</v>
      </c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</row>
    <row r="60" spans="1:25" ht="15">
      <c r="A60" s="410">
        <v>62</v>
      </c>
      <c r="B60" s="433" t="s">
        <v>1601</v>
      </c>
      <c r="C60" s="463" t="s">
        <v>1606</v>
      </c>
      <c r="D60" s="433" t="s">
        <v>258</v>
      </c>
      <c r="E60" s="450"/>
      <c r="F60" s="415" t="s">
        <v>307</v>
      </c>
      <c r="G60" s="415" t="s">
        <v>434</v>
      </c>
      <c r="H60" s="416" t="s">
        <v>263</v>
      </c>
      <c r="I60" s="417" t="s">
        <v>266</v>
      </c>
      <c r="J60" s="417" t="s">
        <v>255</v>
      </c>
      <c r="K60" s="421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</row>
    <row r="61" spans="1:25" ht="15">
      <c r="A61" s="410">
        <v>63</v>
      </c>
      <c r="B61" s="433" t="s">
        <v>1607</v>
      </c>
      <c r="C61" s="447"/>
      <c r="D61" s="433" t="s">
        <v>258</v>
      </c>
      <c r="E61" s="449" t="s">
        <v>1363</v>
      </c>
      <c r="F61" s="415" t="s">
        <v>307</v>
      </c>
      <c r="G61" s="415" t="s">
        <v>434</v>
      </c>
      <c r="H61" s="135"/>
      <c r="I61" s="417" t="s">
        <v>266</v>
      </c>
      <c r="J61" s="417" t="s">
        <v>255</v>
      </c>
      <c r="K61" s="418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</row>
    <row r="62" spans="1:25" ht="12.75">
      <c r="A62" s="410">
        <v>64</v>
      </c>
      <c r="B62" s="433" t="s">
        <v>1602</v>
      </c>
      <c r="C62" s="444"/>
      <c r="D62" s="433" t="s">
        <v>258</v>
      </c>
      <c r="E62" s="420"/>
      <c r="F62" s="415" t="s">
        <v>307</v>
      </c>
      <c r="G62" s="415" t="s">
        <v>434</v>
      </c>
      <c r="H62" s="416" t="s">
        <v>263</v>
      </c>
      <c r="I62" s="417" t="s">
        <v>266</v>
      </c>
      <c r="J62" s="417" t="s">
        <v>255</v>
      </c>
      <c r="K62" s="418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</row>
    <row r="63" spans="1:25" ht="15">
      <c r="A63" s="410">
        <v>65</v>
      </c>
      <c r="B63" s="448" t="s">
        <v>1608</v>
      </c>
      <c r="C63" s="444"/>
      <c r="D63" s="433" t="s">
        <v>403</v>
      </c>
      <c r="E63" s="449" t="s">
        <v>1609</v>
      </c>
      <c r="F63" s="415" t="s">
        <v>307</v>
      </c>
      <c r="G63" s="415" t="s">
        <v>434</v>
      </c>
      <c r="H63" s="416" t="s">
        <v>263</v>
      </c>
      <c r="I63" s="417" t="s">
        <v>404</v>
      </c>
      <c r="J63" s="417" t="s">
        <v>255</v>
      </c>
      <c r="K63" s="418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</row>
    <row r="64" spans="1:25" ht="15">
      <c r="A64" s="410">
        <v>66</v>
      </c>
      <c r="B64" s="448" t="s">
        <v>142</v>
      </c>
      <c r="C64" s="444"/>
      <c r="D64" s="433" t="s">
        <v>403</v>
      </c>
      <c r="E64" s="448" t="s">
        <v>220</v>
      </c>
      <c r="F64" s="415" t="s">
        <v>307</v>
      </c>
      <c r="G64" s="415" t="s">
        <v>434</v>
      </c>
      <c r="H64" s="416" t="s">
        <v>263</v>
      </c>
      <c r="I64" s="417" t="s">
        <v>404</v>
      </c>
      <c r="J64" s="421"/>
      <c r="K64" s="421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</row>
    <row r="65" spans="1:25" ht="15">
      <c r="A65" s="410">
        <v>67</v>
      </c>
      <c r="B65" s="448" t="s">
        <v>401</v>
      </c>
      <c r="C65" s="444"/>
      <c r="D65" s="433" t="s">
        <v>403</v>
      </c>
      <c r="E65" s="448" t="s">
        <v>402</v>
      </c>
      <c r="F65" s="415" t="s">
        <v>307</v>
      </c>
      <c r="G65" s="415" t="s">
        <v>434</v>
      </c>
      <c r="H65" s="416" t="s">
        <v>263</v>
      </c>
      <c r="I65" s="417" t="s">
        <v>404</v>
      </c>
      <c r="J65" s="418"/>
      <c r="K65" s="418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</row>
    <row r="66" spans="1:25" ht="15">
      <c r="A66" s="178">
        <v>68</v>
      </c>
      <c r="B66" s="86"/>
      <c r="C66" s="202"/>
      <c r="D66" s="201"/>
      <c r="E66" s="49"/>
      <c r="F66" s="170"/>
      <c r="G66" s="170"/>
      <c r="H66" s="170"/>
      <c r="I66" s="172"/>
      <c r="J66" s="171"/>
      <c r="K66" s="171"/>
    </row>
    <row r="67" spans="1:25" ht="12.75">
      <c r="A67" s="178">
        <v>69</v>
      </c>
      <c r="B67" s="201"/>
      <c r="C67" s="202"/>
      <c r="D67" s="201"/>
      <c r="E67" s="387"/>
      <c r="F67" s="170"/>
      <c r="G67" s="170"/>
      <c r="H67" s="197"/>
      <c r="I67" s="174"/>
      <c r="J67" s="171"/>
      <c r="K67" s="171"/>
    </row>
    <row r="68" spans="1:25" ht="12.75">
      <c r="A68" s="178">
        <v>70</v>
      </c>
      <c r="B68" s="201"/>
      <c r="C68" s="202"/>
      <c r="D68" s="201"/>
      <c r="E68" s="387"/>
      <c r="F68" s="170"/>
      <c r="G68" s="170"/>
      <c r="H68" s="197"/>
      <c r="I68" s="174"/>
      <c r="J68" s="171"/>
      <c r="K68" s="171"/>
    </row>
    <row r="69" spans="1:25" ht="12.75">
      <c r="A69" s="178">
        <v>71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25" ht="12.75">
      <c r="A70" s="178">
        <v>72</v>
      </c>
      <c r="B70" s="201"/>
      <c r="C70" s="202"/>
      <c r="D70" s="201"/>
      <c r="E70" s="387"/>
      <c r="F70" s="170"/>
      <c r="G70" s="170"/>
      <c r="H70" s="170"/>
      <c r="I70" s="172"/>
      <c r="J70" s="171"/>
      <c r="K70" s="171"/>
    </row>
    <row r="71" spans="1:25" ht="12.75">
      <c r="A71" s="178">
        <v>73</v>
      </c>
      <c r="B71" s="201"/>
      <c r="C71" s="202"/>
      <c r="D71" s="201"/>
      <c r="E71" s="387"/>
      <c r="F71" s="170"/>
      <c r="G71" s="170"/>
      <c r="H71" s="170"/>
      <c r="I71" s="172"/>
      <c r="J71" s="171"/>
      <c r="K71" s="171"/>
    </row>
    <row r="72" spans="1:25" ht="12.75">
      <c r="A72" s="178">
        <v>74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25" ht="12.75">
      <c r="A73" s="178">
        <v>75</v>
      </c>
      <c r="B73" s="194"/>
      <c r="C73" s="198"/>
      <c r="D73" s="201"/>
      <c r="E73" s="387"/>
      <c r="F73" s="170"/>
      <c r="G73" s="170"/>
      <c r="H73" s="170"/>
      <c r="I73" s="173"/>
      <c r="J73" s="174"/>
      <c r="K73" s="174"/>
    </row>
    <row r="74" spans="1:25" ht="12.75">
      <c r="A74" s="178">
        <v>76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25" ht="12.75">
      <c r="A75" s="178">
        <v>77</v>
      </c>
      <c r="B75" s="201"/>
      <c r="C75" s="202"/>
      <c r="D75" s="201"/>
      <c r="E75" s="387"/>
      <c r="F75" s="170"/>
      <c r="G75" s="170"/>
      <c r="H75" s="197"/>
      <c r="I75" s="174"/>
      <c r="J75" s="171"/>
      <c r="K75" s="171"/>
    </row>
    <row r="76" spans="1:25" ht="12.75">
      <c r="A76" s="178">
        <v>78</v>
      </c>
      <c r="B76" s="201"/>
      <c r="C76" s="202"/>
      <c r="D76" s="201"/>
      <c r="E76" s="387"/>
      <c r="F76" s="170"/>
      <c r="G76" s="170"/>
      <c r="H76" s="170"/>
      <c r="I76" s="173"/>
      <c r="J76" s="174"/>
      <c r="K76" s="174"/>
    </row>
    <row r="77" spans="1:25" ht="12.75">
      <c r="A77" s="178">
        <v>79</v>
      </c>
      <c r="B77" s="201"/>
      <c r="C77" s="202"/>
      <c r="D77" s="201"/>
      <c r="E77" s="387"/>
      <c r="F77" s="170"/>
      <c r="G77" s="170"/>
      <c r="H77" s="197"/>
      <c r="I77" s="174"/>
      <c r="J77" s="171"/>
      <c r="K77" s="171"/>
    </row>
    <row r="78" spans="1:25" ht="12.75">
      <c r="A78" s="178">
        <v>80</v>
      </c>
      <c r="B78" s="201"/>
      <c r="C78" s="202"/>
      <c r="D78" s="201"/>
      <c r="E78" s="387"/>
      <c r="F78" s="170"/>
      <c r="G78" s="170"/>
      <c r="H78" s="170"/>
      <c r="I78" s="173"/>
      <c r="J78" s="174"/>
      <c r="K78" s="174"/>
    </row>
    <row r="79" spans="1:25" ht="12.75">
      <c r="A79" s="178">
        <v>81</v>
      </c>
      <c r="B79" s="201"/>
      <c r="C79" s="202"/>
      <c r="D79" s="201"/>
      <c r="E79" s="387"/>
      <c r="F79" s="170"/>
      <c r="G79" s="170"/>
      <c r="H79" s="197"/>
      <c r="I79" s="174"/>
      <c r="J79" s="173"/>
      <c r="K79" s="171"/>
    </row>
    <row r="80" spans="1:25" ht="12.75">
      <c r="A80" s="178">
        <v>82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83</v>
      </c>
      <c r="B81" s="201"/>
      <c r="C81" s="202"/>
      <c r="D81" s="201"/>
      <c r="E81" s="387"/>
      <c r="F81" s="170"/>
      <c r="G81" s="170"/>
      <c r="H81" s="197"/>
      <c r="J81" s="174"/>
      <c r="K81" s="174"/>
    </row>
    <row r="82" spans="1:11" ht="12.75">
      <c r="A82" s="178">
        <v>84</v>
      </c>
      <c r="B82" s="201"/>
      <c r="C82" s="202"/>
      <c r="D82" s="201"/>
      <c r="E82" s="387"/>
      <c r="F82" s="170"/>
      <c r="G82" s="170"/>
      <c r="H82" s="170"/>
      <c r="I82" s="172"/>
      <c r="J82" s="171"/>
      <c r="K82" s="171"/>
    </row>
    <row r="83" spans="1:11" ht="12.75">
      <c r="A83" s="178">
        <v>85</v>
      </c>
      <c r="B83" s="201"/>
      <c r="C83" s="202"/>
      <c r="D83" s="201"/>
      <c r="E83" s="387"/>
      <c r="F83" s="170"/>
      <c r="G83" s="170"/>
      <c r="H83" s="170"/>
      <c r="I83" s="172"/>
      <c r="J83" s="171"/>
      <c r="K83" s="171"/>
    </row>
    <row r="84" spans="1:11" ht="12.75">
      <c r="A84" s="178">
        <v>86</v>
      </c>
      <c r="B84" s="169"/>
      <c r="C84" s="170"/>
      <c r="D84" s="169"/>
      <c r="E84" s="169"/>
      <c r="F84" s="170"/>
      <c r="G84" s="170"/>
      <c r="H84" s="197"/>
      <c r="I84" s="174"/>
      <c r="J84" s="173"/>
      <c r="K84" s="173"/>
    </row>
    <row r="85" spans="1:11" ht="12.75">
      <c r="A85" s="178">
        <v>87</v>
      </c>
      <c r="B85" s="169"/>
      <c r="C85" s="170"/>
      <c r="D85" s="169"/>
      <c r="E85" s="169"/>
      <c r="F85" s="170"/>
      <c r="G85" s="170"/>
      <c r="H85" s="197"/>
      <c r="I85" s="174"/>
      <c r="J85" s="173"/>
      <c r="K85" s="173"/>
    </row>
    <row r="86" spans="1:11" ht="12.75">
      <c r="A86" s="168"/>
      <c r="B86" s="169"/>
      <c r="C86" s="170"/>
      <c r="D86" s="169"/>
      <c r="E86" s="169"/>
      <c r="F86" s="170"/>
      <c r="G86" s="170"/>
      <c r="H86" s="170"/>
      <c r="I86" s="171"/>
      <c r="J86" s="171"/>
      <c r="K86" s="171"/>
    </row>
    <row r="87" spans="1:11" ht="12.75">
      <c r="A87" s="168"/>
      <c r="B87" s="169"/>
      <c r="C87" s="170"/>
      <c r="D87" s="169"/>
      <c r="E87" s="169"/>
      <c r="F87" s="170"/>
      <c r="G87" s="170"/>
      <c r="H87" s="170"/>
      <c r="I87" s="171"/>
      <c r="J87" s="171"/>
      <c r="K87" s="171"/>
    </row>
    <row r="88" spans="1:11" ht="12.75">
      <c r="A88" s="168"/>
      <c r="B88" s="169"/>
      <c r="C88" s="170"/>
      <c r="D88" s="169"/>
      <c r="E88" s="169"/>
      <c r="F88" s="170"/>
      <c r="G88" s="170"/>
      <c r="H88" s="170"/>
      <c r="I88" s="172"/>
      <c r="J88" s="171"/>
      <c r="K88" s="171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2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2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3"/>
      <c r="J98" s="174"/>
      <c r="K98" s="174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4"/>
      <c r="K99" s="174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1"/>
      <c r="K102" s="171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3"/>
      <c r="J103" s="174"/>
      <c r="K103" s="174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2"/>
      <c r="J104" s="171"/>
      <c r="K104" s="171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2"/>
      <c r="J106" s="171"/>
      <c r="K106" s="171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1"/>
      <c r="J115" s="171"/>
      <c r="K115" s="171"/>
    </row>
    <row r="116" spans="1:11" ht="12.75">
      <c r="A116" s="168" t="e">
        <f t="shared" ref="A116:A983" si="0">IF(#REF!="","",A115+1)</f>
        <v>#REF!</v>
      </c>
      <c r="B116" s="175"/>
      <c r="C116" s="176"/>
      <c r="D116" s="175"/>
      <c r="E116" s="169"/>
      <c r="F116" s="170"/>
      <c r="G116" s="170"/>
      <c r="H116" s="170"/>
      <c r="I116" s="171"/>
      <c r="J116" s="171"/>
      <c r="K116" s="171"/>
    </row>
    <row r="117" spans="1:11" ht="12.75">
      <c r="A117" s="168" t="e">
        <f t="shared" si="0"/>
        <v>#REF!</v>
      </c>
      <c r="B117" s="175"/>
      <c r="C117" s="176"/>
      <c r="D117" s="175"/>
      <c r="E117" s="169"/>
      <c r="F117" s="170"/>
      <c r="G117" s="170"/>
      <c r="H117" s="170"/>
      <c r="I117" s="171"/>
      <c r="J117" s="171"/>
      <c r="K117" s="171"/>
    </row>
    <row r="118" spans="1:11" ht="12.75">
      <c r="A118" s="168" t="e">
        <f t="shared" si="0"/>
        <v>#REF!</v>
      </c>
      <c r="B118" s="175"/>
      <c r="C118" s="176"/>
      <c r="D118" s="175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si="0"/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</sheetData>
  <conditionalFormatting sqref="E1:H983">
    <cfRule type="cellIs" dxfId="27" priority="1" operator="equal">
      <formula>"ON"</formula>
    </cfRule>
  </conditionalFormatting>
  <conditionalFormatting sqref="E1:H983">
    <cfRule type="cellIs" dxfId="26" priority="2" operator="equal">
      <formula>"OFF"</formula>
    </cfRule>
  </conditionalFormatting>
  <conditionalFormatting sqref="I79 I84:I85">
    <cfRule type="notContainsBlanks" dxfId="25" priority="3">
      <formula>LEN(TRIM(I79))&gt;0</formula>
    </cfRule>
  </conditionalFormatting>
  <conditionalFormatting sqref="I80">
    <cfRule type="notContainsBlanks" dxfId="24" priority="4">
      <formula>LEN(TRIM(I80))&gt;0</formula>
    </cfRule>
  </conditionalFormatting>
  <dataValidations count="2">
    <dataValidation type="list" allowBlank="1" showErrorMessage="1" sqref="F2:F983" xr:uid="{00000000-0002-0000-1A00-000000000000}">
      <formula1>"ON,OFF,Need Repaired"</formula1>
    </dataValidation>
    <dataValidation type="list" allowBlank="1" showErrorMessage="1" sqref="G2:G983" xr:uid="{00000000-0002-0000-1A00-000001000000}">
      <formula1>"YES,NO"</formula1>
    </dataValidation>
  </dataValidations>
  <hyperlinks>
    <hyperlink ref="H2" r:id="rId1" xr:uid="{00000000-0004-0000-1A00-000000000000}"/>
    <hyperlink ref="H3" r:id="rId2" xr:uid="{00000000-0004-0000-1A00-000001000000}"/>
    <hyperlink ref="H4" r:id="rId3" xr:uid="{00000000-0004-0000-1A00-000002000000}"/>
    <hyperlink ref="H5" r:id="rId4" xr:uid="{00000000-0004-0000-1A00-000003000000}"/>
    <hyperlink ref="H6" r:id="rId5" xr:uid="{00000000-0004-0000-1A00-000004000000}"/>
    <hyperlink ref="H7" r:id="rId6" xr:uid="{00000000-0004-0000-1A00-000005000000}"/>
    <hyperlink ref="H8" r:id="rId7" xr:uid="{00000000-0004-0000-1A00-000006000000}"/>
    <hyperlink ref="H9" r:id="rId8" xr:uid="{00000000-0004-0000-1A00-000007000000}"/>
    <hyperlink ref="H10" r:id="rId9" xr:uid="{00000000-0004-0000-1A00-000008000000}"/>
    <hyperlink ref="H11" r:id="rId10" xr:uid="{00000000-0004-0000-1A00-000009000000}"/>
    <hyperlink ref="H12" r:id="rId11" xr:uid="{00000000-0004-0000-1A00-00000A000000}"/>
    <hyperlink ref="H13" r:id="rId12" xr:uid="{00000000-0004-0000-1A00-00000B000000}"/>
    <hyperlink ref="H14" r:id="rId13" xr:uid="{00000000-0004-0000-1A00-00000C000000}"/>
    <hyperlink ref="H15" r:id="rId14" xr:uid="{00000000-0004-0000-1A00-00000D000000}"/>
    <hyperlink ref="H16" r:id="rId15" xr:uid="{00000000-0004-0000-1A00-00000E000000}"/>
    <hyperlink ref="H17" r:id="rId16" xr:uid="{00000000-0004-0000-1A00-00000F000000}"/>
    <hyperlink ref="H18" r:id="rId17" xr:uid="{00000000-0004-0000-1A00-000010000000}"/>
    <hyperlink ref="H19" r:id="rId18" xr:uid="{00000000-0004-0000-1A00-000011000000}"/>
    <hyperlink ref="H20" r:id="rId19" xr:uid="{00000000-0004-0000-1A00-000012000000}"/>
    <hyperlink ref="H21" r:id="rId20" xr:uid="{00000000-0004-0000-1A00-000013000000}"/>
    <hyperlink ref="H22" r:id="rId21" xr:uid="{00000000-0004-0000-1A00-000014000000}"/>
    <hyperlink ref="H23" r:id="rId22" xr:uid="{00000000-0004-0000-1A00-000015000000}"/>
    <hyperlink ref="H24" r:id="rId23" xr:uid="{00000000-0004-0000-1A00-000016000000}"/>
    <hyperlink ref="H25" r:id="rId24" xr:uid="{00000000-0004-0000-1A00-000017000000}"/>
    <hyperlink ref="H26" r:id="rId25" xr:uid="{00000000-0004-0000-1A00-000018000000}"/>
    <hyperlink ref="H27" r:id="rId26" xr:uid="{00000000-0004-0000-1A00-000019000000}"/>
    <hyperlink ref="H28" r:id="rId27" xr:uid="{00000000-0004-0000-1A00-00001A000000}"/>
    <hyperlink ref="H29" r:id="rId28" xr:uid="{00000000-0004-0000-1A00-00001B000000}"/>
    <hyperlink ref="H30" r:id="rId29" xr:uid="{00000000-0004-0000-1A00-00001C000000}"/>
    <hyperlink ref="H31" r:id="rId30" xr:uid="{00000000-0004-0000-1A00-00001D000000}"/>
    <hyperlink ref="H32" r:id="rId31" xr:uid="{00000000-0004-0000-1A00-00001E000000}"/>
    <hyperlink ref="H33" r:id="rId32" xr:uid="{00000000-0004-0000-1A00-00001F000000}"/>
    <hyperlink ref="H34" r:id="rId33" xr:uid="{00000000-0004-0000-1A00-000020000000}"/>
    <hyperlink ref="H35" r:id="rId34" xr:uid="{00000000-0004-0000-1A00-000021000000}"/>
    <hyperlink ref="H36" r:id="rId35" xr:uid="{00000000-0004-0000-1A00-000022000000}"/>
    <hyperlink ref="H37" r:id="rId36" xr:uid="{00000000-0004-0000-1A00-000023000000}"/>
    <hyperlink ref="H38" r:id="rId37" xr:uid="{00000000-0004-0000-1A00-000024000000}"/>
    <hyperlink ref="H39" r:id="rId38" xr:uid="{00000000-0004-0000-1A00-000025000000}"/>
    <hyperlink ref="H40" r:id="rId39" xr:uid="{00000000-0004-0000-1A00-000026000000}"/>
    <hyperlink ref="H41" r:id="rId40" xr:uid="{00000000-0004-0000-1A00-000027000000}"/>
    <hyperlink ref="H42" r:id="rId41" xr:uid="{00000000-0004-0000-1A00-000028000000}"/>
    <hyperlink ref="H43" r:id="rId42" xr:uid="{00000000-0004-0000-1A00-000029000000}"/>
    <hyperlink ref="H44" r:id="rId43" xr:uid="{00000000-0004-0000-1A00-00002A000000}"/>
    <hyperlink ref="H46" r:id="rId44" xr:uid="{00000000-0004-0000-1A00-00002B000000}"/>
    <hyperlink ref="H47" r:id="rId45" xr:uid="{00000000-0004-0000-1A00-00002C000000}"/>
    <hyperlink ref="H49" r:id="rId46" xr:uid="{00000000-0004-0000-1A00-00002D000000}"/>
    <hyperlink ref="H50" r:id="rId47" xr:uid="{00000000-0004-0000-1A00-00002E000000}"/>
    <hyperlink ref="H51" r:id="rId48" xr:uid="{00000000-0004-0000-1A00-00002F000000}"/>
    <hyperlink ref="H52" r:id="rId49" xr:uid="{00000000-0004-0000-1A00-000030000000}"/>
    <hyperlink ref="H53" r:id="rId50" xr:uid="{00000000-0004-0000-1A00-000031000000}"/>
    <hyperlink ref="H54" r:id="rId51" xr:uid="{00000000-0004-0000-1A00-000032000000}"/>
    <hyperlink ref="H55" r:id="rId52" xr:uid="{00000000-0004-0000-1A00-000033000000}"/>
    <hyperlink ref="H56" r:id="rId53" xr:uid="{00000000-0004-0000-1A00-000034000000}"/>
    <hyperlink ref="H57" r:id="rId54" xr:uid="{00000000-0004-0000-1A00-000035000000}"/>
    <hyperlink ref="H59" r:id="rId55" xr:uid="{00000000-0004-0000-1A00-000036000000}"/>
    <hyperlink ref="H60" r:id="rId56" xr:uid="{00000000-0004-0000-1A00-000037000000}"/>
    <hyperlink ref="H62" r:id="rId57" xr:uid="{00000000-0004-0000-1A00-000038000000}"/>
    <hyperlink ref="H63" r:id="rId58" xr:uid="{00000000-0004-0000-1A00-000039000000}"/>
    <hyperlink ref="H64" r:id="rId59" xr:uid="{00000000-0004-0000-1A00-00003A000000}"/>
    <hyperlink ref="H65" r:id="rId60" xr:uid="{00000000-0004-0000-1A00-00003B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Y98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5.8554687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410">
        <v>1</v>
      </c>
      <c r="B2" s="441" t="s">
        <v>1569</v>
      </c>
      <c r="C2" s="442"/>
      <c r="D2" s="423" t="s">
        <v>1570</v>
      </c>
      <c r="E2" s="450" t="s">
        <v>194</v>
      </c>
      <c r="F2" s="415" t="s">
        <v>307</v>
      </c>
      <c r="G2" s="415" t="s">
        <v>434</v>
      </c>
      <c r="H2" s="425" t="s">
        <v>263</v>
      </c>
      <c r="I2" s="417" t="s">
        <v>1572</v>
      </c>
      <c r="J2" s="417" t="s">
        <v>255</v>
      </c>
      <c r="K2" s="417" t="s">
        <v>1573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2.75">
      <c r="A3" s="410">
        <v>2</v>
      </c>
      <c r="B3" s="420" t="s">
        <v>1574</v>
      </c>
      <c r="C3" s="443"/>
      <c r="D3" s="428" t="s">
        <v>1575</v>
      </c>
      <c r="E3" s="420" t="s">
        <v>374</v>
      </c>
      <c r="F3" s="415" t="s">
        <v>307</v>
      </c>
      <c r="G3" s="415" t="s">
        <v>434</v>
      </c>
      <c r="H3" s="416" t="s">
        <v>263</v>
      </c>
      <c r="I3" s="417" t="s">
        <v>1572</v>
      </c>
      <c r="J3" s="417" t="s">
        <v>255</v>
      </c>
      <c r="K3" s="417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2.75">
      <c r="A4" s="410">
        <v>3</v>
      </c>
      <c r="B4" s="433" t="s">
        <v>1577</v>
      </c>
      <c r="C4" s="444"/>
      <c r="D4" s="132" t="s">
        <v>1578</v>
      </c>
      <c r="E4" s="451" t="s">
        <v>176</v>
      </c>
      <c r="F4" s="415" t="s">
        <v>307</v>
      </c>
      <c r="G4" s="415" t="s">
        <v>434</v>
      </c>
      <c r="H4" s="416" t="s">
        <v>263</v>
      </c>
      <c r="I4" s="417" t="s">
        <v>1572</v>
      </c>
      <c r="J4" s="417" t="s">
        <v>255</v>
      </c>
      <c r="K4" s="417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ht="12.75">
      <c r="A5" s="410">
        <v>4</v>
      </c>
      <c r="B5" s="132" t="s">
        <v>245</v>
      </c>
      <c r="C5" s="445"/>
      <c r="D5" s="423" t="s">
        <v>1580</v>
      </c>
      <c r="E5" s="435" t="s">
        <v>246</v>
      </c>
      <c r="F5" s="415" t="s">
        <v>307</v>
      </c>
      <c r="G5" s="415" t="s">
        <v>434</v>
      </c>
      <c r="H5" s="436" t="s">
        <v>263</v>
      </c>
      <c r="I5" s="417" t="s">
        <v>316</v>
      </c>
      <c r="J5" s="417" t="s">
        <v>255</v>
      </c>
      <c r="K5" s="73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 ht="12.75">
      <c r="A6" s="410">
        <v>5</v>
      </c>
      <c r="B6" s="413" t="s">
        <v>1583</v>
      </c>
      <c r="C6" s="419" t="s">
        <v>185</v>
      </c>
      <c r="D6" s="437" t="s">
        <v>987</v>
      </c>
      <c r="E6" s="452" t="s">
        <v>1584</v>
      </c>
      <c r="F6" s="415" t="s">
        <v>307</v>
      </c>
      <c r="G6" s="415" t="s">
        <v>434</v>
      </c>
      <c r="H6" s="453"/>
      <c r="I6" s="417" t="s">
        <v>1554</v>
      </c>
      <c r="J6" s="417" t="s">
        <v>255</v>
      </c>
      <c r="K6" s="132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2.75">
      <c r="A7" s="178">
        <v>7</v>
      </c>
      <c r="B7" s="194" t="s">
        <v>431</v>
      </c>
      <c r="C7" s="198"/>
      <c r="D7" s="192" t="s">
        <v>1585</v>
      </c>
      <c r="E7" s="169" t="s">
        <v>260</v>
      </c>
      <c r="F7" s="170" t="s">
        <v>307</v>
      </c>
      <c r="G7" s="170" t="s">
        <v>434</v>
      </c>
      <c r="H7" s="189"/>
      <c r="I7" s="173"/>
      <c r="J7" s="173"/>
      <c r="K7" s="173"/>
    </row>
    <row r="8" spans="1:25" ht="12.75">
      <c r="A8" s="178">
        <v>8</v>
      </c>
      <c r="B8" s="194" t="s">
        <v>1341</v>
      </c>
      <c r="C8" s="198"/>
      <c r="D8" s="194" t="s">
        <v>1585</v>
      </c>
      <c r="E8" s="28" t="s">
        <v>91</v>
      </c>
      <c r="F8" s="170" t="s">
        <v>307</v>
      </c>
      <c r="G8" s="170" t="s">
        <v>434</v>
      </c>
      <c r="H8" s="189"/>
      <c r="I8" s="173"/>
      <c r="J8" s="173"/>
      <c r="K8" s="173"/>
    </row>
    <row r="9" spans="1:25" ht="12.75">
      <c r="A9" s="178">
        <v>9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25" ht="12.75">
      <c r="A10" s="178">
        <v>10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25" ht="12.75">
      <c r="A11" s="178">
        <v>11</v>
      </c>
      <c r="B11" s="194"/>
      <c r="C11" s="198"/>
      <c r="D11" s="194"/>
      <c r="E11" s="169"/>
      <c r="F11" s="170"/>
      <c r="G11" s="170"/>
      <c r="H11" s="197"/>
      <c r="I11" s="173"/>
      <c r="J11" s="173"/>
      <c r="K11" s="174"/>
    </row>
    <row r="12" spans="1:25" ht="12.75">
      <c r="A12" s="178">
        <v>12</v>
      </c>
      <c r="B12" s="194"/>
      <c r="C12" s="198"/>
      <c r="D12" s="194"/>
      <c r="E12" s="385"/>
      <c r="F12" s="170"/>
      <c r="G12" s="170"/>
      <c r="H12" s="197"/>
      <c r="I12" s="174"/>
      <c r="J12" s="174"/>
      <c r="K12" s="174"/>
    </row>
    <row r="13" spans="1:25" ht="12.75">
      <c r="A13" s="178">
        <v>13</v>
      </c>
      <c r="B13" s="194"/>
      <c r="C13" s="198"/>
      <c r="D13" s="194"/>
      <c r="E13" s="385"/>
      <c r="F13" s="170"/>
      <c r="G13" s="170"/>
      <c r="H13" s="170"/>
      <c r="I13" s="174"/>
      <c r="J13" s="174"/>
      <c r="K13" s="174"/>
    </row>
    <row r="14" spans="1:25" ht="12.75">
      <c r="A14" s="178">
        <v>14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25" ht="12.75">
      <c r="A15" s="178">
        <v>15</v>
      </c>
      <c r="B15" s="194"/>
      <c r="C15" s="198"/>
      <c r="D15" s="194"/>
      <c r="E15" s="385"/>
      <c r="F15" s="170"/>
      <c r="G15" s="170"/>
      <c r="H15" s="197"/>
      <c r="I15" s="174"/>
      <c r="J15" s="171"/>
      <c r="K15" s="171"/>
    </row>
    <row r="16" spans="1:25" ht="12.75">
      <c r="A16" s="178">
        <v>16</v>
      </c>
      <c r="B16" s="194"/>
      <c r="C16" s="198"/>
      <c r="D16" s="194"/>
      <c r="E16" s="385"/>
      <c r="F16" s="170"/>
      <c r="G16" s="170"/>
      <c r="H16" s="170"/>
      <c r="I16" s="172"/>
      <c r="J16" s="171"/>
      <c r="K16" s="171"/>
    </row>
    <row r="17" spans="1:11" ht="12.75">
      <c r="A17" s="178">
        <v>17</v>
      </c>
      <c r="B17" s="194"/>
      <c r="C17" s="198"/>
      <c r="D17" s="194"/>
      <c r="E17" s="385"/>
      <c r="F17" s="170"/>
      <c r="G17" s="170"/>
      <c r="H17" s="197"/>
      <c r="I17" s="174"/>
      <c r="J17" s="171"/>
      <c r="K17" s="171"/>
    </row>
    <row r="18" spans="1:11" ht="12.75">
      <c r="A18" s="178">
        <v>18</v>
      </c>
      <c r="B18" s="194"/>
      <c r="C18" s="198"/>
      <c r="D18" s="194"/>
      <c r="E18" s="385"/>
      <c r="F18" s="170"/>
      <c r="G18" s="170"/>
      <c r="H18" s="170"/>
      <c r="I18" s="172"/>
      <c r="J18" s="171"/>
      <c r="K18" s="171"/>
    </row>
    <row r="19" spans="1:11" ht="12.75">
      <c r="A19" s="178">
        <v>19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20</v>
      </c>
      <c r="B20" s="194"/>
      <c r="C20" s="198"/>
      <c r="D20" s="194"/>
      <c r="E20" s="385"/>
      <c r="F20" s="170"/>
      <c r="G20" s="170"/>
      <c r="H20" s="170"/>
      <c r="I20" s="172"/>
      <c r="J20" s="174"/>
      <c r="K20" s="174"/>
    </row>
    <row r="21" spans="1:11" ht="12.75">
      <c r="A21" s="178">
        <v>21</v>
      </c>
      <c r="B21" s="194"/>
      <c r="C21" s="198"/>
      <c r="D21" s="194"/>
      <c r="E21" s="385"/>
      <c r="F21" s="170"/>
      <c r="G21" s="170"/>
      <c r="H21" s="170"/>
      <c r="I21" s="173"/>
      <c r="J21" s="174"/>
      <c r="K21" s="174"/>
    </row>
    <row r="22" spans="1:11" ht="12.75">
      <c r="A22" s="178">
        <v>22</v>
      </c>
      <c r="B22" s="194"/>
      <c r="C22" s="198"/>
      <c r="D22" s="194"/>
      <c r="E22" s="385"/>
      <c r="F22" s="170"/>
      <c r="G22" s="170"/>
      <c r="H22" s="197"/>
      <c r="I22" s="174"/>
      <c r="J22" s="171"/>
      <c r="K22" s="171"/>
    </row>
    <row r="23" spans="1:11" ht="12.75">
      <c r="A23" s="178">
        <v>23</v>
      </c>
      <c r="B23" s="194"/>
      <c r="C23" s="198"/>
      <c r="D23" s="194"/>
      <c r="E23" s="385"/>
      <c r="F23" s="170"/>
      <c r="G23" s="170"/>
      <c r="H23" s="170"/>
      <c r="I23" s="172"/>
      <c r="J23" s="171"/>
      <c r="K23" s="171"/>
    </row>
    <row r="24" spans="1:11" ht="12.75">
      <c r="A24" s="178">
        <v>24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25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26</v>
      </c>
      <c r="B26" s="194"/>
      <c r="C26" s="198"/>
      <c r="D26" s="194"/>
      <c r="E26" s="385"/>
      <c r="F26" s="170"/>
      <c r="G26" s="170"/>
      <c r="H26" s="170"/>
      <c r="I26" s="173"/>
      <c r="J26" s="174"/>
      <c r="K26" s="174"/>
    </row>
    <row r="27" spans="1:11" ht="12.75">
      <c r="A27" s="178">
        <v>27</v>
      </c>
      <c r="B27" s="194"/>
      <c r="C27" s="198"/>
      <c r="D27" s="194"/>
      <c r="E27" s="385"/>
      <c r="F27" s="170"/>
      <c r="G27" s="170"/>
      <c r="H27" s="170"/>
      <c r="I27" s="172"/>
      <c r="J27" s="171"/>
      <c r="K27" s="171"/>
    </row>
    <row r="28" spans="1:11" ht="12.75">
      <c r="A28" s="178">
        <v>28</v>
      </c>
      <c r="B28" s="194"/>
      <c r="C28" s="198"/>
      <c r="D28" s="194"/>
      <c r="E28" s="386"/>
      <c r="F28" s="176"/>
      <c r="G28" s="176"/>
      <c r="H28" s="176"/>
      <c r="I28" s="173"/>
      <c r="J28" s="174"/>
      <c r="K28" s="174"/>
    </row>
    <row r="29" spans="1:11" ht="12.75">
      <c r="A29" s="178">
        <v>29</v>
      </c>
      <c r="B29" s="194"/>
      <c r="C29" s="198"/>
      <c r="D29" s="194"/>
      <c r="E29" s="385"/>
      <c r="F29" s="170"/>
      <c r="G29" s="170"/>
      <c r="H29" s="170"/>
      <c r="I29" s="173"/>
      <c r="J29" s="171"/>
      <c r="K29" s="171"/>
    </row>
    <row r="30" spans="1:11" ht="12.75">
      <c r="A30" s="178">
        <v>30</v>
      </c>
      <c r="B30" s="194"/>
      <c r="C30" s="198"/>
      <c r="D30" s="194"/>
      <c r="E30" s="385"/>
      <c r="F30" s="170"/>
      <c r="G30" s="170"/>
      <c r="H30" s="170"/>
      <c r="I30" s="173"/>
      <c r="J30" s="174"/>
      <c r="K30" s="174"/>
    </row>
    <row r="31" spans="1:11" ht="12.75">
      <c r="A31" s="178">
        <v>31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32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33</v>
      </c>
      <c r="B33" s="194"/>
      <c r="C33" s="198"/>
      <c r="D33" s="194"/>
      <c r="E33" s="385"/>
      <c r="F33" s="170"/>
      <c r="G33" s="170"/>
      <c r="H33" s="170"/>
      <c r="I33" s="173"/>
      <c r="J33" s="171"/>
      <c r="K33" s="171"/>
    </row>
    <row r="34" spans="1:11" ht="12.75">
      <c r="A34" s="178">
        <v>34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35</v>
      </c>
      <c r="B35" s="194"/>
      <c r="C35" s="198"/>
      <c r="D35" s="194"/>
      <c r="E35" s="385"/>
      <c r="F35" s="170"/>
      <c r="G35" s="170"/>
      <c r="H35" s="170"/>
      <c r="I35" s="173"/>
      <c r="J35" s="174"/>
      <c r="K35" s="174"/>
    </row>
    <row r="36" spans="1:11" ht="12.75">
      <c r="A36" s="178">
        <v>36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37</v>
      </c>
      <c r="B37" s="194"/>
      <c r="C37" s="198"/>
      <c r="D37" s="194"/>
      <c r="E37" s="385"/>
      <c r="F37" s="170"/>
      <c r="G37" s="170"/>
      <c r="H37" s="170"/>
      <c r="I37" s="172"/>
      <c r="J37" s="171"/>
      <c r="K37" s="171"/>
    </row>
    <row r="38" spans="1:11" ht="12.75">
      <c r="A38" s="178">
        <v>38</v>
      </c>
      <c r="B38" s="194"/>
      <c r="C38" s="198"/>
      <c r="D38" s="194"/>
      <c r="E38" s="385"/>
      <c r="F38" s="170"/>
      <c r="G38" s="170"/>
      <c r="H38" s="170"/>
      <c r="I38" s="173"/>
      <c r="J38" s="174"/>
      <c r="K38" s="174"/>
    </row>
    <row r="39" spans="1:11" ht="12.75">
      <c r="A39" s="178">
        <v>39</v>
      </c>
      <c r="B39" s="194"/>
      <c r="C39" s="198"/>
      <c r="D39" s="194"/>
      <c r="E39" s="385"/>
      <c r="F39" s="170"/>
      <c r="G39" s="170"/>
      <c r="H39" s="170"/>
      <c r="I39" s="172"/>
      <c r="J39" s="171"/>
      <c r="K39" s="171"/>
    </row>
    <row r="40" spans="1:11" ht="12.75">
      <c r="A40" s="178">
        <v>40</v>
      </c>
      <c r="B40" s="194"/>
      <c r="C40" s="198"/>
      <c r="D40" s="194"/>
      <c r="E40" s="385"/>
      <c r="F40" s="170"/>
      <c r="G40" s="170"/>
      <c r="H40" s="197"/>
      <c r="I40" s="174"/>
      <c r="J40" s="171"/>
      <c r="K40" s="171"/>
    </row>
    <row r="41" spans="1:11" ht="12.75">
      <c r="A41" s="178">
        <v>41</v>
      </c>
      <c r="B41" s="194"/>
      <c r="C41" s="198"/>
      <c r="D41" s="194"/>
      <c r="E41" s="385"/>
      <c r="F41" s="170"/>
      <c r="G41" s="170"/>
      <c r="H41" s="170"/>
      <c r="I41" s="172"/>
      <c r="J41" s="171"/>
      <c r="K41" s="171"/>
    </row>
    <row r="42" spans="1:11" ht="12.75">
      <c r="A42" s="178">
        <v>42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43</v>
      </c>
      <c r="B43" s="201"/>
      <c r="C43" s="202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44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45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46</v>
      </c>
      <c r="B46" s="201"/>
      <c r="C46" s="202"/>
      <c r="D46" s="201"/>
      <c r="E46" s="387"/>
      <c r="F46" s="170"/>
      <c r="G46" s="170"/>
      <c r="H46" s="170"/>
      <c r="I46" s="172"/>
      <c r="J46" s="171"/>
      <c r="K46" s="171"/>
    </row>
    <row r="47" spans="1:11" ht="12.75">
      <c r="A47" s="178">
        <v>47</v>
      </c>
      <c r="B47" s="201"/>
      <c r="C47" s="202"/>
      <c r="D47" s="194"/>
      <c r="E47" s="385"/>
      <c r="F47" s="170"/>
      <c r="G47" s="170"/>
      <c r="H47" s="170"/>
      <c r="I47" s="172"/>
      <c r="J47" s="171"/>
      <c r="K47" s="171"/>
    </row>
    <row r="48" spans="1:11" ht="12.75">
      <c r="A48" s="178">
        <v>48</v>
      </c>
      <c r="B48" s="201"/>
      <c r="C48" s="202"/>
      <c r="D48" s="201"/>
      <c r="E48" s="387"/>
      <c r="F48" s="170"/>
      <c r="G48" s="170"/>
      <c r="H48" s="197"/>
      <c r="I48" s="161"/>
      <c r="J48" s="161"/>
      <c r="K48" s="171"/>
    </row>
    <row r="49" spans="1:11" ht="12.75">
      <c r="A49" s="178">
        <v>49</v>
      </c>
      <c r="B49" s="201"/>
      <c r="C49" s="202"/>
      <c r="D49" s="201"/>
      <c r="E49" s="60"/>
      <c r="F49" s="170"/>
      <c r="G49" s="170"/>
      <c r="H49" s="197"/>
      <c r="I49" s="183"/>
      <c r="J49" s="173"/>
      <c r="K49" s="173"/>
    </row>
    <row r="50" spans="1:11" ht="12.75">
      <c r="A50" s="178">
        <v>50</v>
      </c>
      <c r="B50" s="201"/>
      <c r="C50" s="202"/>
      <c r="D50" s="201"/>
      <c r="E50" s="387"/>
      <c r="F50" s="170"/>
      <c r="G50" s="170"/>
      <c r="H50" s="197"/>
      <c r="I50" s="183"/>
      <c r="J50" s="173"/>
      <c r="K50" s="171"/>
    </row>
    <row r="51" spans="1:11" ht="12.75">
      <c r="A51" s="178">
        <v>51</v>
      </c>
      <c r="B51" s="201"/>
      <c r="C51" s="202"/>
      <c r="D51" s="201"/>
      <c r="E51" s="387"/>
      <c r="F51" s="170"/>
      <c r="G51" s="170"/>
      <c r="H51" s="197"/>
      <c r="I51" s="174"/>
      <c r="J51" s="171"/>
      <c r="K51" s="171"/>
    </row>
    <row r="52" spans="1:11" ht="12.75">
      <c r="A52" s="178">
        <v>52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53</v>
      </c>
      <c r="B53" s="201"/>
      <c r="C53" s="202"/>
      <c r="D53" s="201"/>
      <c r="E53" s="387"/>
      <c r="F53" s="170"/>
      <c r="G53" s="170"/>
      <c r="H53" s="170"/>
      <c r="I53" s="172"/>
      <c r="J53" s="171"/>
      <c r="K53" s="171"/>
    </row>
    <row r="54" spans="1:11" ht="12.75">
      <c r="A54" s="178">
        <v>54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55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56</v>
      </c>
      <c r="B56" s="201"/>
      <c r="C56" s="202"/>
      <c r="D56" s="201"/>
      <c r="E56" s="387"/>
      <c r="F56" s="170"/>
      <c r="G56" s="170"/>
      <c r="H56" s="197"/>
      <c r="I56" s="174"/>
      <c r="J56" s="171"/>
      <c r="K56" s="171"/>
    </row>
    <row r="57" spans="1:11" ht="12.75">
      <c r="A57" s="178">
        <v>57</v>
      </c>
      <c r="B57" s="201"/>
      <c r="C57" s="202"/>
      <c r="D57" s="201"/>
      <c r="E57" s="387"/>
      <c r="F57" s="170"/>
      <c r="G57" s="170"/>
      <c r="H57" s="170"/>
      <c r="I57" s="172"/>
      <c r="J57" s="171"/>
      <c r="K57" s="171"/>
    </row>
    <row r="58" spans="1:11" ht="12.75">
      <c r="A58" s="178">
        <v>58</v>
      </c>
      <c r="B58" s="201"/>
      <c r="C58" s="202"/>
      <c r="D58" s="201"/>
      <c r="E58" s="387"/>
      <c r="F58" s="170"/>
      <c r="G58" s="170"/>
      <c r="H58" s="197"/>
      <c r="I58" s="174"/>
      <c r="J58" s="171"/>
      <c r="K58" s="171"/>
    </row>
    <row r="59" spans="1:11" ht="12.75">
      <c r="A59" s="178">
        <v>59</v>
      </c>
      <c r="B59" s="201"/>
      <c r="C59" s="202"/>
      <c r="D59" s="201"/>
      <c r="E59" s="387"/>
      <c r="F59" s="170"/>
      <c r="G59" s="170"/>
      <c r="H59" s="170"/>
      <c r="I59" s="172"/>
      <c r="J59" s="171"/>
      <c r="K59" s="171"/>
    </row>
    <row r="60" spans="1:11" ht="12.75">
      <c r="A60" s="178">
        <v>60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61</v>
      </c>
      <c r="B61" s="201"/>
      <c r="C61" s="202"/>
      <c r="D61" s="194"/>
      <c r="E61" s="385"/>
      <c r="F61" s="170"/>
      <c r="G61" s="170"/>
      <c r="H61" s="170"/>
      <c r="I61" s="172"/>
      <c r="J61" s="171"/>
      <c r="K61" s="171"/>
    </row>
    <row r="62" spans="1:11" ht="12.75">
      <c r="A62" s="178">
        <v>62</v>
      </c>
      <c r="B62" s="201"/>
      <c r="C62" s="202"/>
      <c r="D62" s="201"/>
      <c r="E62" s="387"/>
      <c r="F62" s="170"/>
      <c r="G62" s="170"/>
      <c r="H62" s="197"/>
      <c r="I62" s="174"/>
      <c r="J62" s="171"/>
      <c r="K62" s="171"/>
    </row>
    <row r="63" spans="1:11" ht="12.75">
      <c r="A63" s="178">
        <v>63</v>
      </c>
      <c r="B63" s="201"/>
      <c r="C63" s="202"/>
      <c r="D63" s="201"/>
      <c r="E63" s="387"/>
      <c r="F63" s="170"/>
      <c r="G63" s="170"/>
      <c r="H63" s="197"/>
      <c r="I63" s="174"/>
      <c r="J63" s="174"/>
      <c r="K63" s="174"/>
    </row>
    <row r="64" spans="1:11" ht="12.75">
      <c r="A64" s="178">
        <v>64</v>
      </c>
      <c r="B64" s="201"/>
      <c r="C64" s="202"/>
      <c r="D64" s="201"/>
      <c r="E64" s="387"/>
      <c r="F64" s="170"/>
      <c r="G64" s="170"/>
      <c r="H64" s="170"/>
      <c r="I64" s="173"/>
      <c r="J64" s="174"/>
      <c r="K64" s="174"/>
    </row>
    <row r="65" spans="1:11" ht="12.75">
      <c r="A65" s="178">
        <v>65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66</v>
      </c>
      <c r="B66" s="201"/>
      <c r="C66" s="202"/>
      <c r="D66" s="201"/>
      <c r="E66" s="387"/>
      <c r="F66" s="170"/>
      <c r="G66" s="170"/>
      <c r="H66" s="170"/>
      <c r="I66" s="172"/>
      <c r="J66" s="171"/>
      <c r="K66" s="171"/>
    </row>
    <row r="67" spans="1:11" ht="12.75">
      <c r="A67" s="178">
        <v>67</v>
      </c>
      <c r="B67" s="201"/>
      <c r="C67" s="202"/>
      <c r="D67" s="201"/>
      <c r="E67" s="387"/>
      <c r="F67" s="170"/>
      <c r="G67" s="170"/>
      <c r="H67" s="170"/>
      <c r="I67" s="173"/>
      <c r="J67" s="174"/>
      <c r="K67" s="174"/>
    </row>
    <row r="68" spans="1:11" ht="12.75">
      <c r="A68" s="178">
        <v>68</v>
      </c>
      <c r="B68" s="201"/>
      <c r="C68" s="202"/>
      <c r="D68" s="201"/>
      <c r="E68" s="387"/>
      <c r="F68" s="170"/>
      <c r="G68" s="170"/>
      <c r="H68" s="170"/>
      <c r="I68" s="172"/>
      <c r="J68" s="171"/>
      <c r="K68" s="171"/>
    </row>
    <row r="69" spans="1:11" ht="12.75">
      <c r="A69" s="178">
        <v>69</v>
      </c>
      <c r="B69" s="201"/>
      <c r="C69" s="202"/>
      <c r="D69" s="201"/>
      <c r="E69" s="387"/>
      <c r="F69" s="170"/>
      <c r="G69" s="170"/>
      <c r="H69" s="197"/>
      <c r="I69" s="174"/>
      <c r="J69" s="171"/>
      <c r="K69" s="171"/>
    </row>
    <row r="70" spans="1:11" ht="12.75">
      <c r="A70" s="178">
        <v>70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71</v>
      </c>
      <c r="B71" s="201"/>
      <c r="C71" s="202"/>
      <c r="D71" s="201"/>
      <c r="E71" s="387"/>
      <c r="F71" s="170"/>
      <c r="G71" s="170"/>
      <c r="H71" s="170"/>
      <c r="I71" s="172"/>
      <c r="J71" s="171"/>
      <c r="K71" s="171"/>
    </row>
    <row r="72" spans="1:11" ht="12.75">
      <c r="A72" s="178">
        <v>72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73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74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75</v>
      </c>
      <c r="B75" s="194"/>
      <c r="C75" s="198"/>
      <c r="D75" s="201"/>
      <c r="E75" s="387"/>
      <c r="F75" s="170"/>
      <c r="G75" s="170"/>
      <c r="H75" s="170"/>
      <c r="I75" s="173"/>
      <c r="J75" s="174"/>
      <c r="K75" s="174"/>
    </row>
    <row r="76" spans="1:11" ht="12.75">
      <c r="A76" s="178">
        <v>76</v>
      </c>
      <c r="B76" s="201"/>
      <c r="C76" s="202"/>
      <c r="D76" s="201"/>
      <c r="E76" s="387"/>
      <c r="F76" s="170"/>
      <c r="G76" s="170"/>
      <c r="H76" s="170"/>
      <c r="I76" s="172"/>
      <c r="J76" s="171"/>
      <c r="K76" s="171"/>
    </row>
    <row r="77" spans="1:11" ht="12.75">
      <c r="A77" s="178">
        <v>77</v>
      </c>
      <c r="B77" s="201"/>
      <c r="C77" s="202"/>
      <c r="D77" s="201"/>
      <c r="E77" s="387"/>
      <c r="F77" s="170"/>
      <c r="G77" s="170"/>
      <c r="H77" s="197"/>
      <c r="I77" s="174"/>
      <c r="J77" s="171"/>
      <c r="K77" s="171"/>
    </row>
    <row r="78" spans="1:11" ht="12.75">
      <c r="A78" s="178">
        <v>78</v>
      </c>
      <c r="B78" s="201"/>
      <c r="C78" s="202"/>
      <c r="D78" s="201"/>
      <c r="E78" s="387"/>
      <c r="F78" s="170"/>
      <c r="G78" s="170"/>
      <c r="H78" s="170"/>
      <c r="I78" s="173"/>
      <c r="J78" s="174"/>
      <c r="K78" s="174"/>
    </row>
    <row r="79" spans="1:11" ht="12.75">
      <c r="A79" s="178">
        <v>79</v>
      </c>
      <c r="B79" s="201"/>
      <c r="C79" s="202"/>
      <c r="D79" s="201"/>
      <c r="E79" s="387"/>
      <c r="F79" s="170"/>
      <c r="G79" s="170"/>
      <c r="H79" s="197"/>
      <c r="I79" s="174"/>
      <c r="J79" s="171"/>
      <c r="K79" s="171"/>
    </row>
    <row r="80" spans="1:11" ht="12.75">
      <c r="A80" s="178">
        <v>80</v>
      </c>
      <c r="B80" s="201"/>
      <c r="C80" s="202"/>
      <c r="D80" s="201"/>
      <c r="E80" s="387"/>
      <c r="F80" s="170"/>
      <c r="G80" s="170"/>
      <c r="H80" s="170"/>
      <c r="I80" s="173"/>
      <c r="J80" s="174"/>
      <c r="K80" s="174"/>
    </row>
    <row r="81" spans="1:11" ht="12.75">
      <c r="A81" s="178">
        <v>81</v>
      </c>
      <c r="B81" s="201"/>
      <c r="C81" s="202"/>
      <c r="D81" s="201"/>
      <c r="E81" s="387"/>
      <c r="F81" s="170"/>
      <c r="G81" s="170"/>
      <c r="H81" s="197"/>
      <c r="I81" s="174"/>
      <c r="J81" s="173"/>
      <c r="K81" s="171"/>
    </row>
    <row r="82" spans="1:11" ht="12.75">
      <c r="A82" s="178">
        <v>82</v>
      </c>
      <c r="B82" s="201"/>
      <c r="C82" s="202"/>
      <c r="D82" s="201"/>
      <c r="E82" s="387"/>
      <c r="F82" s="170"/>
      <c r="G82" s="170"/>
      <c r="H82" s="197"/>
      <c r="I82" s="174"/>
      <c r="J82" s="171"/>
      <c r="K82" s="171"/>
    </row>
    <row r="83" spans="1:11" ht="12.75">
      <c r="A83" s="178">
        <v>83</v>
      </c>
      <c r="B83" s="201"/>
      <c r="C83" s="202"/>
      <c r="D83" s="201"/>
      <c r="E83" s="387"/>
      <c r="F83" s="170"/>
      <c r="G83" s="170"/>
      <c r="H83" s="197"/>
      <c r="J83" s="174"/>
      <c r="K83" s="174"/>
    </row>
    <row r="84" spans="1:11" ht="12.75">
      <c r="A84" s="178">
        <v>84</v>
      </c>
      <c r="B84" s="201"/>
      <c r="C84" s="202"/>
      <c r="D84" s="201"/>
      <c r="E84" s="387"/>
      <c r="F84" s="170"/>
      <c r="G84" s="170"/>
      <c r="H84" s="170"/>
      <c r="I84" s="172"/>
      <c r="J84" s="171"/>
      <c r="K84" s="171"/>
    </row>
    <row r="85" spans="1:11" ht="12.75">
      <c r="A85" s="178">
        <v>85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86</v>
      </c>
      <c r="B86" s="169"/>
      <c r="C86" s="170"/>
      <c r="D86" s="169"/>
      <c r="E86" s="169"/>
      <c r="F86" s="170"/>
      <c r="G86" s="170"/>
      <c r="H86" s="197"/>
      <c r="I86" s="174"/>
      <c r="J86" s="173"/>
      <c r="K86" s="173"/>
    </row>
    <row r="87" spans="1:11" ht="12.75">
      <c r="A87" s="178">
        <v>87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68"/>
      <c r="B88" s="169"/>
      <c r="C88" s="170"/>
      <c r="D88" s="169"/>
      <c r="E88" s="169"/>
      <c r="F88" s="170"/>
      <c r="G88" s="170"/>
      <c r="H88" s="170"/>
      <c r="I88" s="171"/>
      <c r="J88" s="171"/>
      <c r="K88" s="171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2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3"/>
      <c r="J100" s="174"/>
      <c r="K100" s="174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2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1"/>
      <c r="K102" s="171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3"/>
      <c r="J103" s="174"/>
      <c r="K103" s="174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2"/>
      <c r="J104" s="171"/>
      <c r="K104" s="171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3"/>
      <c r="J105" s="174"/>
      <c r="K105" s="174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2"/>
      <c r="J106" s="171"/>
      <c r="K106" s="171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1"/>
      <c r="J117" s="171"/>
      <c r="K117" s="171"/>
    </row>
    <row r="118" spans="1:11" ht="12.75">
      <c r="A118" s="168" t="e">
        <f t="shared" ref="A118:A985" si="0">IF(#REF!="","",A117+1)</f>
        <v>#REF!</v>
      </c>
      <c r="B118" s="175"/>
      <c r="C118" s="176"/>
      <c r="D118" s="175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si="0"/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</sheetData>
  <conditionalFormatting sqref="E1:H985">
    <cfRule type="cellIs" dxfId="23" priority="1" operator="equal">
      <formula>"ON"</formula>
    </cfRule>
  </conditionalFormatting>
  <conditionalFormatting sqref="E1:H985">
    <cfRule type="cellIs" dxfId="22" priority="2" operator="equal">
      <formula>"OFF"</formula>
    </cfRule>
  </conditionalFormatting>
  <conditionalFormatting sqref="I81 I86:I87">
    <cfRule type="notContainsBlanks" dxfId="21" priority="3">
      <formula>LEN(TRIM(I81))&gt;0</formula>
    </cfRule>
  </conditionalFormatting>
  <conditionalFormatting sqref="I82">
    <cfRule type="notContainsBlanks" dxfId="20" priority="4">
      <formula>LEN(TRIM(I82))&gt;0</formula>
    </cfRule>
  </conditionalFormatting>
  <dataValidations count="2">
    <dataValidation type="list" allowBlank="1" showErrorMessage="1" sqref="F2:F985" xr:uid="{00000000-0002-0000-1B00-000000000000}">
      <formula1>"ON,OFF,Need Repaired"</formula1>
    </dataValidation>
    <dataValidation type="list" allowBlank="1" showErrorMessage="1" sqref="G2:G985" xr:uid="{00000000-0002-0000-1B00-000001000000}">
      <formula1>"YES,NO"</formula1>
    </dataValidation>
  </dataValidations>
  <hyperlinks>
    <hyperlink ref="H2" r:id="rId1" xr:uid="{00000000-0004-0000-1B00-000000000000}"/>
    <hyperlink ref="H3" r:id="rId2" xr:uid="{00000000-0004-0000-1B00-000001000000}"/>
    <hyperlink ref="H4" r:id="rId3" xr:uid="{00000000-0004-0000-1B00-000002000000}"/>
    <hyperlink ref="H5" r:id="rId4" xr:uid="{00000000-0004-0000-1B00-000003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11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11" ht="12.75">
      <c r="A2" s="178">
        <v>1</v>
      </c>
      <c r="B2" s="430" t="s">
        <v>1610</v>
      </c>
      <c r="C2" s="464"/>
      <c r="D2" s="465" t="s">
        <v>1611</v>
      </c>
      <c r="E2" s="387" t="s">
        <v>349</v>
      </c>
      <c r="F2" s="170" t="s">
        <v>307</v>
      </c>
      <c r="G2" s="170" t="s">
        <v>434</v>
      </c>
      <c r="H2" s="193"/>
      <c r="I2" s="173" t="s">
        <v>1572</v>
      </c>
      <c r="J2" s="173" t="s">
        <v>255</v>
      </c>
      <c r="K2" s="173"/>
    </row>
    <row r="3" spans="1:11" ht="12.75">
      <c r="A3" s="178">
        <v>2</v>
      </c>
      <c r="B3" s="169" t="s">
        <v>1612</v>
      </c>
      <c r="C3" s="198"/>
      <c r="D3" s="194" t="s">
        <v>1613</v>
      </c>
      <c r="E3" s="169" t="s">
        <v>1261</v>
      </c>
      <c r="F3" s="170" t="s">
        <v>307</v>
      </c>
      <c r="G3" s="170" t="s">
        <v>434</v>
      </c>
      <c r="H3" s="197"/>
      <c r="I3" s="173" t="s">
        <v>1572</v>
      </c>
      <c r="J3" s="173" t="s">
        <v>255</v>
      </c>
      <c r="K3" s="173"/>
    </row>
    <row r="4" spans="1:11" ht="15">
      <c r="A4" s="178">
        <v>3</v>
      </c>
      <c r="B4" s="201" t="s">
        <v>1600</v>
      </c>
      <c r="C4" s="202"/>
      <c r="D4" s="53" t="s">
        <v>1614</v>
      </c>
      <c r="E4" s="327" t="s">
        <v>1250</v>
      </c>
      <c r="F4" s="170" t="s">
        <v>307</v>
      </c>
      <c r="G4" s="170" t="s">
        <v>434</v>
      </c>
      <c r="H4" s="189"/>
      <c r="I4" s="173" t="s">
        <v>340</v>
      </c>
      <c r="J4" s="173" t="s">
        <v>255</v>
      </c>
      <c r="K4" s="173" t="s">
        <v>1615</v>
      </c>
    </row>
    <row r="5" spans="1:11" ht="15">
      <c r="A5" s="178">
        <v>4</v>
      </c>
      <c r="B5" s="53" t="s">
        <v>1616</v>
      </c>
      <c r="C5" s="146"/>
      <c r="D5" s="466" t="s">
        <v>191</v>
      </c>
      <c r="E5" s="327" t="s">
        <v>189</v>
      </c>
      <c r="F5" s="170" t="s">
        <v>307</v>
      </c>
      <c r="G5" s="170" t="s">
        <v>434</v>
      </c>
      <c r="H5" s="467"/>
      <c r="I5" s="173" t="s">
        <v>340</v>
      </c>
      <c r="J5" s="173" t="s">
        <v>255</v>
      </c>
      <c r="K5" s="53" t="s">
        <v>1615</v>
      </c>
    </row>
    <row r="6" spans="1:11" ht="12.75">
      <c r="A6" s="178">
        <v>5</v>
      </c>
      <c r="B6" s="53"/>
      <c r="C6" s="147"/>
      <c r="D6" s="192"/>
      <c r="E6" s="192"/>
      <c r="F6" s="170"/>
      <c r="G6" s="170"/>
      <c r="H6" s="193"/>
      <c r="I6" s="173"/>
      <c r="J6" s="173"/>
      <c r="K6" s="53"/>
    </row>
    <row r="7" spans="1:11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11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11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11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11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11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11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11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11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11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19" priority="1" operator="equal">
      <formula>"ON"</formula>
    </cfRule>
  </conditionalFormatting>
  <conditionalFormatting sqref="E1:H986">
    <cfRule type="cellIs" dxfId="18" priority="2" operator="equal">
      <formula>"OFF"</formula>
    </cfRule>
  </conditionalFormatting>
  <conditionalFormatting sqref="I82 I87:I88">
    <cfRule type="notContainsBlanks" dxfId="17" priority="3">
      <formula>LEN(TRIM(I82))&gt;0</formula>
    </cfRule>
  </conditionalFormatting>
  <conditionalFormatting sqref="I83">
    <cfRule type="notContainsBlanks" dxfId="16" priority="4">
      <formula>LEN(TRIM(I83))&gt;0</formula>
    </cfRule>
  </conditionalFormatting>
  <dataValidations count="2">
    <dataValidation type="list" allowBlank="1" showErrorMessage="1" sqref="F2:F986" xr:uid="{00000000-0002-0000-1C00-000000000000}">
      <formula1>"ON,OFF,Need Repaired"</formula1>
    </dataValidation>
    <dataValidation type="list" allowBlank="1" showErrorMessage="1" sqref="G2:G986" xr:uid="{00000000-0002-0000-1C00-000001000000}">
      <formula1>"YES,NO"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11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11" ht="12.75">
      <c r="A2" s="178">
        <v>1</v>
      </c>
      <c r="B2" s="468" t="s">
        <v>140</v>
      </c>
      <c r="C2" s="469"/>
      <c r="D2" s="37" t="s">
        <v>1617</v>
      </c>
      <c r="E2" s="169" t="s">
        <v>141</v>
      </c>
      <c r="F2" s="170" t="s">
        <v>307</v>
      </c>
      <c r="G2" s="170" t="s">
        <v>434</v>
      </c>
      <c r="H2" s="163" t="s">
        <v>263</v>
      </c>
      <c r="I2" s="173" t="s">
        <v>316</v>
      </c>
      <c r="J2" s="173" t="s">
        <v>255</v>
      </c>
      <c r="K2" s="173"/>
    </row>
    <row r="3" spans="1:11" ht="12.75">
      <c r="A3" s="178">
        <v>2</v>
      </c>
      <c r="B3" s="169" t="s">
        <v>99</v>
      </c>
      <c r="C3" s="195"/>
      <c r="D3" s="382" t="s">
        <v>1618</v>
      </c>
      <c r="E3" s="169" t="s">
        <v>341</v>
      </c>
      <c r="F3" s="170" t="s">
        <v>307</v>
      </c>
      <c r="G3" s="170" t="s">
        <v>434</v>
      </c>
      <c r="H3" s="182" t="s">
        <v>263</v>
      </c>
      <c r="I3" s="173" t="s">
        <v>316</v>
      </c>
      <c r="J3" s="173" t="s">
        <v>255</v>
      </c>
      <c r="K3" s="173"/>
    </row>
    <row r="4" spans="1:11" ht="15">
      <c r="A4" s="178">
        <v>3</v>
      </c>
      <c r="B4" s="169" t="s">
        <v>99</v>
      </c>
      <c r="C4" s="195"/>
      <c r="D4" s="53" t="s">
        <v>1619</v>
      </c>
      <c r="E4" s="327" t="s">
        <v>1620</v>
      </c>
      <c r="F4" s="170" t="s">
        <v>307</v>
      </c>
      <c r="G4" s="170" t="s">
        <v>434</v>
      </c>
      <c r="H4" s="182" t="s">
        <v>263</v>
      </c>
      <c r="I4" s="173" t="s">
        <v>316</v>
      </c>
      <c r="J4" s="173" t="s">
        <v>255</v>
      </c>
      <c r="K4" s="173"/>
    </row>
    <row r="5" spans="1:11" ht="15">
      <c r="A5" s="178">
        <v>4</v>
      </c>
      <c r="B5" s="126" t="s">
        <v>1621</v>
      </c>
      <c r="C5" s="52"/>
      <c r="D5" s="126" t="s">
        <v>68</v>
      </c>
      <c r="E5" s="327" t="s">
        <v>1273</v>
      </c>
      <c r="F5" s="170" t="s">
        <v>307</v>
      </c>
      <c r="G5" s="170" t="s">
        <v>434</v>
      </c>
      <c r="H5" s="467"/>
      <c r="I5" s="173" t="s">
        <v>316</v>
      </c>
      <c r="J5" s="173" t="s">
        <v>255</v>
      </c>
      <c r="K5" s="52"/>
    </row>
    <row r="6" spans="1:11" ht="12.75">
      <c r="A6" s="178">
        <v>5</v>
      </c>
      <c r="B6" s="53" t="s">
        <v>1622</v>
      </c>
      <c r="C6" s="147"/>
      <c r="D6" s="192" t="s">
        <v>68</v>
      </c>
      <c r="E6" s="192" t="s">
        <v>1268</v>
      </c>
      <c r="F6" s="170" t="s">
        <v>307</v>
      </c>
      <c r="G6" s="170" t="s">
        <v>434</v>
      </c>
      <c r="H6" s="470"/>
      <c r="I6" s="173" t="s">
        <v>316</v>
      </c>
      <c r="J6" s="173" t="s">
        <v>255</v>
      </c>
      <c r="K6" s="53"/>
    </row>
    <row r="7" spans="1:11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11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11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11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11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11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11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11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11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11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15" priority="1" operator="equal">
      <formula>"ON"</formula>
    </cfRule>
  </conditionalFormatting>
  <conditionalFormatting sqref="E1:H986">
    <cfRule type="cellIs" dxfId="14" priority="2" operator="equal">
      <formula>"OFF"</formula>
    </cfRule>
  </conditionalFormatting>
  <conditionalFormatting sqref="I82 I87:I88">
    <cfRule type="notContainsBlanks" dxfId="13" priority="3">
      <formula>LEN(TRIM(I82))&gt;0</formula>
    </cfRule>
  </conditionalFormatting>
  <conditionalFormatting sqref="I83">
    <cfRule type="notContainsBlanks" dxfId="12" priority="4">
      <formula>LEN(TRIM(I83))&gt;0</formula>
    </cfRule>
  </conditionalFormatting>
  <dataValidations count="2">
    <dataValidation type="list" allowBlank="1" showErrorMessage="1" sqref="F2:F986" xr:uid="{00000000-0002-0000-1D00-000000000000}">
      <formula1>"ON,OFF,Need Repaired"</formula1>
    </dataValidation>
    <dataValidation type="list" allowBlank="1" showErrorMessage="1" sqref="G2:G986" xr:uid="{00000000-0002-0000-1D00-000001000000}">
      <formula1>"YES,NO"</formula1>
    </dataValidation>
  </dataValidations>
  <hyperlinks>
    <hyperlink ref="H2" r:id="rId1" xr:uid="{00000000-0004-0000-1D00-000000000000}"/>
    <hyperlink ref="H3" r:id="rId2" xr:uid="{00000000-0004-0000-1D00-000001000000}"/>
    <hyperlink ref="H4" r:id="rId3" xr:uid="{00000000-0004-0000-1D00-000002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11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11" ht="12.75">
      <c r="A2" s="178">
        <v>1</v>
      </c>
      <c r="B2" s="471" t="s">
        <v>1623</v>
      </c>
      <c r="C2" s="469" t="s">
        <v>133</v>
      </c>
      <c r="D2" s="37" t="s">
        <v>136</v>
      </c>
      <c r="E2" s="169" t="s">
        <v>134</v>
      </c>
      <c r="F2" s="170" t="s">
        <v>307</v>
      </c>
      <c r="G2" s="170" t="s">
        <v>434</v>
      </c>
      <c r="H2" s="163" t="s">
        <v>263</v>
      </c>
      <c r="I2" s="173" t="s">
        <v>340</v>
      </c>
      <c r="J2" s="173" t="s">
        <v>255</v>
      </c>
      <c r="K2" s="173"/>
    </row>
    <row r="3" spans="1:11" ht="12.75">
      <c r="A3" s="178">
        <v>2</v>
      </c>
      <c r="B3" s="169" t="s">
        <v>173</v>
      </c>
      <c r="C3" s="195" t="s">
        <v>1455</v>
      </c>
      <c r="D3" s="382" t="s">
        <v>136</v>
      </c>
      <c r="E3" s="169" t="s">
        <v>337</v>
      </c>
      <c r="F3" s="170" t="s">
        <v>307</v>
      </c>
      <c r="G3" s="170" t="s">
        <v>434</v>
      </c>
      <c r="H3" s="182" t="s">
        <v>263</v>
      </c>
      <c r="I3" s="173" t="s">
        <v>340</v>
      </c>
      <c r="J3" s="173" t="s">
        <v>255</v>
      </c>
      <c r="K3" s="173"/>
    </row>
    <row r="4" spans="1:11" ht="15">
      <c r="A4" s="178">
        <v>3</v>
      </c>
      <c r="B4" s="382" t="s">
        <v>173</v>
      </c>
      <c r="C4" s="195" t="s">
        <v>174</v>
      </c>
      <c r="D4" s="53" t="s">
        <v>136</v>
      </c>
      <c r="E4" s="327" t="s">
        <v>175</v>
      </c>
      <c r="F4" s="170" t="s">
        <v>307</v>
      </c>
      <c r="G4" s="170" t="s">
        <v>434</v>
      </c>
      <c r="H4" s="182" t="s">
        <v>263</v>
      </c>
      <c r="I4" s="173" t="s">
        <v>340</v>
      </c>
      <c r="J4" s="173" t="s">
        <v>255</v>
      </c>
      <c r="K4" s="173" t="s">
        <v>1624</v>
      </c>
    </row>
    <row r="5" spans="1:11" ht="15">
      <c r="A5" s="178">
        <v>4</v>
      </c>
      <c r="B5" s="53" t="s">
        <v>324</v>
      </c>
      <c r="C5" s="195" t="s">
        <v>396</v>
      </c>
      <c r="D5" s="383" t="s">
        <v>1625</v>
      </c>
      <c r="E5" s="327" t="s">
        <v>397</v>
      </c>
      <c r="F5" s="170" t="s">
        <v>307</v>
      </c>
      <c r="G5" s="170" t="s">
        <v>434</v>
      </c>
      <c r="H5" s="384" t="s">
        <v>263</v>
      </c>
      <c r="I5" s="173" t="s">
        <v>340</v>
      </c>
      <c r="J5" s="173" t="s">
        <v>255</v>
      </c>
      <c r="K5" s="52"/>
    </row>
    <row r="6" spans="1:11" ht="12.75">
      <c r="A6" s="178">
        <v>5</v>
      </c>
      <c r="B6" s="53"/>
      <c r="C6" s="147"/>
      <c r="D6" s="192"/>
      <c r="E6" s="192"/>
      <c r="F6" s="170"/>
      <c r="G6" s="170"/>
      <c r="H6" s="193"/>
      <c r="I6" s="173"/>
      <c r="J6" s="173"/>
      <c r="K6" s="53"/>
    </row>
    <row r="7" spans="1:11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11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11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11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11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11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11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11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11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11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11" priority="1" operator="equal">
      <formula>"ON"</formula>
    </cfRule>
  </conditionalFormatting>
  <conditionalFormatting sqref="E1:H986">
    <cfRule type="cellIs" dxfId="10" priority="2" operator="equal">
      <formula>"OFF"</formula>
    </cfRule>
  </conditionalFormatting>
  <conditionalFormatting sqref="I82 I87:I88">
    <cfRule type="notContainsBlanks" dxfId="9" priority="3">
      <formula>LEN(TRIM(I82))&gt;0</formula>
    </cfRule>
  </conditionalFormatting>
  <conditionalFormatting sqref="I83">
    <cfRule type="notContainsBlanks" dxfId="8" priority="4">
      <formula>LEN(TRIM(I83))&gt;0</formula>
    </cfRule>
  </conditionalFormatting>
  <dataValidations count="2">
    <dataValidation type="list" allowBlank="1" showErrorMessage="1" sqref="F2:F986" xr:uid="{00000000-0002-0000-1E00-000000000000}">
      <formula1>"ON,OFF,Need Repaired"</formula1>
    </dataValidation>
    <dataValidation type="list" allowBlank="1" showErrorMessage="1" sqref="G2:G986" xr:uid="{00000000-0002-0000-1E00-000001000000}">
      <formula1>"YES,NO"</formula1>
    </dataValidation>
  </dataValidations>
  <hyperlinks>
    <hyperlink ref="H2" r:id="rId1" xr:uid="{00000000-0004-0000-1E00-000000000000}"/>
    <hyperlink ref="H3" r:id="rId2" xr:uid="{00000000-0004-0000-1E00-000001000000}"/>
    <hyperlink ref="H4" r:id="rId3" xr:uid="{00000000-0004-0000-1E00-000002000000}"/>
    <hyperlink ref="H5" r:id="rId4" xr:uid="{00000000-0004-0000-1E00-000003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11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11" ht="12.75">
      <c r="A2" s="178">
        <v>1</v>
      </c>
      <c r="B2" s="430" t="s">
        <v>213</v>
      </c>
      <c r="C2" s="431" t="s">
        <v>1293</v>
      </c>
      <c r="D2" s="472" t="s">
        <v>1626</v>
      </c>
      <c r="E2" s="169" t="s">
        <v>1294</v>
      </c>
      <c r="F2" s="170" t="s">
        <v>307</v>
      </c>
      <c r="G2" s="170" t="s">
        <v>434</v>
      </c>
      <c r="H2" s="470"/>
      <c r="I2" s="170" t="s">
        <v>340</v>
      </c>
      <c r="J2" s="170" t="s">
        <v>255</v>
      </c>
      <c r="K2" s="173"/>
    </row>
    <row r="3" spans="1:11" ht="12.75">
      <c r="A3" s="178">
        <v>2</v>
      </c>
      <c r="B3" s="473" t="s">
        <v>391</v>
      </c>
      <c r="C3" s="146"/>
      <c r="D3" s="383" t="s">
        <v>1627</v>
      </c>
      <c r="E3" s="169" t="s">
        <v>392</v>
      </c>
      <c r="F3" s="170" t="s">
        <v>307</v>
      </c>
      <c r="G3" s="170" t="s">
        <v>434</v>
      </c>
      <c r="H3" s="182" t="s">
        <v>263</v>
      </c>
      <c r="I3" s="170" t="s">
        <v>316</v>
      </c>
      <c r="J3" s="170" t="s">
        <v>255</v>
      </c>
      <c r="K3" s="173"/>
    </row>
    <row r="4" spans="1:11" ht="15">
      <c r="A4" s="178">
        <v>3</v>
      </c>
      <c r="B4" s="474" t="s">
        <v>1628</v>
      </c>
      <c r="C4" s="195"/>
      <c r="D4" s="53" t="s">
        <v>1629</v>
      </c>
      <c r="E4" s="327" t="s">
        <v>313</v>
      </c>
      <c r="F4" s="170" t="s">
        <v>307</v>
      </c>
      <c r="G4" s="170" t="s">
        <v>434</v>
      </c>
      <c r="H4" s="182" t="s">
        <v>263</v>
      </c>
      <c r="I4" s="170" t="s">
        <v>316</v>
      </c>
      <c r="J4" s="170" t="s">
        <v>255</v>
      </c>
      <c r="K4" s="173"/>
    </row>
    <row r="5" spans="1:11" ht="15">
      <c r="A5" s="178">
        <v>4</v>
      </c>
      <c r="B5" s="53" t="s">
        <v>119</v>
      </c>
      <c r="C5" s="147" t="s">
        <v>123</v>
      </c>
      <c r="D5" s="383" t="s">
        <v>1630</v>
      </c>
      <c r="E5" s="327" t="s">
        <v>124</v>
      </c>
      <c r="F5" s="170" t="s">
        <v>307</v>
      </c>
      <c r="G5" s="170" t="s">
        <v>434</v>
      </c>
      <c r="H5" s="384" t="s">
        <v>263</v>
      </c>
      <c r="I5" s="170" t="s">
        <v>316</v>
      </c>
      <c r="J5" s="170" t="s">
        <v>255</v>
      </c>
      <c r="K5" s="52"/>
    </row>
    <row r="6" spans="1:11" ht="12.75">
      <c r="A6" s="178">
        <v>5</v>
      </c>
      <c r="B6" s="53"/>
      <c r="C6" s="147"/>
      <c r="D6" s="192"/>
      <c r="E6" s="192"/>
      <c r="F6" s="170"/>
      <c r="G6" s="170"/>
      <c r="H6" s="193"/>
      <c r="I6" s="173"/>
      <c r="J6" s="173"/>
      <c r="K6" s="53"/>
    </row>
    <row r="7" spans="1:11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11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11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11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11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11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11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11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11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11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:H986">
    <cfRule type="cellIs" dxfId="7" priority="1" operator="equal">
      <formula>"ON"</formula>
    </cfRule>
  </conditionalFormatting>
  <conditionalFormatting sqref="E1:H986">
    <cfRule type="cellIs" dxfId="6" priority="2" operator="equal">
      <formula>"OFF"</formula>
    </cfRule>
  </conditionalFormatting>
  <conditionalFormatting sqref="I82 I87:I88">
    <cfRule type="notContainsBlanks" dxfId="5" priority="3">
      <formula>LEN(TRIM(I82))&gt;0</formula>
    </cfRule>
  </conditionalFormatting>
  <conditionalFormatting sqref="I83">
    <cfRule type="notContainsBlanks" dxfId="4" priority="4">
      <formula>LEN(TRIM(I83))&gt;0</formula>
    </cfRule>
  </conditionalFormatting>
  <dataValidations count="2">
    <dataValidation type="list" allowBlank="1" showErrorMessage="1" sqref="F2:F986" xr:uid="{00000000-0002-0000-1F00-000000000000}">
      <formula1>"ON,OFF,Need Repaired"</formula1>
    </dataValidation>
    <dataValidation type="list" allowBlank="1" showErrorMessage="1" sqref="G2:G986" xr:uid="{00000000-0002-0000-1F00-000001000000}">
      <formula1>"YES,NO"</formula1>
    </dataValidation>
  </dataValidations>
  <hyperlinks>
    <hyperlink ref="H3" r:id="rId1" xr:uid="{00000000-0004-0000-1F00-000000000000}"/>
    <hyperlink ref="H4" r:id="rId2" xr:uid="{00000000-0004-0000-1F00-000001000000}"/>
    <hyperlink ref="H5" r:id="rId3" xr:uid="{00000000-0004-0000-1F00-000002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Y98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49.42578125" customWidth="1"/>
    <col min="3" max="3" width="19" customWidth="1"/>
    <col min="4" max="4" width="32.28515625" customWidth="1"/>
    <col min="5" max="5" width="23.42578125" customWidth="1"/>
    <col min="6" max="6" width="14.7109375" customWidth="1"/>
    <col min="7" max="8" width="9.28515625" customWidth="1"/>
    <col min="9" max="9" width="17.42578125" customWidth="1"/>
    <col min="10" max="11" width="25.7109375" customWidth="1"/>
  </cols>
  <sheetData>
    <row r="1" spans="1:25" ht="27.75" customHeight="1">
      <c r="A1" s="177" t="s">
        <v>0</v>
      </c>
      <c r="B1" s="177" t="s">
        <v>589</v>
      </c>
      <c r="C1" s="177" t="s">
        <v>2</v>
      </c>
      <c r="D1" s="381" t="s">
        <v>578</v>
      </c>
      <c r="E1" s="177" t="s">
        <v>3</v>
      </c>
      <c r="F1" s="177" t="s">
        <v>6</v>
      </c>
      <c r="G1" s="177" t="s">
        <v>1413</v>
      </c>
      <c r="H1" s="177" t="s">
        <v>8</v>
      </c>
      <c r="I1" s="177" t="s">
        <v>12</v>
      </c>
      <c r="J1" s="177" t="s">
        <v>14</v>
      </c>
      <c r="K1" s="177" t="s">
        <v>16</v>
      </c>
    </row>
    <row r="2" spans="1:25" ht="12.75">
      <c r="A2" s="410">
        <v>1</v>
      </c>
      <c r="B2" s="428" t="s">
        <v>1631</v>
      </c>
      <c r="C2" s="447" t="s">
        <v>1632</v>
      </c>
      <c r="D2" s="428" t="s">
        <v>1633</v>
      </c>
      <c r="E2" s="437" t="s">
        <v>170</v>
      </c>
      <c r="F2" s="415" t="s">
        <v>307</v>
      </c>
      <c r="G2" s="415" t="s">
        <v>434</v>
      </c>
      <c r="H2" s="475" t="s">
        <v>263</v>
      </c>
      <c r="I2" s="476">
        <v>45094</v>
      </c>
      <c r="J2" s="415" t="s">
        <v>255</v>
      </c>
      <c r="K2" s="417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2.75">
      <c r="A3" s="178">
        <v>2</v>
      </c>
      <c r="B3" s="352" t="s">
        <v>240</v>
      </c>
      <c r="C3" s="477" t="s">
        <v>333</v>
      </c>
      <c r="D3" s="352" t="s">
        <v>1634</v>
      </c>
      <c r="E3" s="478" t="s">
        <v>334</v>
      </c>
      <c r="F3" s="170" t="s">
        <v>307</v>
      </c>
      <c r="G3" s="170" t="s">
        <v>434</v>
      </c>
      <c r="H3" s="475" t="s">
        <v>263</v>
      </c>
      <c r="I3" s="170"/>
      <c r="J3" s="170" t="s">
        <v>255</v>
      </c>
      <c r="K3" s="173"/>
    </row>
    <row r="4" spans="1:25" ht="12.75">
      <c r="A4" s="178">
        <v>3</v>
      </c>
      <c r="B4" s="352" t="s">
        <v>213</v>
      </c>
      <c r="C4" s="477" t="s">
        <v>224</v>
      </c>
      <c r="D4" s="352" t="s">
        <v>1635</v>
      </c>
      <c r="E4" s="478" t="s">
        <v>225</v>
      </c>
      <c r="F4" s="170" t="s">
        <v>307</v>
      </c>
      <c r="G4" s="170" t="s">
        <v>434</v>
      </c>
      <c r="H4" s="475" t="s">
        <v>263</v>
      </c>
      <c r="I4" s="170"/>
      <c r="J4" s="170" t="s">
        <v>255</v>
      </c>
      <c r="K4" s="173"/>
    </row>
    <row r="5" spans="1:25" ht="15">
      <c r="A5" s="178">
        <v>4</v>
      </c>
      <c r="B5" s="53"/>
      <c r="C5" s="147"/>
      <c r="D5" s="383"/>
      <c r="E5" s="327"/>
      <c r="F5" s="170"/>
      <c r="G5" s="170"/>
      <c r="H5" s="191"/>
      <c r="I5" s="170"/>
      <c r="J5" s="170" t="s">
        <v>255</v>
      </c>
      <c r="K5" s="52"/>
    </row>
    <row r="6" spans="1:25" ht="12.75">
      <c r="A6" s="178">
        <v>5</v>
      </c>
      <c r="B6" s="53"/>
      <c r="C6" s="147"/>
      <c r="D6" s="192"/>
      <c r="E6" s="192"/>
      <c r="F6" s="170"/>
      <c r="G6" s="170"/>
      <c r="H6" s="193"/>
      <c r="I6" s="170"/>
      <c r="J6" s="170" t="s">
        <v>255</v>
      </c>
      <c r="K6" s="53"/>
    </row>
    <row r="7" spans="1:25" ht="12.75">
      <c r="A7" s="178">
        <v>6</v>
      </c>
      <c r="B7" s="194"/>
      <c r="C7" s="195"/>
      <c r="D7" s="194"/>
      <c r="E7" s="60"/>
      <c r="F7" s="170"/>
      <c r="G7" s="170"/>
      <c r="H7" s="197"/>
      <c r="I7" s="173"/>
      <c r="J7" s="173"/>
      <c r="K7" s="173"/>
    </row>
    <row r="8" spans="1:25" ht="12.75">
      <c r="A8" s="178">
        <v>7</v>
      </c>
      <c r="B8" s="194"/>
      <c r="C8" s="198"/>
      <c r="D8" s="192"/>
      <c r="E8" s="169"/>
      <c r="F8" s="170"/>
      <c r="G8" s="170"/>
      <c r="H8" s="197"/>
      <c r="I8" s="173"/>
      <c r="J8" s="173"/>
      <c r="K8" s="173"/>
    </row>
    <row r="9" spans="1:25" ht="12.75">
      <c r="A9" s="178">
        <v>8</v>
      </c>
      <c r="B9" s="194"/>
      <c r="C9" s="198"/>
      <c r="D9" s="194"/>
      <c r="E9" s="28"/>
      <c r="F9" s="170"/>
      <c r="G9" s="170"/>
      <c r="H9" s="197"/>
      <c r="I9" s="173"/>
      <c r="J9" s="173"/>
      <c r="K9" s="173"/>
    </row>
    <row r="10" spans="1:25" ht="12.75">
      <c r="A10" s="178">
        <v>9</v>
      </c>
      <c r="B10" s="194"/>
      <c r="C10" s="198"/>
      <c r="D10" s="194"/>
      <c r="E10" s="28"/>
      <c r="F10" s="170"/>
      <c r="G10" s="170"/>
      <c r="H10" s="197"/>
      <c r="I10" s="173"/>
      <c r="J10" s="173"/>
      <c r="K10" s="173"/>
    </row>
    <row r="11" spans="1:25" ht="12.75">
      <c r="A11" s="178">
        <v>10</v>
      </c>
      <c r="B11" s="194"/>
      <c r="C11" s="198"/>
      <c r="D11" s="194"/>
      <c r="E11" s="28"/>
      <c r="F11" s="170"/>
      <c r="G11" s="170"/>
      <c r="H11" s="197"/>
      <c r="I11" s="173"/>
      <c r="J11" s="173"/>
      <c r="K11" s="173"/>
    </row>
    <row r="12" spans="1:25" ht="12.75">
      <c r="A12" s="178">
        <v>11</v>
      </c>
      <c r="B12" s="194"/>
      <c r="C12" s="198"/>
      <c r="D12" s="194"/>
      <c r="E12" s="169"/>
      <c r="F12" s="170"/>
      <c r="G12" s="170"/>
      <c r="H12" s="197"/>
      <c r="I12" s="173"/>
      <c r="J12" s="173"/>
      <c r="K12" s="174"/>
    </row>
    <row r="13" spans="1:25" ht="12.75">
      <c r="A13" s="178">
        <v>12</v>
      </c>
      <c r="B13" s="194"/>
      <c r="C13" s="198"/>
      <c r="D13" s="194"/>
      <c r="E13" s="385"/>
      <c r="F13" s="170"/>
      <c r="G13" s="170"/>
      <c r="H13" s="197"/>
      <c r="I13" s="174"/>
      <c r="J13" s="174"/>
      <c r="K13" s="174"/>
    </row>
    <row r="14" spans="1:25" ht="12.75">
      <c r="A14" s="178">
        <v>13</v>
      </c>
      <c r="B14" s="194"/>
      <c r="C14" s="198"/>
      <c r="D14" s="194"/>
      <c r="E14" s="385"/>
      <c r="F14" s="170"/>
      <c r="G14" s="170"/>
      <c r="H14" s="170"/>
      <c r="I14" s="174"/>
      <c r="J14" s="174"/>
      <c r="K14" s="174"/>
    </row>
    <row r="15" spans="1:25" ht="12.75">
      <c r="A15" s="178">
        <v>14</v>
      </c>
      <c r="B15" s="194"/>
      <c r="C15" s="198"/>
      <c r="D15" s="194"/>
      <c r="E15" s="385"/>
      <c r="F15" s="170"/>
      <c r="G15" s="170"/>
      <c r="H15" s="170"/>
      <c r="I15" s="174"/>
      <c r="J15" s="174"/>
      <c r="K15" s="174"/>
    </row>
    <row r="16" spans="1:25" ht="12.75">
      <c r="A16" s="178">
        <v>15</v>
      </c>
      <c r="B16" s="194"/>
      <c r="C16" s="198"/>
      <c r="D16" s="194"/>
      <c r="E16" s="385"/>
      <c r="F16" s="170"/>
      <c r="G16" s="170"/>
      <c r="H16" s="197"/>
      <c r="I16" s="174"/>
      <c r="J16" s="171"/>
      <c r="K16" s="171"/>
    </row>
    <row r="17" spans="1:11" ht="12.75">
      <c r="A17" s="178">
        <v>16</v>
      </c>
      <c r="B17" s="194"/>
      <c r="C17" s="198"/>
      <c r="D17" s="194"/>
      <c r="E17" s="385"/>
      <c r="F17" s="170"/>
      <c r="G17" s="170"/>
      <c r="H17" s="170"/>
      <c r="I17" s="172"/>
      <c r="J17" s="171"/>
      <c r="K17" s="171"/>
    </row>
    <row r="18" spans="1:11" ht="12.75">
      <c r="A18" s="178">
        <v>17</v>
      </c>
      <c r="B18" s="194"/>
      <c r="C18" s="198"/>
      <c r="D18" s="194"/>
      <c r="E18" s="385"/>
      <c r="F18" s="170"/>
      <c r="G18" s="170"/>
      <c r="H18" s="197"/>
      <c r="I18" s="174"/>
      <c r="J18" s="171"/>
      <c r="K18" s="171"/>
    </row>
    <row r="19" spans="1:11" ht="12.75">
      <c r="A19" s="178">
        <v>18</v>
      </c>
      <c r="B19" s="194"/>
      <c r="C19" s="198"/>
      <c r="D19" s="194"/>
      <c r="E19" s="385"/>
      <c r="F19" s="170"/>
      <c r="G19" s="170"/>
      <c r="H19" s="170"/>
      <c r="I19" s="172"/>
      <c r="J19" s="171"/>
      <c r="K19" s="171"/>
    </row>
    <row r="20" spans="1:11" ht="12.75">
      <c r="A20" s="178">
        <v>19</v>
      </c>
      <c r="B20" s="194"/>
      <c r="C20" s="198"/>
      <c r="D20" s="194"/>
      <c r="E20" s="385"/>
      <c r="F20" s="170"/>
      <c r="G20" s="170"/>
      <c r="H20" s="170"/>
      <c r="I20" s="172"/>
      <c r="J20" s="171"/>
      <c r="K20" s="171"/>
    </row>
    <row r="21" spans="1:11" ht="12.75">
      <c r="A21" s="178">
        <v>20</v>
      </c>
      <c r="B21" s="194"/>
      <c r="C21" s="198"/>
      <c r="D21" s="194"/>
      <c r="E21" s="385"/>
      <c r="F21" s="170"/>
      <c r="G21" s="170"/>
      <c r="H21" s="170"/>
      <c r="I21" s="172"/>
      <c r="J21" s="174"/>
      <c r="K21" s="174"/>
    </row>
    <row r="22" spans="1:11" ht="12.75">
      <c r="A22" s="178">
        <v>21</v>
      </c>
      <c r="B22" s="194"/>
      <c r="C22" s="198"/>
      <c r="D22" s="194"/>
      <c r="E22" s="385"/>
      <c r="F22" s="170"/>
      <c r="G22" s="170"/>
      <c r="H22" s="170"/>
      <c r="I22" s="173"/>
      <c r="J22" s="174"/>
      <c r="K22" s="174"/>
    </row>
    <row r="23" spans="1:11" ht="12.75">
      <c r="A23" s="178">
        <v>22</v>
      </c>
      <c r="B23" s="194"/>
      <c r="C23" s="198"/>
      <c r="D23" s="194"/>
      <c r="E23" s="385"/>
      <c r="F23" s="170"/>
      <c r="G23" s="170"/>
      <c r="H23" s="197"/>
      <c r="I23" s="174"/>
      <c r="J23" s="171"/>
      <c r="K23" s="171"/>
    </row>
    <row r="24" spans="1:11" ht="12.75">
      <c r="A24" s="178">
        <v>23</v>
      </c>
      <c r="B24" s="194"/>
      <c r="C24" s="198"/>
      <c r="D24" s="194"/>
      <c r="E24" s="385"/>
      <c r="F24" s="170"/>
      <c r="G24" s="170"/>
      <c r="H24" s="170"/>
      <c r="I24" s="172"/>
      <c r="J24" s="171"/>
      <c r="K24" s="171"/>
    </row>
    <row r="25" spans="1:11" ht="12.75">
      <c r="A25" s="178">
        <v>24</v>
      </c>
      <c r="B25" s="194"/>
      <c r="C25" s="198"/>
      <c r="D25" s="194"/>
      <c r="E25" s="385"/>
      <c r="F25" s="170"/>
      <c r="G25" s="170"/>
      <c r="H25" s="170"/>
      <c r="I25" s="172"/>
      <c r="J25" s="171"/>
      <c r="K25" s="171"/>
    </row>
    <row r="26" spans="1:11" ht="12.75">
      <c r="A26" s="178">
        <v>25</v>
      </c>
      <c r="B26" s="194"/>
      <c r="C26" s="198"/>
      <c r="D26" s="194"/>
      <c r="E26" s="385"/>
      <c r="F26" s="170"/>
      <c r="G26" s="170"/>
      <c r="H26" s="170"/>
      <c r="I26" s="172"/>
      <c r="J26" s="171"/>
      <c r="K26" s="171"/>
    </row>
    <row r="27" spans="1:11" ht="12.75">
      <c r="A27" s="178">
        <v>26</v>
      </c>
      <c r="B27" s="194"/>
      <c r="C27" s="198"/>
      <c r="D27" s="194"/>
      <c r="E27" s="385"/>
      <c r="F27" s="170"/>
      <c r="G27" s="170"/>
      <c r="H27" s="170"/>
      <c r="I27" s="173"/>
      <c r="J27" s="174"/>
      <c r="K27" s="174"/>
    </row>
    <row r="28" spans="1:11" ht="12.75">
      <c r="A28" s="178">
        <v>27</v>
      </c>
      <c r="B28" s="194"/>
      <c r="C28" s="198"/>
      <c r="D28" s="194"/>
      <c r="E28" s="385"/>
      <c r="F28" s="170"/>
      <c r="G28" s="170"/>
      <c r="H28" s="170"/>
      <c r="I28" s="172"/>
      <c r="J28" s="171"/>
      <c r="K28" s="171"/>
    </row>
    <row r="29" spans="1:11" ht="12.75">
      <c r="A29" s="178">
        <v>28</v>
      </c>
      <c r="B29" s="194"/>
      <c r="C29" s="198"/>
      <c r="D29" s="194"/>
      <c r="E29" s="386"/>
      <c r="F29" s="176"/>
      <c r="G29" s="176"/>
      <c r="H29" s="176"/>
      <c r="I29" s="173"/>
      <c r="J29" s="174"/>
      <c r="K29" s="174"/>
    </row>
    <row r="30" spans="1:11" ht="12.75">
      <c r="A30" s="178">
        <v>29</v>
      </c>
      <c r="B30" s="194"/>
      <c r="C30" s="198"/>
      <c r="D30" s="194"/>
      <c r="E30" s="385"/>
      <c r="F30" s="170"/>
      <c r="G30" s="170"/>
      <c r="H30" s="170"/>
      <c r="I30" s="173"/>
      <c r="J30" s="171"/>
      <c r="K30" s="171"/>
    </row>
    <row r="31" spans="1:11" ht="12.75">
      <c r="A31" s="178">
        <v>30</v>
      </c>
      <c r="B31" s="194"/>
      <c r="C31" s="198"/>
      <c r="D31" s="194"/>
      <c r="E31" s="385"/>
      <c r="F31" s="170"/>
      <c r="G31" s="170"/>
      <c r="H31" s="170"/>
      <c r="I31" s="173"/>
      <c r="J31" s="174"/>
      <c r="K31" s="174"/>
    </row>
    <row r="32" spans="1:11" ht="12.75">
      <c r="A32" s="178">
        <v>31</v>
      </c>
      <c r="B32" s="194"/>
      <c r="C32" s="198"/>
      <c r="D32" s="194"/>
      <c r="E32" s="385"/>
      <c r="F32" s="170"/>
      <c r="G32" s="170"/>
      <c r="H32" s="170"/>
      <c r="I32" s="173"/>
      <c r="J32" s="174"/>
      <c r="K32" s="174"/>
    </row>
    <row r="33" spans="1:11" ht="12.75">
      <c r="A33" s="178">
        <v>32</v>
      </c>
      <c r="B33" s="194"/>
      <c r="C33" s="198"/>
      <c r="D33" s="194"/>
      <c r="E33" s="385"/>
      <c r="F33" s="170"/>
      <c r="G33" s="170"/>
      <c r="H33" s="170"/>
      <c r="I33" s="173"/>
      <c r="J33" s="174"/>
      <c r="K33" s="174"/>
    </row>
    <row r="34" spans="1:11" ht="12.75">
      <c r="A34" s="178">
        <v>33</v>
      </c>
      <c r="B34" s="194"/>
      <c r="C34" s="198"/>
      <c r="D34" s="194"/>
      <c r="E34" s="385"/>
      <c r="F34" s="170"/>
      <c r="G34" s="170"/>
      <c r="H34" s="170"/>
      <c r="I34" s="173"/>
      <c r="J34" s="171"/>
      <c r="K34" s="171"/>
    </row>
    <row r="35" spans="1:11" ht="12.75">
      <c r="A35" s="178">
        <v>34</v>
      </c>
      <c r="B35" s="194"/>
      <c r="C35" s="198"/>
      <c r="D35" s="194"/>
      <c r="E35" s="385"/>
      <c r="F35" s="170"/>
      <c r="G35" s="170"/>
      <c r="H35" s="170"/>
      <c r="I35" s="173"/>
      <c r="J35" s="171"/>
      <c r="K35" s="171"/>
    </row>
    <row r="36" spans="1:11" ht="12.75">
      <c r="A36" s="178">
        <v>35</v>
      </c>
      <c r="B36" s="194"/>
      <c r="C36" s="198"/>
      <c r="D36" s="194"/>
      <c r="E36" s="385"/>
      <c r="F36" s="170"/>
      <c r="G36" s="170"/>
      <c r="H36" s="170"/>
      <c r="I36" s="173"/>
      <c r="J36" s="174"/>
      <c r="K36" s="174"/>
    </row>
    <row r="37" spans="1:11" ht="12.75">
      <c r="A37" s="178">
        <v>36</v>
      </c>
      <c r="B37" s="194"/>
      <c r="C37" s="198"/>
      <c r="D37" s="194"/>
      <c r="E37" s="385"/>
      <c r="F37" s="170"/>
      <c r="G37" s="170"/>
      <c r="H37" s="170"/>
      <c r="I37" s="173"/>
      <c r="J37" s="174"/>
      <c r="K37" s="174"/>
    </row>
    <row r="38" spans="1:11" ht="12.75">
      <c r="A38" s="178">
        <v>37</v>
      </c>
      <c r="B38" s="194"/>
      <c r="C38" s="198"/>
      <c r="D38" s="194"/>
      <c r="E38" s="385"/>
      <c r="F38" s="170"/>
      <c r="G38" s="170"/>
      <c r="H38" s="170"/>
      <c r="I38" s="172"/>
      <c r="J38" s="171"/>
      <c r="K38" s="171"/>
    </row>
    <row r="39" spans="1:11" ht="12.75">
      <c r="A39" s="178">
        <v>38</v>
      </c>
      <c r="B39" s="194"/>
      <c r="C39" s="198"/>
      <c r="D39" s="194"/>
      <c r="E39" s="385"/>
      <c r="F39" s="170"/>
      <c r="G39" s="170"/>
      <c r="H39" s="170"/>
      <c r="I39" s="173"/>
      <c r="J39" s="174"/>
      <c r="K39" s="174"/>
    </row>
    <row r="40" spans="1:11" ht="12.75">
      <c r="A40" s="178">
        <v>39</v>
      </c>
      <c r="B40" s="194"/>
      <c r="C40" s="198"/>
      <c r="D40" s="194"/>
      <c r="E40" s="385"/>
      <c r="F40" s="170"/>
      <c r="G40" s="170"/>
      <c r="H40" s="170"/>
      <c r="I40" s="172"/>
      <c r="J40" s="171"/>
      <c r="K40" s="171"/>
    </row>
    <row r="41" spans="1:11" ht="12.75">
      <c r="A41" s="178">
        <v>40</v>
      </c>
      <c r="B41" s="194"/>
      <c r="C41" s="198"/>
      <c r="D41" s="194"/>
      <c r="E41" s="385"/>
      <c r="F41" s="170"/>
      <c r="G41" s="170"/>
      <c r="H41" s="197"/>
      <c r="I41" s="174"/>
      <c r="J41" s="171"/>
      <c r="K41" s="171"/>
    </row>
    <row r="42" spans="1:11" ht="12.75">
      <c r="A42" s="178">
        <v>41</v>
      </c>
      <c r="B42" s="194"/>
      <c r="C42" s="198"/>
      <c r="D42" s="194"/>
      <c r="E42" s="385"/>
      <c r="F42" s="170"/>
      <c r="G42" s="170"/>
      <c r="H42" s="170"/>
      <c r="I42" s="172"/>
      <c r="J42" s="171"/>
      <c r="K42" s="171"/>
    </row>
    <row r="43" spans="1:11" ht="12.75">
      <c r="A43" s="178">
        <v>42</v>
      </c>
      <c r="B43" s="194"/>
      <c r="C43" s="198"/>
      <c r="D43" s="194"/>
      <c r="E43" s="385"/>
      <c r="F43" s="170"/>
      <c r="G43" s="170"/>
      <c r="H43" s="170"/>
      <c r="I43" s="172"/>
      <c r="J43" s="171"/>
      <c r="K43" s="171"/>
    </row>
    <row r="44" spans="1:11" ht="12.75">
      <c r="A44" s="178">
        <v>43</v>
      </c>
      <c r="B44" s="201"/>
      <c r="C44" s="202"/>
      <c r="D44" s="194"/>
      <c r="E44" s="385"/>
      <c r="F44" s="170"/>
      <c r="G44" s="170"/>
      <c r="H44" s="170"/>
      <c r="I44" s="172"/>
      <c r="J44" s="171"/>
      <c r="K44" s="171"/>
    </row>
    <row r="45" spans="1:11" ht="12.75">
      <c r="A45" s="178">
        <v>44</v>
      </c>
      <c r="B45" s="201"/>
      <c r="C45" s="202"/>
      <c r="D45" s="194"/>
      <c r="E45" s="385"/>
      <c r="F45" s="170"/>
      <c r="G45" s="170"/>
      <c r="H45" s="170"/>
      <c r="I45" s="172"/>
      <c r="J45" s="171"/>
      <c r="K45" s="171"/>
    </row>
    <row r="46" spans="1:11" ht="12.75">
      <c r="A46" s="178">
        <v>45</v>
      </c>
      <c r="B46" s="201"/>
      <c r="C46" s="202"/>
      <c r="D46" s="194"/>
      <c r="E46" s="385"/>
      <c r="F46" s="170"/>
      <c r="G46" s="170"/>
      <c r="H46" s="170"/>
      <c r="I46" s="172"/>
      <c r="J46" s="171"/>
      <c r="K46" s="171"/>
    </row>
    <row r="47" spans="1:11" ht="12.75">
      <c r="A47" s="178">
        <v>46</v>
      </c>
      <c r="B47" s="201"/>
      <c r="C47" s="202"/>
      <c r="D47" s="201"/>
      <c r="E47" s="387"/>
      <c r="F47" s="170"/>
      <c r="G47" s="170"/>
      <c r="H47" s="170"/>
      <c r="I47" s="172"/>
      <c r="J47" s="171"/>
      <c r="K47" s="171"/>
    </row>
    <row r="48" spans="1:11" ht="12.75">
      <c r="A48" s="178">
        <v>47</v>
      </c>
      <c r="B48" s="201"/>
      <c r="C48" s="202"/>
      <c r="D48" s="194"/>
      <c r="E48" s="385"/>
      <c r="F48" s="170"/>
      <c r="G48" s="170"/>
      <c r="H48" s="170"/>
      <c r="I48" s="172"/>
      <c r="J48" s="171"/>
      <c r="K48" s="171"/>
    </row>
    <row r="49" spans="1:11" ht="12.75">
      <c r="A49" s="178">
        <v>48</v>
      </c>
      <c r="B49" s="201"/>
      <c r="C49" s="202"/>
      <c r="D49" s="201"/>
      <c r="E49" s="387"/>
      <c r="F49" s="170"/>
      <c r="G49" s="170"/>
      <c r="H49" s="197"/>
      <c r="I49" s="161"/>
      <c r="J49" s="161"/>
      <c r="K49" s="171"/>
    </row>
    <row r="50" spans="1:11" ht="12.75">
      <c r="A50" s="178">
        <v>49</v>
      </c>
      <c r="B50" s="201"/>
      <c r="C50" s="202"/>
      <c r="D50" s="201"/>
      <c r="E50" s="60"/>
      <c r="F50" s="170"/>
      <c r="G50" s="170"/>
      <c r="H50" s="197"/>
      <c r="I50" s="183"/>
      <c r="J50" s="173"/>
      <c r="K50" s="173"/>
    </row>
    <row r="51" spans="1:11" ht="12.75">
      <c r="A51" s="178">
        <v>50</v>
      </c>
      <c r="B51" s="201"/>
      <c r="C51" s="202"/>
      <c r="D51" s="201"/>
      <c r="E51" s="387"/>
      <c r="F51" s="170"/>
      <c r="G51" s="170"/>
      <c r="H51" s="197"/>
      <c r="I51" s="183"/>
      <c r="J51" s="173"/>
      <c r="K51" s="171"/>
    </row>
    <row r="52" spans="1:11" ht="12.75">
      <c r="A52" s="178">
        <v>51</v>
      </c>
      <c r="B52" s="201"/>
      <c r="C52" s="202"/>
      <c r="D52" s="201"/>
      <c r="E52" s="387"/>
      <c r="F52" s="170"/>
      <c r="G52" s="170"/>
      <c r="H52" s="197"/>
      <c r="I52" s="174"/>
      <c r="J52" s="171"/>
      <c r="K52" s="171"/>
    </row>
    <row r="53" spans="1:11" ht="12.75">
      <c r="A53" s="178">
        <v>52</v>
      </c>
      <c r="B53" s="201"/>
      <c r="C53" s="202"/>
      <c r="D53" s="201"/>
      <c r="E53" s="387"/>
      <c r="F53" s="170"/>
      <c r="G53" s="170"/>
      <c r="H53" s="197"/>
      <c r="I53" s="174"/>
      <c r="J53" s="171"/>
      <c r="K53" s="171"/>
    </row>
    <row r="54" spans="1:11" ht="12.75">
      <c r="A54" s="178">
        <v>53</v>
      </c>
      <c r="B54" s="201"/>
      <c r="C54" s="202"/>
      <c r="D54" s="201"/>
      <c r="E54" s="387"/>
      <c r="F54" s="170"/>
      <c r="G54" s="170"/>
      <c r="H54" s="170"/>
      <c r="I54" s="172"/>
      <c r="J54" s="171"/>
      <c r="K54" s="171"/>
    </row>
    <row r="55" spans="1:11" ht="12.75">
      <c r="A55" s="178">
        <v>54</v>
      </c>
      <c r="B55" s="201"/>
      <c r="C55" s="202"/>
      <c r="D55" s="201"/>
      <c r="E55" s="387"/>
      <c r="F55" s="170"/>
      <c r="G55" s="170"/>
      <c r="H55" s="170"/>
      <c r="I55" s="172"/>
      <c r="J55" s="171"/>
      <c r="K55" s="171"/>
    </row>
    <row r="56" spans="1:11" ht="12.75">
      <c r="A56" s="178">
        <v>55</v>
      </c>
      <c r="B56" s="201"/>
      <c r="C56" s="202"/>
      <c r="D56" s="201"/>
      <c r="E56" s="387"/>
      <c r="F56" s="170"/>
      <c r="G56" s="170"/>
      <c r="H56" s="170"/>
      <c r="I56" s="172"/>
      <c r="J56" s="171"/>
      <c r="K56" s="171"/>
    </row>
    <row r="57" spans="1:11" ht="12.75">
      <c r="A57" s="178">
        <v>56</v>
      </c>
      <c r="B57" s="201"/>
      <c r="C57" s="202"/>
      <c r="D57" s="201"/>
      <c r="E57" s="387"/>
      <c r="F57" s="170"/>
      <c r="G57" s="170"/>
      <c r="H57" s="197"/>
      <c r="I57" s="174"/>
      <c r="J57" s="171"/>
      <c r="K57" s="171"/>
    </row>
    <row r="58" spans="1:11" ht="12.75">
      <c r="A58" s="178">
        <v>57</v>
      </c>
      <c r="B58" s="201"/>
      <c r="C58" s="202"/>
      <c r="D58" s="201"/>
      <c r="E58" s="387"/>
      <c r="F58" s="170"/>
      <c r="G58" s="170"/>
      <c r="H58" s="170"/>
      <c r="I58" s="172"/>
      <c r="J58" s="171"/>
      <c r="K58" s="171"/>
    </row>
    <row r="59" spans="1:11" ht="12.75">
      <c r="A59" s="178">
        <v>58</v>
      </c>
      <c r="B59" s="201"/>
      <c r="C59" s="202"/>
      <c r="D59" s="201"/>
      <c r="E59" s="387"/>
      <c r="F59" s="170"/>
      <c r="G59" s="170"/>
      <c r="H59" s="197"/>
      <c r="I59" s="174"/>
      <c r="J59" s="171"/>
      <c r="K59" s="171"/>
    </row>
    <row r="60" spans="1:11" ht="12.75">
      <c r="A60" s="178">
        <v>59</v>
      </c>
      <c r="B60" s="201"/>
      <c r="C60" s="202"/>
      <c r="D60" s="201"/>
      <c r="E60" s="387"/>
      <c r="F60" s="170"/>
      <c r="G60" s="170"/>
      <c r="H60" s="170"/>
      <c r="I60" s="172"/>
      <c r="J60" s="171"/>
      <c r="K60" s="171"/>
    </row>
    <row r="61" spans="1:11" ht="12.75">
      <c r="A61" s="178">
        <v>60</v>
      </c>
      <c r="B61" s="201"/>
      <c r="C61" s="202"/>
      <c r="D61" s="201"/>
      <c r="E61" s="387"/>
      <c r="F61" s="170"/>
      <c r="G61" s="170"/>
      <c r="H61" s="170"/>
      <c r="I61" s="172"/>
      <c r="J61" s="171"/>
      <c r="K61" s="171"/>
    </row>
    <row r="62" spans="1:11" ht="12.75">
      <c r="A62" s="178">
        <v>61</v>
      </c>
      <c r="B62" s="201"/>
      <c r="C62" s="202"/>
      <c r="D62" s="194"/>
      <c r="E62" s="385"/>
      <c r="F62" s="170"/>
      <c r="G62" s="170"/>
      <c r="H62" s="170"/>
      <c r="I62" s="172"/>
      <c r="J62" s="171"/>
      <c r="K62" s="171"/>
    </row>
    <row r="63" spans="1:11" ht="12.75">
      <c r="A63" s="178">
        <v>62</v>
      </c>
      <c r="B63" s="201"/>
      <c r="C63" s="202"/>
      <c r="D63" s="201"/>
      <c r="E63" s="387"/>
      <c r="F63" s="170"/>
      <c r="G63" s="170"/>
      <c r="H63" s="197"/>
      <c r="I63" s="174"/>
      <c r="J63" s="171"/>
      <c r="K63" s="171"/>
    </row>
    <row r="64" spans="1:11" ht="12.75">
      <c r="A64" s="178">
        <v>63</v>
      </c>
      <c r="B64" s="201"/>
      <c r="C64" s="202"/>
      <c r="D64" s="201"/>
      <c r="E64" s="387"/>
      <c r="F64" s="170"/>
      <c r="G64" s="170"/>
      <c r="H64" s="197"/>
      <c r="I64" s="174"/>
      <c r="J64" s="174"/>
      <c r="K64" s="174"/>
    </row>
    <row r="65" spans="1:11" ht="12.75">
      <c r="A65" s="178">
        <v>64</v>
      </c>
      <c r="B65" s="201"/>
      <c r="C65" s="202"/>
      <c r="D65" s="201"/>
      <c r="E65" s="387"/>
      <c r="F65" s="170"/>
      <c r="G65" s="170"/>
      <c r="H65" s="170"/>
      <c r="I65" s="173"/>
      <c r="J65" s="174"/>
      <c r="K65" s="174"/>
    </row>
    <row r="66" spans="1:11" ht="12.75">
      <c r="A66" s="178">
        <v>65</v>
      </c>
      <c r="B66" s="201"/>
      <c r="C66" s="202"/>
      <c r="D66" s="201"/>
      <c r="E66" s="387"/>
      <c r="F66" s="170"/>
      <c r="G66" s="170"/>
      <c r="H66" s="170"/>
      <c r="I66" s="173"/>
      <c r="J66" s="174"/>
      <c r="K66" s="174"/>
    </row>
    <row r="67" spans="1:11" ht="12.75">
      <c r="A67" s="178">
        <v>66</v>
      </c>
      <c r="B67" s="201"/>
      <c r="C67" s="202"/>
      <c r="D67" s="201"/>
      <c r="E67" s="387"/>
      <c r="F67" s="170"/>
      <c r="G67" s="170"/>
      <c r="H67" s="170"/>
      <c r="I67" s="172"/>
      <c r="J67" s="171"/>
      <c r="K67" s="171"/>
    </row>
    <row r="68" spans="1:11" ht="12.75">
      <c r="A68" s="178">
        <v>67</v>
      </c>
      <c r="B68" s="201"/>
      <c r="C68" s="202"/>
      <c r="D68" s="201"/>
      <c r="E68" s="387"/>
      <c r="F68" s="170"/>
      <c r="G68" s="170"/>
      <c r="H68" s="170"/>
      <c r="I68" s="173"/>
      <c r="J68" s="174"/>
      <c r="K68" s="174"/>
    </row>
    <row r="69" spans="1:11" ht="12.75">
      <c r="A69" s="178">
        <v>68</v>
      </c>
      <c r="B69" s="201"/>
      <c r="C69" s="202"/>
      <c r="D69" s="201"/>
      <c r="E69" s="387"/>
      <c r="F69" s="170"/>
      <c r="G69" s="170"/>
      <c r="H69" s="170"/>
      <c r="I69" s="172"/>
      <c r="J69" s="171"/>
      <c r="K69" s="171"/>
    </row>
    <row r="70" spans="1:11" ht="12.75">
      <c r="A70" s="178">
        <v>69</v>
      </c>
      <c r="B70" s="201"/>
      <c r="C70" s="202"/>
      <c r="D70" s="201"/>
      <c r="E70" s="387"/>
      <c r="F70" s="170"/>
      <c r="G70" s="170"/>
      <c r="H70" s="197"/>
      <c r="I70" s="174"/>
      <c r="J70" s="171"/>
      <c r="K70" s="171"/>
    </row>
    <row r="71" spans="1:11" ht="12.75">
      <c r="A71" s="178">
        <v>70</v>
      </c>
      <c r="B71" s="201"/>
      <c r="C71" s="202"/>
      <c r="D71" s="201"/>
      <c r="E71" s="387"/>
      <c r="F71" s="170"/>
      <c r="G71" s="170"/>
      <c r="H71" s="197"/>
      <c r="I71" s="174"/>
      <c r="J71" s="171"/>
      <c r="K71" s="171"/>
    </row>
    <row r="72" spans="1:11" ht="12.75">
      <c r="A72" s="178">
        <v>71</v>
      </c>
      <c r="B72" s="201"/>
      <c r="C72" s="202"/>
      <c r="D72" s="201"/>
      <c r="E72" s="387"/>
      <c r="F72" s="170"/>
      <c r="G72" s="170"/>
      <c r="H72" s="170"/>
      <c r="I72" s="172"/>
      <c r="J72" s="171"/>
      <c r="K72" s="171"/>
    </row>
    <row r="73" spans="1:11" ht="12.75">
      <c r="A73" s="178">
        <v>72</v>
      </c>
      <c r="B73" s="201"/>
      <c r="C73" s="202"/>
      <c r="D73" s="201"/>
      <c r="E73" s="387"/>
      <c r="F73" s="170"/>
      <c r="G73" s="170"/>
      <c r="H73" s="170"/>
      <c r="I73" s="172"/>
      <c r="J73" s="171"/>
      <c r="K73" s="171"/>
    </row>
    <row r="74" spans="1:11" ht="12.75">
      <c r="A74" s="178">
        <v>73</v>
      </c>
      <c r="B74" s="201"/>
      <c r="C74" s="202"/>
      <c r="D74" s="201"/>
      <c r="E74" s="387"/>
      <c r="F74" s="170"/>
      <c r="G74" s="170"/>
      <c r="H74" s="170"/>
      <c r="I74" s="172"/>
      <c r="J74" s="171"/>
      <c r="K74" s="171"/>
    </row>
    <row r="75" spans="1:11" ht="12.75">
      <c r="A75" s="178">
        <v>74</v>
      </c>
      <c r="B75" s="201"/>
      <c r="C75" s="202"/>
      <c r="D75" s="201"/>
      <c r="E75" s="387"/>
      <c r="F75" s="170"/>
      <c r="G75" s="170"/>
      <c r="H75" s="170"/>
      <c r="I75" s="172"/>
      <c r="J75" s="171"/>
      <c r="K75" s="171"/>
    </row>
    <row r="76" spans="1:11" ht="12.75">
      <c r="A76" s="178">
        <v>75</v>
      </c>
      <c r="B76" s="194"/>
      <c r="C76" s="198"/>
      <c r="D76" s="201"/>
      <c r="E76" s="387"/>
      <c r="F76" s="170"/>
      <c r="G76" s="170"/>
      <c r="H76" s="170"/>
      <c r="I76" s="173"/>
      <c r="J76" s="174"/>
      <c r="K76" s="174"/>
    </row>
    <row r="77" spans="1:11" ht="12.75">
      <c r="A77" s="178">
        <v>76</v>
      </c>
      <c r="B77" s="201"/>
      <c r="C77" s="202"/>
      <c r="D77" s="201"/>
      <c r="E77" s="387"/>
      <c r="F77" s="170"/>
      <c r="G77" s="170"/>
      <c r="H77" s="170"/>
      <c r="I77" s="172"/>
      <c r="J77" s="171"/>
      <c r="K77" s="171"/>
    </row>
    <row r="78" spans="1:11" ht="12.75">
      <c r="A78" s="178">
        <v>77</v>
      </c>
      <c r="B78" s="201"/>
      <c r="C78" s="202"/>
      <c r="D78" s="201"/>
      <c r="E78" s="387"/>
      <c r="F78" s="170"/>
      <c r="G78" s="170"/>
      <c r="H78" s="197"/>
      <c r="I78" s="174"/>
      <c r="J78" s="171"/>
      <c r="K78" s="171"/>
    </row>
    <row r="79" spans="1:11" ht="12.75">
      <c r="A79" s="178">
        <v>78</v>
      </c>
      <c r="B79" s="201"/>
      <c r="C79" s="202"/>
      <c r="D79" s="201"/>
      <c r="E79" s="387"/>
      <c r="F79" s="170"/>
      <c r="G79" s="170"/>
      <c r="H79" s="170"/>
      <c r="I79" s="173"/>
      <c r="J79" s="174"/>
      <c r="K79" s="174"/>
    </row>
    <row r="80" spans="1:11" ht="12.75">
      <c r="A80" s="178">
        <v>79</v>
      </c>
      <c r="B80" s="201"/>
      <c r="C80" s="202"/>
      <c r="D80" s="201"/>
      <c r="E80" s="387"/>
      <c r="F80" s="170"/>
      <c r="G80" s="170"/>
      <c r="H80" s="197"/>
      <c r="I80" s="174"/>
      <c r="J80" s="171"/>
      <c r="K80" s="171"/>
    </row>
    <row r="81" spans="1:11" ht="12.75">
      <c r="A81" s="178">
        <v>80</v>
      </c>
      <c r="B81" s="201"/>
      <c r="C81" s="202"/>
      <c r="D81" s="201"/>
      <c r="E81" s="387"/>
      <c r="F81" s="170"/>
      <c r="G81" s="170"/>
      <c r="H81" s="170"/>
      <c r="I81" s="173"/>
      <c r="J81" s="174"/>
      <c r="K81" s="174"/>
    </row>
    <row r="82" spans="1:11" ht="12.75">
      <c r="A82" s="178">
        <v>81</v>
      </c>
      <c r="B82" s="201"/>
      <c r="C82" s="202"/>
      <c r="D82" s="201"/>
      <c r="E82" s="387"/>
      <c r="F82" s="170"/>
      <c r="G82" s="170"/>
      <c r="H82" s="197"/>
      <c r="I82" s="174"/>
      <c r="J82" s="173"/>
      <c r="K82" s="171"/>
    </row>
    <row r="83" spans="1:11" ht="12.75">
      <c r="A83" s="178">
        <v>82</v>
      </c>
      <c r="B83" s="201"/>
      <c r="C83" s="202"/>
      <c r="D83" s="201"/>
      <c r="E83" s="387"/>
      <c r="F83" s="170"/>
      <c r="G83" s="170"/>
      <c r="H83" s="197"/>
      <c r="I83" s="174"/>
      <c r="J83" s="171"/>
      <c r="K83" s="171"/>
    </row>
    <row r="84" spans="1:11" ht="12.75">
      <c r="A84" s="178">
        <v>83</v>
      </c>
      <c r="B84" s="201"/>
      <c r="C84" s="202"/>
      <c r="D84" s="201"/>
      <c r="E84" s="387"/>
      <c r="F84" s="170"/>
      <c r="G84" s="170"/>
      <c r="H84" s="197"/>
      <c r="J84" s="174"/>
      <c r="K84" s="174"/>
    </row>
    <row r="85" spans="1:11" ht="12.75">
      <c r="A85" s="178">
        <v>84</v>
      </c>
      <c r="B85" s="201"/>
      <c r="C85" s="202"/>
      <c r="D85" s="201"/>
      <c r="E85" s="387"/>
      <c r="F85" s="170"/>
      <c r="G85" s="170"/>
      <c r="H85" s="170"/>
      <c r="I85" s="172"/>
      <c r="J85" s="171"/>
      <c r="K85" s="171"/>
    </row>
    <row r="86" spans="1:11" ht="12.75">
      <c r="A86" s="178">
        <v>85</v>
      </c>
      <c r="B86" s="201"/>
      <c r="C86" s="202"/>
      <c r="D86" s="201"/>
      <c r="E86" s="387"/>
      <c r="F86" s="170"/>
      <c r="G86" s="170"/>
      <c r="H86" s="170"/>
      <c r="I86" s="172"/>
      <c r="J86" s="171"/>
      <c r="K86" s="171"/>
    </row>
    <row r="87" spans="1:11" ht="12.75">
      <c r="A87" s="178">
        <v>86</v>
      </c>
      <c r="B87" s="169"/>
      <c r="C87" s="170"/>
      <c r="D87" s="169"/>
      <c r="E87" s="169"/>
      <c r="F87" s="170"/>
      <c r="G87" s="170"/>
      <c r="H87" s="197"/>
      <c r="I87" s="174"/>
      <c r="J87" s="173"/>
      <c r="K87" s="173"/>
    </row>
    <row r="88" spans="1:11" ht="12.75">
      <c r="A88" s="178">
        <v>87</v>
      </c>
      <c r="B88" s="169"/>
      <c r="C88" s="170"/>
      <c r="D88" s="169"/>
      <c r="E88" s="169"/>
      <c r="F88" s="170"/>
      <c r="G88" s="170"/>
      <c r="H88" s="197"/>
      <c r="I88" s="174"/>
      <c r="J88" s="173"/>
      <c r="K88" s="173"/>
    </row>
    <row r="89" spans="1:11" ht="12.75">
      <c r="A89" s="168"/>
      <c r="B89" s="169"/>
      <c r="C89" s="170"/>
      <c r="D89" s="169"/>
      <c r="E89" s="169"/>
      <c r="F89" s="170"/>
      <c r="G89" s="170"/>
      <c r="H89" s="170"/>
      <c r="I89" s="171"/>
      <c r="J89" s="171"/>
      <c r="K89" s="171"/>
    </row>
    <row r="90" spans="1:11" ht="12.75">
      <c r="A90" s="168"/>
      <c r="B90" s="169"/>
      <c r="C90" s="170"/>
      <c r="D90" s="169"/>
      <c r="E90" s="169"/>
      <c r="F90" s="170"/>
      <c r="G90" s="170"/>
      <c r="H90" s="170"/>
      <c r="I90" s="171"/>
      <c r="J90" s="171"/>
      <c r="K90" s="171"/>
    </row>
    <row r="91" spans="1:11" ht="12.75">
      <c r="A91" s="168"/>
      <c r="B91" s="169"/>
      <c r="C91" s="170"/>
      <c r="D91" s="169"/>
      <c r="E91" s="169"/>
      <c r="F91" s="170"/>
      <c r="G91" s="170"/>
      <c r="H91" s="170"/>
      <c r="I91" s="172"/>
      <c r="J91" s="171"/>
      <c r="K91" s="171"/>
    </row>
    <row r="92" spans="1:11" ht="12.75">
      <c r="A92" s="168"/>
      <c r="B92" s="169"/>
      <c r="C92" s="170"/>
      <c r="D92" s="169"/>
      <c r="E92" s="169"/>
      <c r="F92" s="170"/>
      <c r="G92" s="170"/>
      <c r="H92" s="170"/>
      <c r="I92" s="172"/>
      <c r="J92" s="171"/>
      <c r="K92" s="171"/>
    </row>
    <row r="93" spans="1:11" ht="12.75">
      <c r="A93" s="168"/>
      <c r="B93" s="169"/>
      <c r="C93" s="170"/>
      <c r="D93" s="169"/>
      <c r="E93" s="169"/>
      <c r="F93" s="170"/>
      <c r="G93" s="170"/>
      <c r="H93" s="170"/>
      <c r="I93" s="172"/>
      <c r="J93" s="171"/>
      <c r="K93" s="171"/>
    </row>
    <row r="94" spans="1:11" ht="12.75">
      <c r="A94" s="168"/>
      <c r="B94" s="169"/>
      <c r="C94" s="170"/>
      <c r="D94" s="169"/>
      <c r="E94" s="169"/>
      <c r="F94" s="170"/>
      <c r="G94" s="170"/>
      <c r="H94" s="170"/>
      <c r="I94" s="172"/>
      <c r="J94" s="171"/>
      <c r="K94" s="171"/>
    </row>
    <row r="95" spans="1:11" ht="12.75">
      <c r="A95" s="168"/>
      <c r="B95" s="169"/>
      <c r="C95" s="170"/>
      <c r="D95" s="169"/>
      <c r="E95" s="169"/>
      <c r="F95" s="170"/>
      <c r="G95" s="170"/>
      <c r="H95" s="170"/>
      <c r="I95" s="172"/>
      <c r="J95" s="171"/>
      <c r="K95" s="171"/>
    </row>
    <row r="96" spans="1:11" ht="12.75">
      <c r="A96" s="168"/>
      <c r="B96" s="169"/>
      <c r="C96" s="170"/>
      <c r="D96" s="169"/>
      <c r="E96" s="169"/>
      <c r="F96" s="170"/>
      <c r="G96" s="170"/>
      <c r="H96" s="170"/>
      <c r="I96" s="172"/>
      <c r="J96" s="171"/>
      <c r="K96" s="171"/>
    </row>
    <row r="97" spans="1:11" ht="12.75">
      <c r="A97" s="168"/>
      <c r="B97" s="169"/>
      <c r="C97" s="170"/>
      <c r="D97" s="169"/>
      <c r="E97" s="169"/>
      <c r="F97" s="170"/>
      <c r="G97" s="170"/>
      <c r="H97" s="170"/>
      <c r="I97" s="172"/>
      <c r="J97" s="171"/>
      <c r="K97" s="171"/>
    </row>
    <row r="98" spans="1:11" ht="12.75">
      <c r="A98" s="168"/>
      <c r="B98" s="169"/>
      <c r="C98" s="170"/>
      <c r="D98" s="169"/>
      <c r="E98" s="169"/>
      <c r="F98" s="170"/>
      <c r="G98" s="170"/>
      <c r="H98" s="170"/>
      <c r="I98" s="172"/>
      <c r="J98" s="171"/>
      <c r="K98" s="171"/>
    </row>
    <row r="99" spans="1:11" ht="12.75">
      <c r="A99" s="168"/>
      <c r="B99" s="169"/>
      <c r="C99" s="170"/>
      <c r="D99" s="169"/>
      <c r="E99" s="169"/>
      <c r="F99" s="170"/>
      <c r="G99" s="170"/>
      <c r="H99" s="170"/>
      <c r="I99" s="172"/>
      <c r="J99" s="171"/>
      <c r="K99" s="171"/>
    </row>
    <row r="100" spans="1:11" ht="12.75">
      <c r="A100" s="168"/>
      <c r="B100" s="169"/>
      <c r="C100" s="170"/>
      <c r="D100" s="169"/>
      <c r="E100" s="169"/>
      <c r="F100" s="170"/>
      <c r="G100" s="170"/>
      <c r="H100" s="170"/>
      <c r="I100" s="172"/>
      <c r="J100" s="171"/>
      <c r="K100" s="171"/>
    </row>
    <row r="101" spans="1:11" ht="12.75">
      <c r="A101" s="168"/>
      <c r="B101" s="169"/>
      <c r="C101" s="170"/>
      <c r="D101" s="169"/>
      <c r="E101" s="169"/>
      <c r="F101" s="170"/>
      <c r="G101" s="170"/>
      <c r="H101" s="170"/>
      <c r="I101" s="173"/>
      <c r="J101" s="174"/>
      <c r="K101" s="174"/>
    </row>
    <row r="102" spans="1:11" ht="12.75">
      <c r="A102" s="168"/>
      <c r="B102" s="169"/>
      <c r="C102" s="170"/>
      <c r="D102" s="169"/>
      <c r="E102" s="169"/>
      <c r="F102" s="170"/>
      <c r="G102" s="170"/>
      <c r="H102" s="170"/>
      <c r="I102" s="172"/>
      <c r="J102" s="174"/>
      <c r="K102" s="174"/>
    </row>
    <row r="103" spans="1:11" ht="12.75">
      <c r="A103" s="168"/>
      <c r="B103" s="169"/>
      <c r="C103" s="170"/>
      <c r="D103" s="169"/>
      <c r="E103" s="169"/>
      <c r="F103" s="170"/>
      <c r="G103" s="170"/>
      <c r="H103" s="170"/>
      <c r="I103" s="172"/>
      <c r="J103" s="171"/>
      <c r="K103" s="171"/>
    </row>
    <row r="104" spans="1:11" ht="12.75">
      <c r="A104" s="168"/>
      <c r="B104" s="169"/>
      <c r="C104" s="170"/>
      <c r="D104" s="169"/>
      <c r="E104" s="169"/>
      <c r="F104" s="170"/>
      <c r="G104" s="170"/>
      <c r="H104" s="170"/>
      <c r="I104" s="173"/>
      <c r="J104" s="174"/>
      <c r="K104" s="174"/>
    </row>
    <row r="105" spans="1:11" ht="12.75">
      <c r="A105" s="168"/>
      <c r="B105" s="169"/>
      <c r="C105" s="170"/>
      <c r="D105" s="169"/>
      <c r="E105" s="169"/>
      <c r="F105" s="170"/>
      <c r="G105" s="170"/>
      <c r="H105" s="170"/>
      <c r="I105" s="172"/>
      <c r="J105" s="171"/>
      <c r="K105" s="171"/>
    </row>
    <row r="106" spans="1:11" ht="12.75">
      <c r="A106" s="168"/>
      <c r="B106" s="169"/>
      <c r="C106" s="170"/>
      <c r="D106" s="169"/>
      <c r="E106" s="169"/>
      <c r="F106" s="170"/>
      <c r="G106" s="170"/>
      <c r="H106" s="170"/>
      <c r="I106" s="173"/>
      <c r="J106" s="174"/>
      <c r="K106" s="174"/>
    </row>
    <row r="107" spans="1:11" ht="12.75">
      <c r="A107" s="168"/>
      <c r="B107" s="169"/>
      <c r="C107" s="170"/>
      <c r="D107" s="169"/>
      <c r="E107" s="169"/>
      <c r="F107" s="170"/>
      <c r="G107" s="170"/>
      <c r="H107" s="170"/>
      <c r="I107" s="172"/>
      <c r="J107" s="171"/>
      <c r="K107" s="171"/>
    </row>
    <row r="108" spans="1:11" ht="12.75">
      <c r="A108" s="168"/>
      <c r="B108" s="169"/>
      <c r="C108" s="170"/>
      <c r="D108" s="169"/>
      <c r="E108" s="169"/>
      <c r="F108" s="170"/>
      <c r="G108" s="170"/>
      <c r="H108" s="170"/>
      <c r="I108" s="172"/>
      <c r="J108" s="171"/>
      <c r="K108" s="171"/>
    </row>
    <row r="109" spans="1:11" ht="12.75">
      <c r="A109" s="168"/>
      <c r="B109" s="169"/>
      <c r="C109" s="170"/>
      <c r="D109" s="169"/>
      <c r="E109" s="169"/>
      <c r="F109" s="170"/>
      <c r="G109" s="170"/>
      <c r="H109" s="170"/>
      <c r="I109" s="172"/>
      <c r="J109" s="171"/>
      <c r="K109" s="171"/>
    </row>
    <row r="110" spans="1:11" ht="12.75">
      <c r="A110" s="168"/>
      <c r="B110" s="169"/>
      <c r="C110" s="170"/>
      <c r="D110" s="169"/>
      <c r="E110" s="169"/>
      <c r="F110" s="170"/>
      <c r="G110" s="170"/>
      <c r="H110" s="170"/>
      <c r="I110" s="172"/>
      <c r="J110" s="171"/>
      <c r="K110" s="171"/>
    </row>
    <row r="111" spans="1:11" ht="12.75">
      <c r="A111" s="168"/>
      <c r="B111" s="169"/>
      <c r="C111" s="170"/>
      <c r="D111" s="169"/>
      <c r="E111" s="169"/>
      <c r="F111" s="170"/>
      <c r="G111" s="170"/>
      <c r="H111" s="170"/>
      <c r="I111" s="172"/>
      <c r="J111" s="171"/>
      <c r="K111" s="171"/>
    </row>
    <row r="112" spans="1:11" ht="12.75">
      <c r="A112" s="168"/>
      <c r="B112" s="169"/>
      <c r="C112" s="170"/>
      <c r="D112" s="169"/>
      <c r="E112" s="169"/>
      <c r="F112" s="170"/>
      <c r="G112" s="170"/>
      <c r="H112" s="170"/>
      <c r="I112" s="172"/>
      <c r="J112" s="171"/>
      <c r="K112" s="171"/>
    </row>
    <row r="113" spans="1:11" ht="12.75">
      <c r="A113" s="168"/>
      <c r="B113" s="169"/>
      <c r="C113" s="170"/>
      <c r="D113" s="169"/>
      <c r="E113" s="169"/>
      <c r="F113" s="170"/>
      <c r="G113" s="170"/>
      <c r="H113" s="170"/>
      <c r="I113" s="172"/>
      <c r="J113" s="171"/>
      <c r="K113" s="171"/>
    </row>
    <row r="114" spans="1:11" ht="12.75">
      <c r="A114" s="168"/>
      <c r="B114" s="169"/>
      <c r="C114" s="170"/>
      <c r="D114" s="169"/>
      <c r="E114" s="169"/>
      <c r="F114" s="170"/>
      <c r="G114" s="170"/>
      <c r="H114" s="170"/>
      <c r="I114" s="172"/>
      <c r="J114" s="171"/>
      <c r="K114" s="171"/>
    </row>
    <row r="115" spans="1:11" ht="12.75">
      <c r="A115" s="168"/>
      <c r="B115" s="169"/>
      <c r="C115" s="170"/>
      <c r="D115" s="169"/>
      <c r="E115" s="169"/>
      <c r="F115" s="170"/>
      <c r="G115" s="170"/>
      <c r="H115" s="170"/>
      <c r="I115" s="172"/>
      <c r="J115" s="171"/>
      <c r="K115" s="171"/>
    </row>
    <row r="116" spans="1:11" ht="12.75">
      <c r="A116" s="168"/>
      <c r="B116" s="169"/>
      <c r="C116" s="170"/>
      <c r="D116" s="169"/>
      <c r="E116" s="169"/>
      <c r="F116" s="170"/>
      <c r="G116" s="170"/>
      <c r="H116" s="170"/>
      <c r="I116" s="172"/>
      <c r="J116" s="171"/>
      <c r="K116" s="171"/>
    </row>
    <row r="117" spans="1:11" ht="12.75">
      <c r="A117" s="168"/>
      <c r="B117" s="169"/>
      <c r="C117" s="170"/>
      <c r="D117" s="169"/>
      <c r="E117" s="169"/>
      <c r="F117" s="170"/>
      <c r="G117" s="170"/>
      <c r="H117" s="170"/>
      <c r="I117" s="172"/>
      <c r="J117" s="171"/>
      <c r="K117" s="171"/>
    </row>
    <row r="118" spans="1:11" ht="12.75">
      <c r="A118" s="168"/>
      <c r="B118" s="169"/>
      <c r="C118" s="170"/>
      <c r="D118" s="169"/>
      <c r="E118" s="169"/>
      <c r="F118" s="170"/>
      <c r="G118" s="170"/>
      <c r="H118" s="170"/>
      <c r="I118" s="171"/>
      <c r="J118" s="171"/>
      <c r="K118" s="171"/>
    </row>
    <row r="119" spans="1:11" ht="12.75">
      <c r="A119" s="168" t="e">
        <f t="shared" ref="A119:A986" si="0">IF(#REF!="","",A118+1)</f>
        <v>#REF!</v>
      </c>
      <c r="B119" s="175"/>
      <c r="C119" s="176"/>
      <c r="D119" s="175"/>
      <c r="E119" s="169"/>
      <c r="F119" s="170"/>
      <c r="G119" s="170"/>
      <c r="H119" s="170"/>
      <c r="I119" s="171"/>
      <c r="J119" s="171"/>
      <c r="K119" s="171"/>
    </row>
    <row r="120" spans="1:11" ht="12.75">
      <c r="A120" s="168" t="e">
        <f t="shared" si="0"/>
        <v>#REF!</v>
      </c>
      <c r="B120" s="175"/>
      <c r="C120" s="176"/>
      <c r="D120" s="175"/>
      <c r="E120" s="169"/>
      <c r="F120" s="170"/>
      <c r="G120" s="170"/>
      <c r="H120" s="170"/>
      <c r="I120" s="171"/>
      <c r="J120" s="171"/>
      <c r="K120" s="171"/>
    </row>
    <row r="121" spans="1:11" ht="12.75">
      <c r="A121" s="168" t="e">
        <f t="shared" si="0"/>
        <v>#REF!</v>
      </c>
      <c r="B121" s="175"/>
      <c r="C121" s="176"/>
      <c r="D121" s="175"/>
      <c r="E121" s="169"/>
      <c r="F121" s="170"/>
      <c r="G121" s="170"/>
      <c r="H121" s="170"/>
      <c r="I121" s="171"/>
      <c r="J121" s="171"/>
      <c r="K121" s="171"/>
    </row>
    <row r="122" spans="1:11" ht="12.75">
      <c r="A122" s="168" t="e">
        <f t="shared" si="0"/>
        <v>#REF!</v>
      </c>
      <c r="B122" s="175"/>
      <c r="C122" s="176"/>
      <c r="D122" s="175"/>
      <c r="E122" s="169"/>
      <c r="F122" s="170"/>
      <c r="G122" s="170"/>
      <c r="H122" s="170"/>
      <c r="I122" s="171"/>
      <c r="J122" s="171"/>
      <c r="K122" s="171"/>
    </row>
    <row r="123" spans="1:11" ht="12.75">
      <c r="A123" s="168" t="e">
        <f t="shared" si="0"/>
        <v>#REF!</v>
      </c>
      <c r="B123" s="175"/>
      <c r="C123" s="176"/>
      <c r="D123" s="175"/>
      <c r="E123" s="169"/>
      <c r="F123" s="170"/>
      <c r="G123" s="170"/>
      <c r="H123" s="170"/>
      <c r="I123" s="171"/>
      <c r="J123" s="171"/>
      <c r="K123" s="171"/>
    </row>
    <row r="124" spans="1:11" ht="12.75">
      <c r="A124" s="168" t="e">
        <f t="shared" si="0"/>
        <v>#REF!</v>
      </c>
      <c r="B124" s="175"/>
      <c r="C124" s="176"/>
      <c r="D124" s="175"/>
      <c r="E124" s="169"/>
      <c r="F124" s="170"/>
      <c r="G124" s="170"/>
      <c r="H124" s="170"/>
      <c r="I124" s="171"/>
      <c r="J124" s="171"/>
      <c r="K124" s="171"/>
    </row>
    <row r="125" spans="1:11" ht="12.75">
      <c r="A125" s="168" t="e">
        <f t="shared" si="0"/>
        <v>#REF!</v>
      </c>
      <c r="B125" s="175"/>
      <c r="C125" s="176"/>
      <c r="D125" s="175"/>
      <c r="E125" s="169"/>
      <c r="F125" s="170"/>
      <c r="G125" s="170"/>
      <c r="H125" s="170"/>
      <c r="I125" s="171"/>
      <c r="J125" s="171"/>
      <c r="K125" s="171"/>
    </row>
    <row r="126" spans="1:11" ht="12.75">
      <c r="A126" s="168" t="e">
        <f t="shared" si="0"/>
        <v>#REF!</v>
      </c>
      <c r="B126" s="175"/>
      <c r="C126" s="176"/>
      <c r="D126" s="175"/>
      <c r="E126" s="169"/>
      <c r="F126" s="170"/>
      <c r="G126" s="170"/>
      <c r="H126" s="170"/>
      <c r="I126" s="171"/>
      <c r="J126" s="171"/>
      <c r="K126" s="171"/>
    </row>
    <row r="127" spans="1:11" ht="12.75">
      <c r="A127" s="168" t="e">
        <f t="shared" si="0"/>
        <v>#REF!</v>
      </c>
      <c r="B127" s="175"/>
      <c r="C127" s="176"/>
      <c r="D127" s="175"/>
      <c r="E127" s="169"/>
      <c r="F127" s="170"/>
      <c r="G127" s="170"/>
      <c r="H127" s="170"/>
      <c r="I127" s="171"/>
      <c r="J127" s="171"/>
      <c r="K127" s="171"/>
    </row>
    <row r="128" spans="1:11" ht="12.75">
      <c r="A128" s="168" t="e">
        <f t="shared" si="0"/>
        <v>#REF!</v>
      </c>
      <c r="B128" s="175"/>
      <c r="C128" s="176"/>
      <c r="D128" s="175"/>
      <c r="E128" s="169"/>
      <c r="F128" s="170"/>
      <c r="G128" s="170"/>
      <c r="H128" s="170"/>
      <c r="I128" s="171"/>
      <c r="J128" s="171"/>
      <c r="K128" s="171"/>
    </row>
    <row r="129" spans="1:11" ht="12.75">
      <c r="A129" s="168" t="e">
        <f t="shared" si="0"/>
        <v>#REF!</v>
      </c>
      <c r="B129" s="175"/>
      <c r="C129" s="176"/>
      <c r="D129" s="175"/>
      <c r="E129" s="169"/>
      <c r="F129" s="170"/>
      <c r="G129" s="170"/>
      <c r="H129" s="170"/>
      <c r="I129" s="171"/>
      <c r="J129" s="171"/>
      <c r="K129" s="171"/>
    </row>
    <row r="130" spans="1:11" ht="12.75">
      <c r="A130" s="168" t="e">
        <f t="shared" si="0"/>
        <v>#REF!</v>
      </c>
      <c r="B130" s="175"/>
      <c r="C130" s="176"/>
      <c r="D130" s="175"/>
      <c r="E130" s="169"/>
      <c r="F130" s="170"/>
      <c r="G130" s="170"/>
      <c r="H130" s="170"/>
      <c r="I130" s="171"/>
      <c r="J130" s="171"/>
      <c r="K130" s="171"/>
    </row>
    <row r="131" spans="1:11" ht="12.75">
      <c r="A131" s="168" t="e">
        <f t="shared" si="0"/>
        <v>#REF!</v>
      </c>
      <c r="B131" s="175"/>
      <c r="C131" s="176"/>
      <c r="D131" s="175"/>
      <c r="E131" s="169"/>
      <c r="F131" s="170"/>
      <c r="G131" s="170"/>
      <c r="H131" s="170"/>
      <c r="I131" s="171"/>
      <c r="J131" s="171"/>
      <c r="K131" s="171"/>
    </row>
    <row r="132" spans="1:11" ht="12.75">
      <c r="A132" s="168" t="e">
        <f t="shared" si="0"/>
        <v>#REF!</v>
      </c>
      <c r="B132" s="175"/>
      <c r="C132" s="176"/>
      <c r="D132" s="175"/>
      <c r="E132" s="169"/>
      <c r="F132" s="170"/>
      <c r="G132" s="170"/>
      <c r="H132" s="170"/>
      <c r="I132" s="171"/>
      <c r="J132" s="171"/>
      <c r="K132" s="171"/>
    </row>
    <row r="133" spans="1:11" ht="12.75">
      <c r="A133" s="168" t="e">
        <f t="shared" si="0"/>
        <v>#REF!</v>
      </c>
      <c r="B133" s="175"/>
      <c r="C133" s="176"/>
      <c r="D133" s="175"/>
      <c r="E133" s="169"/>
      <c r="F133" s="170"/>
      <c r="G133" s="170"/>
      <c r="H133" s="170"/>
      <c r="I133" s="171"/>
      <c r="J133" s="171"/>
      <c r="K133" s="171"/>
    </row>
    <row r="134" spans="1:11" ht="12.75">
      <c r="A134" s="168" t="e">
        <f t="shared" si="0"/>
        <v>#REF!</v>
      </c>
      <c r="B134" s="175"/>
      <c r="C134" s="176"/>
      <c r="D134" s="175"/>
      <c r="E134" s="169"/>
      <c r="F134" s="170"/>
      <c r="G134" s="170"/>
      <c r="H134" s="170"/>
      <c r="I134" s="171"/>
      <c r="J134" s="171"/>
      <c r="K134" s="171"/>
    </row>
    <row r="135" spans="1:11" ht="12.75">
      <c r="A135" s="168" t="e">
        <f t="shared" si="0"/>
        <v>#REF!</v>
      </c>
      <c r="B135" s="175"/>
      <c r="C135" s="176"/>
      <c r="D135" s="175"/>
      <c r="E135" s="169"/>
      <c r="F135" s="170"/>
      <c r="G135" s="170"/>
      <c r="H135" s="170"/>
      <c r="I135" s="171"/>
      <c r="J135" s="171"/>
      <c r="K135" s="171"/>
    </row>
    <row r="136" spans="1:11" ht="12.75">
      <c r="A136" s="168" t="e">
        <f t="shared" si="0"/>
        <v>#REF!</v>
      </c>
      <c r="B136" s="175"/>
      <c r="C136" s="176"/>
      <c r="D136" s="175"/>
      <c r="E136" s="169"/>
      <c r="F136" s="170"/>
      <c r="G136" s="170"/>
      <c r="H136" s="170"/>
      <c r="I136" s="171"/>
      <c r="J136" s="171"/>
      <c r="K136" s="171"/>
    </row>
    <row r="137" spans="1:11" ht="12.75">
      <c r="A137" s="168" t="e">
        <f t="shared" si="0"/>
        <v>#REF!</v>
      </c>
      <c r="B137" s="175"/>
      <c r="C137" s="176"/>
      <c r="D137" s="175"/>
      <c r="E137" s="169"/>
      <c r="F137" s="170"/>
      <c r="G137" s="170"/>
      <c r="H137" s="170"/>
      <c r="I137" s="171"/>
      <c r="J137" s="171"/>
      <c r="K137" s="171"/>
    </row>
    <row r="138" spans="1:11" ht="12.75">
      <c r="A138" s="168" t="e">
        <f t="shared" si="0"/>
        <v>#REF!</v>
      </c>
      <c r="B138" s="175"/>
      <c r="C138" s="176"/>
      <c r="D138" s="175"/>
      <c r="E138" s="169"/>
      <c r="F138" s="170"/>
      <c r="G138" s="170"/>
      <c r="H138" s="170"/>
      <c r="I138" s="171"/>
      <c r="J138" s="171"/>
      <c r="K138" s="171"/>
    </row>
    <row r="139" spans="1:11" ht="12.75">
      <c r="A139" s="168" t="e">
        <f t="shared" si="0"/>
        <v>#REF!</v>
      </c>
      <c r="B139" s="175"/>
      <c r="C139" s="176"/>
      <c r="D139" s="175"/>
      <c r="E139" s="169"/>
      <c r="F139" s="170"/>
      <c r="G139" s="170"/>
      <c r="H139" s="170"/>
      <c r="I139" s="171"/>
      <c r="J139" s="171"/>
      <c r="K139" s="171"/>
    </row>
    <row r="140" spans="1:11" ht="12.75">
      <c r="A140" s="168" t="e">
        <f t="shared" si="0"/>
        <v>#REF!</v>
      </c>
      <c r="B140" s="175"/>
      <c r="C140" s="176"/>
      <c r="D140" s="175"/>
      <c r="E140" s="169"/>
      <c r="F140" s="170"/>
      <c r="G140" s="170"/>
      <c r="H140" s="170"/>
      <c r="I140" s="171"/>
      <c r="J140" s="171"/>
      <c r="K140" s="171"/>
    </row>
    <row r="141" spans="1:11" ht="12.75">
      <c r="A141" s="168" t="e">
        <f t="shared" si="0"/>
        <v>#REF!</v>
      </c>
      <c r="B141" s="175"/>
      <c r="C141" s="176"/>
      <c r="D141" s="175"/>
      <c r="E141" s="169"/>
      <c r="F141" s="170"/>
      <c r="G141" s="170"/>
      <c r="H141" s="170"/>
      <c r="I141" s="171"/>
      <c r="J141" s="171"/>
      <c r="K141" s="171"/>
    </row>
    <row r="142" spans="1:11" ht="12.75">
      <c r="A142" s="168" t="e">
        <f t="shared" si="0"/>
        <v>#REF!</v>
      </c>
      <c r="B142" s="175"/>
      <c r="C142" s="176"/>
      <c r="D142" s="175"/>
      <c r="E142" s="169"/>
      <c r="F142" s="170"/>
      <c r="G142" s="170"/>
      <c r="H142" s="170"/>
      <c r="I142" s="171"/>
      <c r="J142" s="171"/>
      <c r="K142" s="171"/>
    </row>
    <row r="143" spans="1:11" ht="12.75">
      <c r="A143" s="168" t="e">
        <f t="shared" si="0"/>
        <v>#REF!</v>
      </c>
      <c r="B143" s="175"/>
      <c r="C143" s="176"/>
      <c r="D143" s="175"/>
      <c r="E143" s="169"/>
      <c r="F143" s="170"/>
      <c r="G143" s="170"/>
      <c r="H143" s="170"/>
      <c r="I143" s="171"/>
      <c r="J143" s="171"/>
      <c r="K143" s="171"/>
    </row>
    <row r="144" spans="1:11" ht="12.75">
      <c r="A144" s="168" t="e">
        <f t="shared" si="0"/>
        <v>#REF!</v>
      </c>
      <c r="B144" s="175"/>
      <c r="C144" s="176"/>
      <c r="D144" s="175"/>
      <c r="E144" s="169"/>
      <c r="F144" s="170"/>
      <c r="G144" s="170"/>
      <c r="H144" s="170"/>
      <c r="I144" s="171"/>
      <c r="J144" s="171"/>
      <c r="K144" s="171"/>
    </row>
    <row r="145" spans="1:11" ht="12.75">
      <c r="A145" s="168" t="e">
        <f t="shared" si="0"/>
        <v>#REF!</v>
      </c>
      <c r="B145" s="175"/>
      <c r="C145" s="176"/>
      <c r="D145" s="175"/>
      <c r="E145" s="169"/>
      <c r="F145" s="170"/>
      <c r="G145" s="170"/>
      <c r="H145" s="170"/>
      <c r="I145" s="171"/>
      <c r="J145" s="171"/>
      <c r="K145" s="171"/>
    </row>
    <row r="146" spans="1:11" ht="12.75">
      <c r="A146" s="168" t="e">
        <f t="shared" si="0"/>
        <v>#REF!</v>
      </c>
      <c r="B146" s="175"/>
      <c r="C146" s="176"/>
      <c r="D146" s="175"/>
      <c r="E146" s="169"/>
      <c r="F146" s="170"/>
      <c r="G146" s="170"/>
      <c r="H146" s="170"/>
      <c r="I146" s="171"/>
      <c r="J146" s="171"/>
      <c r="K146" s="171"/>
    </row>
    <row r="147" spans="1:11" ht="12.75">
      <c r="A147" s="168" t="e">
        <f t="shared" si="0"/>
        <v>#REF!</v>
      </c>
      <c r="B147" s="175"/>
      <c r="C147" s="176"/>
      <c r="D147" s="175"/>
      <c r="E147" s="169"/>
      <c r="F147" s="170"/>
      <c r="G147" s="170"/>
      <c r="H147" s="170"/>
      <c r="I147" s="171"/>
      <c r="J147" s="171"/>
      <c r="K147" s="171"/>
    </row>
    <row r="148" spans="1:11" ht="12.75">
      <c r="A148" s="168" t="e">
        <f t="shared" si="0"/>
        <v>#REF!</v>
      </c>
      <c r="B148" s="175"/>
      <c r="C148" s="176"/>
      <c r="D148" s="175"/>
      <c r="E148" s="169"/>
      <c r="F148" s="170"/>
      <c r="G148" s="170"/>
      <c r="H148" s="170"/>
      <c r="I148" s="171"/>
      <c r="J148" s="171"/>
      <c r="K148" s="171"/>
    </row>
    <row r="149" spans="1:11" ht="12.75">
      <c r="A149" s="168" t="e">
        <f t="shared" si="0"/>
        <v>#REF!</v>
      </c>
      <c r="B149" s="175"/>
      <c r="C149" s="176"/>
      <c r="D149" s="175"/>
      <c r="E149" s="169"/>
      <c r="F149" s="170"/>
      <c r="G149" s="170"/>
      <c r="H149" s="170"/>
      <c r="I149" s="171"/>
      <c r="J149" s="171"/>
      <c r="K149" s="171"/>
    </row>
    <row r="150" spans="1:11" ht="12.75">
      <c r="A150" s="168" t="e">
        <f t="shared" si="0"/>
        <v>#REF!</v>
      </c>
      <c r="B150" s="175"/>
      <c r="C150" s="176"/>
      <c r="D150" s="175"/>
      <c r="E150" s="169"/>
      <c r="F150" s="170"/>
      <c r="G150" s="170"/>
      <c r="H150" s="170"/>
      <c r="I150" s="171"/>
      <c r="J150" s="171"/>
      <c r="K150" s="171"/>
    </row>
    <row r="151" spans="1:11" ht="12.75">
      <c r="A151" s="168" t="e">
        <f t="shared" si="0"/>
        <v>#REF!</v>
      </c>
      <c r="B151" s="175"/>
      <c r="C151" s="176"/>
      <c r="D151" s="175"/>
      <c r="E151" s="169"/>
      <c r="F151" s="170"/>
      <c r="G151" s="170"/>
      <c r="H151" s="170"/>
      <c r="I151" s="171"/>
      <c r="J151" s="171"/>
      <c r="K151" s="171"/>
    </row>
    <row r="152" spans="1:11" ht="12.75">
      <c r="A152" s="168" t="e">
        <f t="shared" si="0"/>
        <v>#REF!</v>
      </c>
      <c r="B152" s="175"/>
      <c r="C152" s="176"/>
      <c r="D152" s="175"/>
      <c r="E152" s="169"/>
      <c r="F152" s="170"/>
      <c r="G152" s="170"/>
      <c r="H152" s="170"/>
      <c r="I152" s="171"/>
      <c r="J152" s="171"/>
      <c r="K152" s="171"/>
    </row>
    <row r="153" spans="1:11" ht="12.75">
      <c r="A153" s="168" t="e">
        <f t="shared" si="0"/>
        <v>#REF!</v>
      </c>
      <c r="B153" s="175"/>
      <c r="C153" s="176"/>
      <c r="D153" s="175"/>
      <c r="E153" s="169"/>
      <c r="F153" s="170"/>
      <c r="G153" s="170"/>
      <c r="H153" s="170"/>
      <c r="I153" s="171"/>
      <c r="J153" s="171"/>
      <c r="K153" s="171"/>
    </row>
    <row r="154" spans="1:11" ht="12.75">
      <c r="A154" s="168" t="e">
        <f t="shared" si="0"/>
        <v>#REF!</v>
      </c>
      <c r="B154" s="175"/>
      <c r="C154" s="176"/>
      <c r="D154" s="175"/>
      <c r="E154" s="169"/>
      <c r="F154" s="170"/>
      <c r="G154" s="170"/>
      <c r="H154" s="170"/>
      <c r="I154" s="171"/>
      <c r="J154" s="171"/>
      <c r="K154" s="171"/>
    </row>
    <row r="155" spans="1:11" ht="12.75">
      <c r="A155" s="168" t="e">
        <f t="shared" si="0"/>
        <v>#REF!</v>
      </c>
      <c r="B155" s="175"/>
      <c r="C155" s="176"/>
      <c r="D155" s="175"/>
      <c r="E155" s="169"/>
      <c r="F155" s="170"/>
      <c r="G155" s="170"/>
      <c r="H155" s="170"/>
      <c r="I155" s="171"/>
      <c r="J155" s="171"/>
      <c r="K155" s="171"/>
    </row>
    <row r="156" spans="1:11" ht="12.75">
      <c r="A156" s="168" t="e">
        <f t="shared" si="0"/>
        <v>#REF!</v>
      </c>
      <c r="B156" s="175"/>
      <c r="C156" s="176"/>
      <c r="D156" s="175"/>
      <c r="E156" s="169"/>
      <c r="F156" s="170"/>
      <c r="G156" s="170"/>
      <c r="H156" s="170"/>
      <c r="I156" s="171"/>
      <c r="J156" s="171"/>
      <c r="K156" s="171"/>
    </row>
    <row r="157" spans="1:11" ht="12.75">
      <c r="A157" s="168" t="e">
        <f t="shared" si="0"/>
        <v>#REF!</v>
      </c>
      <c r="B157" s="175"/>
      <c r="C157" s="176"/>
      <c r="D157" s="175"/>
      <c r="E157" s="169"/>
      <c r="F157" s="170"/>
      <c r="G157" s="170"/>
      <c r="H157" s="170"/>
      <c r="I157" s="171"/>
      <c r="J157" s="171"/>
      <c r="K157" s="171"/>
    </row>
    <row r="158" spans="1:11" ht="12.75">
      <c r="A158" s="168" t="e">
        <f t="shared" si="0"/>
        <v>#REF!</v>
      </c>
      <c r="B158" s="175"/>
      <c r="C158" s="176"/>
      <c r="D158" s="175"/>
      <c r="E158" s="169"/>
      <c r="F158" s="170"/>
      <c r="G158" s="170"/>
      <c r="H158" s="170"/>
      <c r="I158" s="171"/>
      <c r="J158" s="171"/>
      <c r="K158" s="171"/>
    </row>
    <row r="159" spans="1:11" ht="12.75">
      <c r="A159" s="168" t="e">
        <f t="shared" si="0"/>
        <v>#REF!</v>
      </c>
      <c r="B159" s="175"/>
      <c r="C159" s="176"/>
      <c r="D159" s="175"/>
      <c r="E159" s="169"/>
      <c r="F159" s="170"/>
      <c r="G159" s="170"/>
      <c r="H159" s="170"/>
      <c r="I159" s="171"/>
      <c r="J159" s="171"/>
      <c r="K159" s="171"/>
    </row>
    <row r="160" spans="1:11" ht="12.75">
      <c r="A160" s="168" t="e">
        <f t="shared" si="0"/>
        <v>#REF!</v>
      </c>
      <c r="B160" s="175"/>
      <c r="C160" s="176"/>
      <c r="D160" s="175"/>
      <c r="E160" s="169"/>
      <c r="F160" s="170"/>
      <c r="G160" s="170"/>
      <c r="H160" s="170"/>
      <c r="I160" s="171"/>
      <c r="J160" s="171"/>
      <c r="K160" s="171"/>
    </row>
    <row r="161" spans="1:11" ht="12.75">
      <c r="A161" s="168" t="e">
        <f t="shared" si="0"/>
        <v>#REF!</v>
      </c>
      <c r="B161" s="175"/>
      <c r="C161" s="176"/>
      <c r="D161" s="175"/>
      <c r="E161" s="169"/>
      <c r="F161" s="170"/>
      <c r="G161" s="170"/>
      <c r="H161" s="170"/>
      <c r="I161" s="171"/>
      <c r="J161" s="171"/>
      <c r="K161" s="171"/>
    </row>
    <row r="162" spans="1:11" ht="12.75">
      <c r="A162" s="168" t="e">
        <f t="shared" si="0"/>
        <v>#REF!</v>
      </c>
      <c r="B162" s="175"/>
      <c r="C162" s="176"/>
      <c r="D162" s="175"/>
      <c r="E162" s="169"/>
      <c r="F162" s="170"/>
      <c r="G162" s="170"/>
      <c r="H162" s="170"/>
      <c r="I162" s="171"/>
      <c r="J162" s="171"/>
      <c r="K162" s="171"/>
    </row>
    <row r="163" spans="1:11" ht="12.75">
      <c r="A163" s="168" t="e">
        <f t="shared" si="0"/>
        <v>#REF!</v>
      </c>
      <c r="B163" s="175"/>
      <c r="C163" s="176"/>
      <c r="D163" s="175"/>
      <c r="E163" s="169"/>
      <c r="F163" s="170"/>
      <c r="G163" s="170"/>
      <c r="H163" s="170"/>
      <c r="I163" s="171"/>
      <c r="J163" s="171"/>
      <c r="K163" s="171"/>
    </row>
    <row r="164" spans="1:11" ht="12.75">
      <c r="A164" s="168" t="e">
        <f t="shared" si="0"/>
        <v>#REF!</v>
      </c>
      <c r="B164" s="175"/>
      <c r="C164" s="176"/>
      <c r="D164" s="175"/>
      <c r="E164" s="169"/>
      <c r="F164" s="170"/>
      <c r="G164" s="170"/>
      <c r="H164" s="170"/>
      <c r="I164" s="171"/>
      <c r="J164" s="171"/>
      <c r="K164" s="171"/>
    </row>
    <row r="165" spans="1:11" ht="12.75">
      <c r="A165" s="168" t="e">
        <f t="shared" si="0"/>
        <v>#REF!</v>
      </c>
      <c r="B165" s="175"/>
      <c r="C165" s="176"/>
      <c r="D165" s="175"/>
      <c r="E165" s="169"/>
      <c r="F165" s="170"/>
      <c r="G165" s="170"/>
      <c r="H165" s="170"/>
      <c r="I165" s="171"/>
      <c r="J165" s="171"/>
      <c r="K165" s="171"/>
    </row>
    <row r="166" spans="1:11" ht="12.75">
      <c r="A166" s="168" t="e">
        <f t="shared" si="0"/>
        <v>#REF!</v>
      </c>
      <c r="B166" s="175"/>
      <c r="C166" s="176"/>
      <c r="D166" s="175"/>
      <c r="E166" s="169"/>
      <c r="F166" s="170"/>
      <c r="G166" s="170"/>
      <c r="H166" s="170"/>
      <c r="I166" s="171"/>
      <c r="J166" s="171"/>
      <c r="K166" s="171"/>
    </row>
    <row r="167" spans="1:11" ht="12.75">
      <c r="A167" s="168" t="e">
        <f t="shared" si="0"/>
        <v>#REF!</v>
      </c>
      <c r="B167" s="175"/>
      <c r="C167" s="176"/>
      <c r="D167" s="175"/>
      <c r="E167" s="169"/>
      <c r="F167" s="170"/>
      <c r="G167" s="170"/>
      <c r="H167" s="170"/>
      <c r="I167" s="171"/>
      <c r="J167" s="171"/>
      <c r="K167" s="171"/>
    </row>
    <row r="168" spans="1:11" ht="12.75">
      <c r="A168" s="168" t="e">
        <f t="shared" si="0"/>
        <v>#REF!</v>
      </c>
      <c r="B168" s="175"/>
      <c r="C168" s="176"/>
      <c r="D168" s="175"/>
      <c r="E168" s="169"/>
      <c r="F168" s="170"/>
      <c r="G168" s="170"/>
      <c r="H168" s="170"/>
      <c r="I168" s="171"/>
      <c r="J168" s="171"/>
      <c r="K168" s="171"/>
    </row>
    <row r="169" spans="1:11" ht="12.75">
      <c r="A169" s="168" t="e">
        <f t="shared" si="0"/>
        <v>#REF!</v>
      </c>
      <c r="B169" s="175"/>
      <c r="C169" s="176"/>
      <c r="D169" s="175"/>
      <c r="E169" s="169"/>
      <c r="F169" s="170"/>
      <c r="G169" s="170"/>
      <c r="H169" s="170"/>
      <c r="I169" s="171"/>
      <c r="J169" s="171"/>
      <c r="K169" s="171"/>
    </row>
    <row r="170" spans="1:11" ht="12.75">
      <c r="A170" s="168" t="e">
        <f t="shared" si="0"/>
        <v>#REF!</v>
      </c>
      <c r="B170" s="175"/>
      <c r="C170" s="176"/>
      <c r="D170" s="175"/>
      <c r="E170" s="169"/>
      <c r="F170" s="170"/>
      <c r="G170" s="170"/>
      <c r="H170" s="170"/>
      <c r="I170" s="171"/>
      <c r="J170" s="171"/>
      <c r="K170" s="171"/>
    </row>
    <row r="171" spans="1:11" ht="12.75">
      <c r="A171" s="168" t="e">
        <f t="shared" si="0"/>
        <v>#REF!</v>
      </c>
      <c r="B171" s="175"/>
      <c r="C171" s="176"/>
      <c r="D171" s="175"/>
      <c r="E171" s="169"/>
      <c r="F171" s="170"/>
      <c r="G171" s="170"/>
      <c r="H171" s="170"/>
      <c r="I171" s="171"/>
      <c r="J171" s="171"/>
      <c r="K171" s="171"/>
    </row>
    <row r="172" spans="1:11" ht="12.75">
      <c r="A172" s="168" t="e">
        <f t="shared" si="0"/>
        <v>#REF!</v>
      </c>
      <c r="B172" s="175"/>
      <c r="C172" s="176"/>
      <c r="D172" s="175"/>
      <c r="E172" s="169"/>
      <c r="F172" s="170"/>
      <c r="G172" s="170"/>
      <c r="H172" s="170"/>
      <c r="I172" s="171"/>
      <c r="J172" s="171"/>
      <c r="K172" s="171"/>
    </row>
    <row r="173" spans="1:11" ht="12.75">
      <c r="A173" s="168" t="e">
        <f t="shared" si="0"/>
        <v>#REF!</v>
      </c>
      <c r="B173" s="175"/>
      <c r="C173" s="176"/>
      <c r="D173" s="175"/>
      <c r="E173" s="169"/>
      <c r="F173" s="170"/>
      <c r="G173" s="170"/>
      <c r="H173" s="170"/>
      <c r="I173" s="171"/>
      <c r="J173" s="171"/>
      <c r="K173" s="171"/>
    </row>
    <row r="174" spans="1:11" ht="12.75">
      <c r="A174" s="168" t="e">
        <f t="shared" si="0"/>
        <v>#REF!</v>
      </c>
      <c r="B174" s="175"/>
      <c r="C174" s="176"/>
      <c r="D174" s="175"/>
      <c r="E174" s="169"/>
      <c r="F174" s="170"/>
      <c r="G174" s="170"/>
      <c r="H174" s="170"/>
      <c r="I174" s="171"/>
      <c r="J174" s="171"/>
      <c r="K174" s="171"/>
    </row>
    <row r="175" spans="1:11" ht="12.75">
      <c r="A175" s="168" t="e">
        <f t="shared" si="0"/>
        <v>#REF!</v>
      </c>
      <c r="B175" s="175"/>
      <c r="C175" s="176"/>
      <c r="D175" s="175"/>
      <c r="E175" s="169"/>
      <c r="F175" s="170"/>
      <c r="G175" s="170"/>
      <c r="H175" s="170"/>
      <c r="I175" s="171"/>
      <c r="J175" s="171"/>
      <c r="K175" s="171"/>
    </row>
    <row r="176" spans="1:11" ht="12.75">
      <c r="A176" s="168" t="e">
        <f t="shared" si="0"/>
        <v>#REF!</v>
      </c>
      <c r="B176" s="175"/>
      <c r="C176" s="176"/>
      <c r="D176" s="175"/>
      <c r="E176" s="169"/>
      <c r="F176" s="170"/>
      <c r="G176" s="170"/>
      <c r="H176" s="170"/>
      <c r="I176" s="171"/>
      <c r="J176" s="171"/>
      <c r="K176" s="171"/>
    </row>
    <row r="177" spans="1:11" ht="12.75">
      <c r="A177" s="168" t="e">
        <f t="shared" si="0"/>
        <v>#REF!</v>
      </c>
      <c r="B177" s="175"/>
      <c r="C177" s="176"/>
      <c r="D177" s="175"/>
      <c r="E177" s="169"/>
      <c r="F177" s="170"/>
      <c r="G177" s="170"/>
      <c r="H177" s="170"/>
      <c r="I177" s="171"/>
      <c r="J177" s="171"/>
      <c r="K177" s="171"/>
    </row>
    <row r="178" spans="1:11" ht="12.75">
      <c r="A178" s="168" t="e">
        <f t="shared" si="0"/>
        <v>#REF!</v>
      </c>
      <c r="B178" s="175"/>
      <c r="C178" s="176"/>
      <c r="D178" s="175"/>
      <c r="E178" s="169"/>
      <c r="F178" s="170"/>
      <c r="G178" s="170"/>
      <c r="H178" s="170"/>
      <c r="I178" s="171"/>
      <c r="J178" s="171"/>
      <c r="K178" s="171"/>
    </row>
    <row r="179" spans="1:11" ht="12.75">
      <c r="A179" s="168" t="e">
        <f t="shared" si="0"/>
        <v>#REF!</v>
      </c>
      <c r="B179" s="175"/>
      <c r="C179" s="176"/>
      <c r="D179" s="175"/>
      <c r="E179" s="169"/>
      <c r="F179" s="170"/>
      <c r="G179" s="170"/>
      <c r="H179" s="170"/>
      <c r="I179" s="171"/>
      <c r="J179" s="171"/>
      <c r="K179" s="171"/>
    </row>
    <row r="180" spans="1:11" ht="12.75">
      <c r="A180" s="168" t="e">
        <f t="shared" si="0"/>
        <v>#REF!</v>
      </c>
      <c r="B180" s="175"/>
      <c r="C180" s="176"/>
      <c r="D180" s="175"/>
      <c r="E180" s="169"/>
      <c r="F180" s="170"/>
      <c r="G180" s="170"/>
      <c r="H180" s="170"/>
      <c r="I180" s="171"/>
      <c r="J180" s="171"/>
      <c r="K180" s="171"/>
    </row>
    <row r="181" spans="1:11" ht="12.75">
      <c r="A181" s="168" t="e">
        <f t="shared" si="0"/>
        <v>#REF!</v>
      </c>
      <c r="B181" s="175"/>
      <c r="C181" s="176"/>
      <c r="D181" s="175"/>
      <c r="E181" s="169"/>
      <c r="F181" s="170"/>
      <c r="G181" s="170"/>
      <c r="H181" s="170"/>
      <c r="I181" s="171"/>
      <c r="J181" s="171"/>
      <c r="K181" s="171"/>
    </row>
    <row r="182" spans="1:11" ht="12.75">
      <c r="A182" s="168" t="e">
        <f t="shared" si="0"/>
        <v>#REF!</v>
      </c>
      <c r="B182" s="175"/>
      <c r="C182" s="176"/>
      <c r="D182" s="175"/>
      <c r="E182" s="169"/>
      <c r="F182" s="170"/>
      <c r="G182" s="170"/>
      <c r="H182" s="170"/>
      <c r="I182" s="171"/>
      <c r="J182" s="171"/>
      <c r="K182" s="171"/>
    </row>
    <row r="183" spans="1:11" ht="12.75">
      <c r="A183" s="168" t="e">
        <f t="shared" si="0"/>
        <v>#REF!</v>
      </c>
      <c r="B183" s="175"/>
      <c r="C183" s="176"/>
      <c r="D183" s="175"/>
      <c r="E183" s="169"/>
      <c r="F183" s="170"/>
      <c r="G183" s="170"/>
      <c r="H183" s="170"/>
      <c r="I183" s="171"/>
      <c r="J183" s="171"/>
      <c r="K183" s="171"/>
    </row>
    <row r="184" spans="1:11" ht="12.75">
      <c r="A184" s="168" t="e">
        <f t="shared" si="0"/>
        <v>#REF!</v>
      </c>
      <c r="B184" s="175"/>
      <c r="C184" s="176"/>
      <c r="D184" s="175"/>
      <c r="E184" s="169"/>
      <c r="F184" s="170"/>
      <c r="G184" s="170"/>
      <c r="H184" s="170"/>
      <c r="I184" s="171"/>
      <c r="J184" s="171"/>
      <c r="K184" s="171"/>
    </row>
    <row r="185" spans="1:11" ht="12.75">
      <c r="A185" s="168" t="e">
        <f t="shared" si="0"/>
        <v>#REF!</v>
      </c>
      <c r="B185" s="175"/>
      <c r="C185" s="176"/>
      <c r="D185" s="175"/>
      <c r="E185" s="169"/>
      <c r="F185" s="170"/>
      <c r="G185" s="170"/>
      <c r="H185" s="170"/>
      <c r="I185" s="171"/>
      <c r="J185" s="171"/>
      <c r="K185" s="171"/>
    </row>
    <row r="186" spans="1:11" ht="12.75">
      <c r="A186" s="168" t="e">
        <f t="shared" si="0"/>
        <v>#REF!</v>
      </c>
      <c r="B186" s="175"/>
      <c r="C186" s="176"/>
      <c r="D186" s="175"/>
      <c r="E186" s="169"/>
      <c r="F186" s="170"/>
      <c r="G186" s="170"/>
      <c r="H186" s="170"/>
      <c r="I186" s="171"/>
      <c r="J186" s="171"/>
      <c r="K186" s="171"/>
    </row>
    <row r="187" spans="1:11" ht="12.75">
      <c r="A187" s="168" t="e">
        <f t="shared" si="0"/>
        <v>#REF!</v>
      </c>
      <c r="B187" s="175"/>
      <c r="C187" s="176"/>
      <c r="D187" s="175"/>
      <c r="E187" s="169"/>
      <c r="F187" s="170"/>
      <c r="G187" s="170"/>
      <c r="H187" s="170"/>
      <c r="I187" s="171"/>
      <c r="J187" s="171"/>
      <c r="K187" s="171"/>
    </row>
    <row r="188" spans="1:11" ht="12.75">
      <c r="A188" s="168" t="e">
        <f t="shared" si="0"/>
        <v>#REF!</v>
      </c>
      <c r="B188" s="175"/>
      <c r="C188" s="176"/>
      <c r="D188" s="175"/>
      <c r="E188" s="169"/>
      <c r="F188" s="170"/>
      <c r="G188" s="170"/>
      <c r="H188" s="170"/>
      <c r="I188" s="171"/>
      <c r="J188" s="171"/>
      <c r="K188" s="171"/>
    </row>
    <row r="189" spans="1:11" ht="12.75">
      <c r="A189" s="168" t="e">
        <f t="shared" si="0"/>
        <v>#REF!</v>
      </c>
      <c r="B189" s="175"/>
      <c r="C189" s="176"/>
      <c r="D189" s="175"/>
      <c r="E189" s="169"/>
      <c r="F189" s="170"/>
      <c r="G189" s="170"/>
      <c r="H189" s="170"/>
      <c r="I189" s="171"/>
      <c r="J189" s="171"/>
      <c r="K189" s="171"/>
    </row>
    <row r="190" spans="1:11" ht="12.75">
      <c r="A190" s="168" t="e">
        <f t="shared" si="0"/>
        <v>#REF!</v>
      </c>
      <c r="B190" s="175"/>
      <c r="C190" s="176"/>
      <c r="D190" s="175"/>
      <c r="E190" s="169"/>
      <c r="F190" s="170"/>
      <c r="G190" s="170"/>
      <c r="H190" s="170"/>
      <c r="I190" s="171"/>
      <c r="J190" s="171"/>
      <c r="K190" s="171"/>
    </row>
    <row r="191" spans="1:11" ht="12.75">
      <c r="A191" s="168" t="e">
        <f t="shared" si="0"/>
        <v>#REF!</v>
      </c>
      <c r="B191" s="175"/>
      <c r="C191" s="176"/>
      <c r="D191" s="175"/>
      <c r="E191" s="169"/>
      <c r="F191" s="170"/>
      <c r="G191" s="170"/>
      <c r="H191" s="170"/>
      <c r="I191" s="171"/>
      <c r="J191" s="171"/>
      <c r="K191" s="171"/>
    </row>
    <row r="192" spans="1:11" ht="12.75">
      <c r="A192" s="168" t="e">
        <f t="shared" si="0"/>
        <v>#REF!</v>
      </c>
      <c r="B192" s="175"/>
      <c r="C192" s="176"/>
      <c r="D192" s="175"/>
      <c r="E192" s="169"/>
      <c r="F192" s="170"/>
      <c r="G192" s="170"/>
      <c r="H192" s="170"/>
      <c r="I192" s="171"/>
      <c r="J192" s="171"/>
      <c r="K192" s="171"/>
    </row>
    <row r="193" spans="1:11" ht="12.75">
      <c r="A193" s="168" t="e">
        <f t="shared" si="0"/>
        <v>#REF!</v>
      </c>
      <c r="B193" s="175"/>
      <c r="C193" s="176"/>
      <c r="D193" s="175"/>
      <c r="E193" s="169"/>
      <c r="F193" s="170"/>
      <c r="G193" s="170"/>
      <c r="H193" s="170"/>
      <c r="I193" s="171"/>
      <c r="J193" s="171"/>
      <c r="K193" s="171"/>
    </row>
    <row r="194" spans="1:11" ht="12.75">
      <c r="A194" s="168" t="e">
        <f t="shared" si="0"/>
        <v>#REF!</v>
      </c>
      <c r="B194" s="175"/>
      <c r="C194" s="176"/>
      <c r="D194" s="175"/>
      <c r="E194" s="169"/>
      <c r="F194" s="170"/>
      <c r="G194" s="170"/>
      <c r="H194" s="170"/>
      <c r="I194" s="171"/>
      <c r="J194" s="171"/>
      <c r="K194" s="171"/>
    </row>
    <row r="195" spans="1:11" ht="12.75">
      <c r="A195" s="168" t="e">
        <f t="shared" si="0"/>
        <v>#REF!</v>
      </c>
      <c r="B195" s="175"/>
      <c r="C195" s="176"/>
      <c r="D195" s="175"/>
      <c r="E195" s="169"/>
      <c r="F195" s="170"/>
      <c r="G195" s="170"/>
      <c r="H195" s="170"/>
      <c r="I195" s="171"/>
      <c r="J195" s="171"/>
      <c r="K195" s="171"/>
    </row>
    <row r="196" spans="1:11" ht="12.75">
      <c r="A196" s="168" t="e">
        <f t="shared" si="0"/>
        <v>#REF!</v>
      </c>
      <c r="B196" s="175"/>
      <c r="C196" s="176"/>
      <c r="D196" s="175"/>
      <c r="E196" s="169"/>
      <c r="F196" s="170"/>
      <c r="G196" s="170"/>
      <c r="H196" s="170"/>
      <c r="I196" s="171"/>
      <c r="J196" s="171"/>
      <c r="K196" s="171"/>
    </row>
    <row r="197" spans="1:11" ht="12.75">
      <c r="A197" s="168" t="e">
        <f t="shared" si="0"/>
        <v>#REF!</v>
      </c>
      <c r="B197" s="175"/>
      <c r="C197" s="176"/>
      <c r="D197" s="175"/>
      <c r="E197" s="169"/>
      <c r="F197" s="170"/>
      <c r="G197" s="170"/>
      <c r="H197" s="170"/>
      <c r="I197" s="171"/>
      <c r="J197" s="171"/>
      <c r="K197" s="171"/>
    </row>
    <row r="198" spans="1:11" ht="12.75">
      <c r="A198" s="168" t="e">
        <f t="shared" si="0"/>
        <v>#REF!</v>
      </c>
      <c r="B198" s="175"/>
      <c r="C198" s="176"/>
      <c r="D198" s="175"/>
      <c r="E198" s="169"/>
      <c r="F198" s="170"/>
      <c r="G198" s="170"/>
      <c r="H198" s="170"/>
      <c r="I198" s="171"/>
      <c r="J198" s="171"/>
      <c r="K198" s="171"/>
    </row>
    <row r="199" spans="1:11" ht="12.75">
      <c r="A199" s="168" t="e">
        <f t="shared" si="0"/>
        <v>#REF!</v>
      </c>
      <c r="B199" s="175"/>
      <c r="C199" s="176"/>
      <c r="D199" s="175"/>
      <c r="E199" s="169"/>
      <c r="F199" s="170"/>
      <c r="G199" s="170"/>
      <c r="H199" s="170"/>
      <c r="I199" s="171"/>
      <c r="J199" s="171"/>
      <c r="K199" s="171"/>
    </row>
    <row r="200" spans="1:11" ht="12.75">
      <c r="A200" s="168" t="e">
        <f t="shared" si="0"/>
        <v>#REF!</v>
      </c>
      <c r="B200" s="175"/>
      <c r="C200" s="176"/>
      <c r="D200" s="175"/>
      <c r="E200" s="169"/>
      <c r="F200" s="170"/>
      <c r="G200" s="170"/>
      <c r="H200" s="170"/>
      <c r="I200" s="171"/>
      <c r="J200" s="171"/>
      <c r="K200" s="171"/>
    </row>
    <row r="201" spans="1:11" ht="12.75">
      <c r="A201" s="168" t="e">
        <f t="shared" si="0"/>
        <v>#REF!</v>
      </c>
      <c r="B201" s="175"/>
      <c r="C201" s="176"/>
      <c r="D201" s="175"/>
      <c r="E201" s="169"/>
      <c r="F201" s="170"/>
      <c r="G201" s="170"/>
      <c r="H201" s="170"/>
      <c r="I201" s="171"/>
      <c r="J201" s="171"/>
      <c r="K201" s="171"/>
    </row>
    <row r="202" spans="1:11" ht="12.75">
      <c r="A202" s="168" t="e">
        <f t="shared" si="0"/>
        <v>#REF!</v>
      </c>
      <c r="B202" s="175"/>
      <c r="C202" s="176"/>
      <c r="D202" s="175"/>
      <c r="E202" s="169"/>
      <c r="F202" s="170"/>
      <c r="G202" s="170"/>
      <c r="H202" s="170"/>
      <c r="I202" s="171"/>
      <c r="J202" s="171"/>
      <c r="K202" s="171"/>
    </row>
    <row r="203" spans="1:11" ht="12.75">
      <c r="A203" s="168" t="e">
        <f t="shared" si="0"/>
        <v>#REF!</v>
      </c>
      <c r="B203" s="175"/>
      <c r="C203" s="176"/>
      <c r="D203" s="175"/>
      <c r="E203" s="169"/>
      <c r="F203" s="170"/>
      <c r="G203" s="170"/>
      <c r="H203" s="170"/>
      <c r="I203" s="171"/>
      <c r="J203" s="171"/>
      <c r="K203" s="171"/>
    </row>
    <row r="204" spans="1:11" ht="12.75">
      <c r="A204" s="168" t="e">
        <f t="shared" si="0"/>
        <v>#REF!</v>
      </c>
      <c r="B204" s="175"/>
      <c r="C204" s="176"/>
      <c r="D204" s="175"/>
      <c r="E204" s="169"/>
      <c r="F204" s="170"/>
      <c r="G204" s="170"/>
      <c r="H204" s="170"/>
      <c r="I204" s="171"/>
      <c r="J204" s="171"/>
      <c r="K204" s="171"/>
    </row>
    <row r="205" spans="1:11" ht="12.75">
      <c r="A205" s="168" t="e">
        <f t="shared" si="0"/>
        <v>#REF!</v>
      </c>
      <c r="B205" s="175"/>
      <c r="C205" s="176"/>
      <c r="D205" s="175"/>
      <c r="E205" s="169"/>
      <c r="F205" s="170"/>
      <c r="G205" s="170"/>
      <c r="H205" s="170"/>
      <c r="I205" s="171"/>
      <c r="J205" s="171"/>
      <c r="K205" s="171"/>
    </row>
    <row r="206" spans="1:11" ht="12.75">
      <c r="A206" s="168" t="e">
        <f t="shared" si="0"/>
        <v>#REF!</v>
      </c>
      <c r="B206" s="175"/>
      <c r="C206" s="176"/>
      <c r="D206" s="175"/>
      <c r="E206" s="169"/>
      <c r="F206" s="170"/>
      <c r="G206" s="170"/>
      <c r="H206" s="170"/>
      <c r="I206" s="171"/>
      <c r="J206" s="171"/>
      <c r="K206" s="171"/>
    </row>
    <row r="207" spans="1:11" ht="12.75">
      <c r="A207" s="168" t="e">
        <f t="shared" si="0"/>
        <v>#REF!</v>
      </c>
      <c r="B207" s="175"/>
      <c r="C207" s="176"/>
      <c r="D207" s="175"/>
      <c r="E207" s="169"/>
      <c r="F207" s="170"/>
      <c r="G207" s="170"/>
      <c r="H207" s="170"/>
      <c r="I207" s="171"/>
      <c r="J207" s="171"/>
      <c r="K207" s="171"/>
    </row>
    <row r="208" spans="1:11" ht="12.75">
      <c r="A208" s="168" t="e">
        <f t="shared" si="0"/>
        <v>#REF!</v>
      </c>
      <c r="B208" s="175"/>
      <c r="C208" s="176"/>
      <c r="D208" s="175"/>
      <c r="E208" s="169"/>
      <c r="F208" s="170"/>
      <c r="G208" s="170"/>
      <c r="H208" s="170"/>
      <c r="I208" s="171"/>
      <c r="J208" s="171"/>
      <c r="K208" s="171"/>
    </row>
    <row r="209" spans="1:11" ht="12.75">
      <c r="A209" s="168" t="e">
        <f t="shared" si="0"/>
        <v>#REF!</v>
      </c>
      <c r="B209" s="175"/>
      <c r="C209" s="176"/>
      <c r="D209" s="175"/>
      <c r="E209" s="169"/>
      <c r="F209" s="170"/>
      <c r="G209" s="170"/>
      <c r="H209" s="170"/>
      <c r="I209" s="171"/>
      <c r="J209" s="171"/>
      <c r="K209" s="171"/>
    </row>
    <row r="210" spans="1:11" ht="12.75">
      <c r="A210" s="168" t="e">
        <f t="shared" si="0"/>
        <v>#REF!</v>
      </c>
      <c r="B210" s="175"/>
      <c r="C210" s="176"/>
      <c r="D210" s="175"/>
      <c r="E210" s="169"/>
      <c r="F210" s="170"/>
      <c r="G210" s="170"/>
      <c r="H210" s="170"/>
      <c r="I210" s="171"/>
      <c r="J210" s="171"/>
      <c r="K210" s="171"/>
    </row>
    <row r="211" spans="1:11" ht="12.75">
      <c r="A211" s="168" t="e">
        <f t="shared" si="0"/>
        <v>#REF!</v>
      </c>
      <c r="B211" s="175"/>
      <c r="C211" s="176"/>
      <c r="D211" s="175"/>
      <c r="E211" s="169"/>
      <c r="F211" s="170"/>
      <c r="G211" s="170"/>
      <c r="H211" s="170"/>
      <c r="I211" s="171"/>
      <c r="J211" s="171"/>
      <c r="K211" s="171"/>
    </row>
    <row r="212" spans="1:11" ht="12.75">
      <c r="A212" s="168" t="e">
        <f t="shared" si="0"/>
        <v>#REF!</v>
      </c>
      <c r="B212" s="175"/>
      <c r="C212" s="176"/>
      <c r="D212" s="175"/>
      <c r="E212" s="169"/>
      <c r="F212" s="170"/>
      <c r="G212" s="170"/>
      <c r="H212" s="170"/>
      <c r="I212" s="171"/>
      <c r="J212" s="171"/>
      <c r="K212" s="171"/>
    </row>
    <row r="213" spans="1:11" ht="12.75">
      <c r="A213" s="168" t="e">
        <f t="shared" si="0"/>
        <v>#REF!</v>
      </c>
      <c r="B213" s="175"/>
      <c r="C213" s="176"/>
      <c r="D213" s="175"/>
      <c r="E213" s="169"/>
      <c r="F213" s="170"/>
      <c r="G213" s="170"/>
      <c r="H213" s="170"/>
      <c r="I213" s="171"/>
      <c r="J213" s="171"/>
      <c r="K213" s="171"/>
    </row>
    <row r="214" spans="1:11" ht="12.75">
      <c r="A214" s="168" t="e">
        <f t="shared" si="0"/>
        <v>#REF!</v>
      </c>
      <c r="B214" s="175"/>
      <c r="C214" s="176"/>
      <c r="D214" s="175"/>
      <c r="E214" s="169"/>
      <c r="F214" s="170"/>
      <c r="G214" s="170"/>
      <c r="H214" s="170"/>
      <c r="I214" s="171"/>
      <c r="J214" s="171"/>
      <c r="K214" s="171"/>
    </row>
    <row r="215" spans="1:11" ht="12.75">
      <c r="A215" s="168" t="e">
        <f t="shared" si="0"/>
        <v>#REF!</v>
      </c>
      <c r="B215" s="175"/>
      <c r="C215" s="176"/>
      <c r="D215" s="175"/>
      <c r="E215" s="169"/>
      <c r="F215" s="170"/>
      <c r="G215" s="170"/>
      <c r="H215" s="170"/>
      <c r="I215" s="171"/>
      <c r="J215" s="171"/>
      <c r="K215" s="171"/>
    </row>
    <row r="216" spans="1:11" ht="12.75">
      <c r="A216" s="168" t="e">
        <f t="shared" si="0"/>
        <v>#REF!</v>
      </c>
      <c r="B216" s="175"/>
      <c r="C216" s="176"/>
      <c r="D216" s="175"/>
      <c r="E216" s="169"/>
      <c r="F216" s="170"/>
      <c r="G216" s="170"/>
      <c r="H216" s="170"/>
      <c r="I216" s="171"/>
      <c r="J216" s="171"/>
      <c r="K216" s="171"/>
    </row>
    <row r="217" spans="1:11" ht="12.75">
      <c r="A217" s="168" t="e">
        <f t="shared" si="0"/>
        <v>#REF!</v>
      </c>
      <c r="B217" s="175"/>
      <c r="C217" s="176"/>
      <c r="D217" s="175"/>
      <c r="E217" s="169"/>
      <c r="F217" s="170"/>
      <c r="G217" s="170"/>
      <c r="H217" s="170"/>
      <c r="I217" s="171"/>
      <c r="J217" s="171"/>
      <c r="K217" s="171"/>
    </row>
    <row r="218" spans="1:11" ht="12.75">
      <c r="A218" s="168" t="e">
        <f t="shared" si="0"/>
        <v>#REF!</v>
      </c>
      <c r="B218" s="175"/>
      <c r="C218" s="176"/>
      <c r="D218" s="175"/>
      <c r="E218" s="169"/>
      <c r="F218" s="170"/>
      <c r="G218" s="170"/>
      <c r="H218" s="170"/>
      <c r="I218" s="171"/>
      <c r="J218" s="171"/>
      <c r="K218" s="171"/>
    </row>
    <row r="219" spans="1:11" ht="12.75">
      <c r="A219" s="168" t="e">
        <f t="shared" si="0"/>
        <v>#REF!</v>
      </c>
      <c r="B219" s="175"/>
      <c r="C219" s="176"/>
      <c r="D219" s="175"/>
      <c r="E219" s="169"/>
      <c r="F219" s="170"/>
      <c r="G219" s="170"/>
      <c r="H219" s="170"/>
      <c r="I219" s="171"/>
      <c r="J219" s="171"/>
      <c r="K219" s="171"/>
    </row>
    <row r="220" spans="1:11" ht="12.75">
      <c r="A220" s="168" t="e">
        <f t="shared" si="0"/>
        <v>#REF!</v>
      </c>
      <c r="B220" s="175"/>
      <c r="C220" s="176"/>
      <c r="D220" s="175"/>
      <c r="E220" s="169"/>
      <c r="F220" s="170"/>
      <c r="G220" s="170"/>
      <c r="H220" s="170"/>
      <c r="I220" s="171"/>
      <c r="J220" s="171"/>
      <c r="K220" s="171"/>
    </row>
    <row r="221" spans="1:11" ht="12.75">
      <c r="A221" s="168" t="e">
        <f t="shared" si="0"/>
        <v>#REF!</v>
      </c>
      <c r="B221" s="175"/>
      <c r="C221" s="176"/>
      <c r="D221" s="175"/>
      <c r="E221" s="169"/>
      <c r="F221" s="170"/>
      <c r="G221" s="170"/>
      <c r="H221" s="170"/>
      <c r="I221" s="171"/>
      <c r="J221" s="171"/>
      <c r="K221" s="171"/>
    </row>
    <row r="222" spans="1:11" ht="12.75">
      <c r="A222" s="168" t="e">
        <f t="shared" si="0"/>
        <v>#REF!</v>
      </c>
      <c r="B222" s="175"/>
      <c r="C222" s="176"/>
      <c r="D222" s="175"/>
      <c r="E222" s="169"/>
      <c r="F222" s="170"/>
      <c r="G222" s="170"/>
      <c r="H222" s="170"/>
      <c r="I222" s="171"/>
      <c r="J222" s="171"/>
      <c r="K222" s="171"/>
    </row>
    <row r="223" spans="1:11" ht="12.75">
      <c r="A223" s="168" t="e">
        <f t="shared" si="0"/>
        <v>#REF!</v>
      </c>
      <c r="B223" s="175"/>
      <c r="C223" s="176"/>
      <c r="D223" s="175"/>
      <c r="E223" s="169"/>
      <c r="F223" s="170"/>
      <c r="G223" s="170"/>
      <c r="H223" s="170"/>
      <c r="I223" s="171"/>
      <c r="J223" s="171"/>
      <c r="K223" s="171"/>
    </row>
    <row r="224" spans="1:11" ht="12.75">
      <c r="A224" s="168" t="e">
        <f t="shared" si="0"/>
        <v>#REF!</v>
      </c>
      <c r="B224" s="175"/>
      <c r="C224" s="176"/>
      <c r="D224" s="175"/>
      <c r="E224" s="169"/>
      <c r="F224" s="170"/>
      <c r="G224" s="170"/>
      <c r="H224" s="170"/>
      <c r="I224" s="171"/>
      <c r="J224" s="171"/>
      <c r="K224" s="171"/>
    </row>
    <row r="225" spans="1:11" ht="12.75">
      <c r="A225" s="168" t="e">
        <f t="shared" si="0"/>
        <v>#REF!</v>
      </c>
      <c r="B225" s="175"/>
      <c r="C225" s="176"/>
      <c r="D225" s="175"/>
      <c r="E225" s="169"/>
      <c r="F225" s="170"/>
      <c r="G225" s="170"/>
      <c r="H225" s="170"/>
      <c r="I225" s="171"/>
      <c r="J225" s="171"/>
      <c r="K225" s="171"/>
    </row>
    <row r="226" spans="1:11" ht="12.75">
      <c r="A226" s="168" t="e">
        <f t="shared" si="0"/>
        <v>#REF!</v>
      </c>
      <c r="B226" s="175"/>
      <c r="C226" s="176"/>
      <c r="D226" s="175"/>
      <c r="E226" s="169"/>
      <c r="F226" s="170"/>
      <c r="G226" s="170"/>
      <c r="H226" s="170"/>
      <c r="I226" s="171"/>
      <c r="J226" s="171"/>
      <c r="K226" s="171"/>
    </row>
    <row r="227" spans="1:11" ht="12.75">
      <c r="A227" s="168" t="e">
        <f t="shared" si="0"/>
        <v>#REF!</v>
      </c>
      <c r="B227" s="175"/>
      <c r="C227" s="176"/>
      <c r="D227" s="175"/>
      <c r="E227" s="169"/>
      <c r="F227" s="170"/>
      <c r="G227" s="170"/>
      <c r="H227" s="170"/>
      <c r="I227" s="171"/>
      <c r="J227" s="171"/>
      <c r="K227" s="171"/>
    </row>
    <row r="228" spans="1:11" ht="12.75">
      <c r="A228" s="168" t="e">
        <f t="shared" si="0"/>
        <v>#REF!</v>
      </c>
      <c r="B228" s="175"/>
      <c r="C228" s="176"/>
      <c r="D228" s="175"/>
      <c r="E228" s="169"/>
      <c r="F228" s="170"/>
      <c r="G228" s="170"/>
      <c r="H228" s="170"/>
      <c r="I228" s="171"/>
      <c r="J228" s="171"/>
      <c r="K228" s="171"/>
    </row>
    <row r="229" spans="1:11" ht="12.75">
      <c r="A229" s="168" t="e">
        <f t="shared" si="0"/>
        <v>#REF!</v>
      </c>
      <c r="B229" s="175"/>
      <c r="C229" s="176"/>
      <c r="D229" s="175"/>
      <c r="E229" s="169"/>
      <c r="F229" s="170"/>
      <c r="G229" s="170"/>
      <c r="H229" s="170"/>
      <c r="I229" s="171"/>
      <c r="J229" s="171"/>
      <c r="K229" s="171"/>
    </row>
    <row r="230" spans="1:11" ht="12.75">
      <c r="A230" s="168" t="e">
        <f t="shared" si="0"/>
        <v>#REF!</v>
      </c>
      <c r="B230" s="175"/>
      <c r="C230" s="176"/>
      <c r="D230" s="175"/>
      <c r="E230" s="169"/>
      <c r="F230" s="170"/>
      <c r="G230" s="170"/>
      <c r="H230" s="170"/>
      <c r="I230" s="171"/>
      <c r="J230" s="171"/>
      <c r="K230" s="171"/>
    </row>
    <row r="231" spans="1:11" ht="12.75">
      <c r="A231" s="168" t="e">
        <f t="shared" si="0"/>
        <v>#REF!</v>
      </c>
      <c r="B231" s="175"/>
      <c r="C231" s="176"/>
      <c r="D231" s="175"/>
      <c r="E231" s="169"/>
      <c r="F231" s="170"/>
      <c r="G231" s="170"/>
      <c r="H231" s="170"/>
      <c r="I231" s="171"/>
      <c r="J231" s="171"/>
      <c r="K231" s="171"/>
    </row>
    <row r="232" spans="1:11" ht="12.75">
      <c r="A232" s="168" t="e">
        <f t="shared" si="0"/>
        <v>#REF!</v>
      </c>
      <c r="B232" s="175"/>
      <c r="C232" s="176"/>
      <c r="D232" s="175"/>
      <c r="E232" s="169"/>
      <c r="F232" s="170"/>
      <c r="G232" s="170"/>
      <c r="H232" s="170"/>
      <c r="I232" s="171"/>
      <c r="J232" s="171"/>
      <c r="K232" s="171"/>
    </row>
    <row r="233" spans="1:11" ht="12.75">
      <c r="A233" s="168" t="e">
        <f t="shared" si="0"/>
        <v>#REF!</v>
      </c>
      <c r="B233" s="175"/>
      <c r="C233" s="176"/>
      <c r="D233" s="175"/>
      <c r="E233" s="169"/>
      <c r="F233" s="170"/>
      <c r="G233" s="170"/>
      <c r="H233" s="170"/>
      <c r="I233" s="171"/>
      <c r="J233" s="171"/>
      <c r="K233" s="171"/>
    </row>
    <row r="234" spans="1:11" ht="12.75">
      <c r="A234" s="168" t="e">
        <f t="shared" si="0"/>
        <v>#REF!</v>
      </c>
      <c r="B234" s="175"/>
      <c r="C234" s="176"/>
      <c r="D234" s="175"/>
      <c r="E234" s="169"/>
      <c r="F234" s="170"/>
      <c r="G234" s="170"/>
      <c r="H234" s="170"/>
      <c r="I234" s="171"/>
      <c r="J234" s="171"/>
      <c r="K234" s="171"/>
    </row>
    <row r="235" spans="1:11" ht="12.75">
      <c r="A235" s="168" t="e">
        <f t="shared" si="0"/>
        <v>#REF!</v>
      </c>
      <c r="B235" s="175"/>
      <c r="C235" s="176"/>
      <c r="D235" s="175"/>
      <c r="E235" s="169"/>
      <c r="F235" s="170"/>
      <c r="G235" s="170"/>
      <c r="H235" s="170"/>
      <c r="I235" s="171"/>
      <c r="J235" s="171"/>
      <c r="K235" s="171"/>
    </row>
    <row r="236" spans="1:11" ht="12.75">
      <c r="A236" s="168" t="e">
        <f t="shared" si="0"/>
        <v>#REF!</v>
      </c>
      <c r="B236" s="175"/>
      <c r="C236" s="176"/>
      <c r="D236" s="175"/>
      <c r="E236" s="169"/>
      <c r="F236" s="170"/>
      <c r="G236" s="170"/>
      <c r="H236" s="170"/>
      <c r="I236" s="171"/>
      <c r="J236" s="171"/>
      <c r="K236" s="171"/>
    </row>
    <row r="237" spans="1:11" ht="12.75">
      <c r="A237" s="168" t="e">
        <f t="shared" si="0"/>
        <v>#REF!</v>
      </c>
      <c r="B237" s="175"/>
      <c r="C237" s="176"/>
      <c r="D237" s="175"/>
      <c r="E237" s="169"/>
      <c r="F237" s="170"/>
      <c r="G237" s="170"/>
      <c r="H237" s="170"/>
      <c r="I237" s="171"/>
      <c r="J237" s="171"/>
      <c r="K237" s="171"/>
    </row>
    <row r="238" spans="1:11" ht="12.75">
      <c r="A238" s="168" t="e">
        <f t="shared" si="0"/>
        <v>#REF!</v>
      </c>
      <c r="B238" s="175"/>
      <c r="C238" s="176"/>
      <c r="D238" s="175"/>
      <c r="E238" s="169"/>
      <c r="F238" s="170"/>
      <c r="G238" s="170"/>
      <c r="H238" s="170"/>
      <c r="I238" s="171"/>
      <c r="J238" s="171"/>
      <c r="K238" s="171"/>
    </row>
    <row r="239" spans="1:11" ht="12.75">
      <c r="A239" s="168" t="e">
        <f t="shared" si="0"/>
        <v>#REF!</v>
      </c>
      <c r="B239" s="175"/>
      <c r="C239" s="176"/>
      <c r="D239" s="175"/>
      <c r="E239" s="169"/>
      <c r="F239" s="170"/>
      <c r="G239" s="170"/>
      <c r="H239" s="170"/>
      <c r="I239" s="171"/>
      <c r="J239" s="171"/>
      <c r="K239" s="171"/>
    </row>
    <row r="240" spans="1:11" ht="12.75">
      <c r="A240" s="168" t="e">
        <f t="shared" si="0"/>
        <v>#REF!</v>
      </c>
      <c r="B240" s="175"/>
      <c r="C240" s="176"/>
      <c r="D240" s="175"/>
      <c r="E240" s="169"/>
      <c r="F240" s="170"/>
      <c r="G240" s="170"/>
      <c r="H240" s="170"/>
      <c r="I240" s="171"/>
      <c r="J240" s="171"/>
      <c r="K240" s="171"/>
    </row>
    <row r="241" spans="1:11" ht="12.75">
      <c r="A241" s="168" t="e">
        <f t="shared" si="0"/>
        <v>#REF!</v>
      </c>
      <c r="B241" s="175"/>
      <c r="C241" s="176"/>
      <c r="D241" s="175"/>
      <c r="E241" s="169"/>
      <c r="F241" s="170"/>
      <c r="G241" s="170"/>
      <c r="H241" s="170"/>
      <c r="I241" s="171"/>
      <c r="J241" s="171"/>
      <c r="K241" s="171"/>
    </row>
    <row r="242" spans="1:11" ht="12.75">
      <c r="A242" s="168" t="e">
        <f t="shared" si="0"/>
        <v>#REF!</v>
      </c>
      <c r="B242" s="175"/>
      <c r="C242" s="176"/>
      <c r="D242" s="175"/>
      <c r="E242" s="169"/>
      <c r="F242" s="170"/>
      <c r="G242" s="170"/>
      <c r="H242" s="170"/>
      <c r="I242" s="171"/>
      <c r="J242" s="171"/>
      <c r="K242" s="171"/>
    </row>
    <row r="243" spans="1:11" ht="12.75">
      <c r="A243" s="168" t="e">
        <f t="shared" si="0"/>
        <v>#REF!</v>
      </c>
      <c r="B243" s="175"/>
      <c r="C243" s="176"/>
      <c r="D243" s="175"/>
      <c r="E243" s="169"/>
      <c r="F243" s="170"/>
      <c r="G243" s="170"/>
      <c r="H243" s="170"/>
      <c r="I243" s="171"/>
      <c r="J243" s="171"/>
      <c r="K243" s="171"/>
    </row>
    <row r="244" spans="1:11" ht="12.75">
      <c r="A244" s="168" t="e">
        <f t="shared" si="0"/>
        <v>#REF!</v>
      </c>
      <c r="B244" s="175"/>
      <c r="C244" s="176"/>
      <c r="D244" s="175"/>
      <c r="E244" s="169"/>
      <c r="F244" s="170"/>
      <c r="G244" s="170"/>
      <c r="H244" s="170"/>
      <c r="I244" s="171"/>
      <c r="J244" s="171"/>
      <c r="K244" s="171"/>
    </row>
    <row r="245" spans="1:11" ht="12.75">
      <c r="A245" s="168" t="e">
        <f t="shared" si="0"/>
        <v>#REF!</v>
      </c>
      <c r="B245" s="175"/>
      <c r="C245" s="176"/>
      <c r="D245" s="175"/>
      <c r="E245" s="169"/>
      <c r="F245" s="170"/>
      <c r="G245" s="170"/>
      <c r="H245" s="170"/>
      <c r="I245" s="171"/>
      <c r="J245" s="171"/>
      <c r="K245" s="171"/>
    </row>
    <row r="246" spans="1:11" ht="12.75">
      <c r="A246" s="168" t="e">
        <f t="shared" si="0"/>
        <v>#REF!</v>
      </c>
      <c r="B246" s="175"/>
      <c r="C246" s="176"/>
      <c r="D246" s="175"/>
      <c r="E246" s="169"/>
      <c r="F246" s="170"/>
      <c r="G246" s="170"/>
      <c r="H246" s="170"/>
      <c r="I246" s="171"/>
      <c r="J246" s="171"/>
      <c r="K246" s="171"/>
    </row>
    <row r="247" spans="1:11" ht="12.75">
      <c r="A247" s="168" t="e">
        <f t="shared" si="0"/>
        <v>#REF!</v>
      </c>
      <c r="B247" s="175"/>
      <c r="C247" s="176"/>
      <c r="D247" s="175"/>
      <c r="E247" s="169"/>
      <c r="F247" s="170"/>
      <c r="G247" s="170"/>
      <c r="H247" s="170"/>
      <c r="I247" s="171"/>
      <c r="J247" s="171"/>
      <c r="K247" s="171"/>
    </row>
    <row r="248" spans="1:11" ht="12.75">
      <c r="A248" s="168" t="e">
        <f t="shared" si="0"/>
        <v>#REF!</v>
      </c>
      <c r="B248" s="175"/>
      <c r="C248" s="176"/>
      <c r="D248" s="175"/>
      <c r="E248" s="169"/>
      <c r="F248" s="170"/>
      <c r="G248" s="170"/>
      <c r="H248" s="170"/>
      <c r="I248" s="171"/>
      <c r="J248" s="171"/>
      <c r="K248" s="171"/>
    </row>
    <row r="249" spans="1:11" ht="12.75">
      <c r="A249" s="168" t="e">
        <f t="shared" si="0"/>
        <v>#REF!</v>
      </c>
      <c r="B249" s="175"/>
      <c r="C249" s="176"/>
      <c r="D249" s="175"/>
      <c r="E249" s="169"/>
      <c r="F249" s="170"/>
      <c r="G249" s="170"/>
      <c r="H249" s="170"/>
      <c r="I249" s="171"/>
      <c r="J249" s="171"/>
      <c r="K249" s="171"/>
    </row>
    <row r="250" spans="1:11" ht="12.75">
      <c r="A250" s="168" t="e">
        <f t="shared" si="0"/>
        <v>#REF!</v>
      </c>
      <c r="B250" s="175"/>
      <c r="C250" s="176"/>
      <c r="D250" s="175"/>
      <c r="E250" s="169"/>
      <c r="F250" s="170"/>
      <c r="G250" s="170"/>
      <c r="H250" s="170"/>
      <c r="I250" s="171"/>
      <c r="J250" s="171"/>
      <c r="K250" s="171"/>
    </row>
    <row r="251" spans="1:11" ht="12.75">
      <c r="A251" s="168" t="e">
        <f t="shared" si="0"/>
        <v>#REF!</v>
      </c>
      <c r="B251" s="175"/>
      <c r="C251" s="176"/>
      <c r="D251" s="175"/>
      <c r="E251" s="169"/>
      <c r="F251" s="170"/>
      <c r="G251" s="170"/>
      <c r="H251" s="170"/>
      <c r="I251" s="171"/>
      <c r="J251" s="171"/>
      <c r="K251" s="171"/>
    </row>
    <row r="252" spans="1:11" ht="12.75">
      <c r="A252" s="168" t="e">
        <f t="shared" si="0"/>
        <v>#REF!</v>
      </c>
      <c r="B252" s="175"/>
      <c r="C252" s="176"/>
      <c r="D252" s="175"/>
      <c r="E252" s="169"/>
      <c r="F252" s="170"/>
      <c r="G252" s="170"/>
      <c r="H252" s="170"/>
      <c r="I252" s="171"/>
      <c r="J252" s="171"/>
      <c r="K252" s="171"/>
    </row>
    <row r="253" spans="1:11" ht="12.75">
      <c r="A253" s="168" t="e">
        <f t="shared" si="0"/>
        <v>#REF!</v>
      </c>
      <c r="B253" s="175"/>
      <c r="C253" s="176"/>
      <c r="D253" s="175"/>
      <c r="E253" s="169"/>
      <c r="F253" s="170"/>
      <c r="G253" s="170"/>
      <c r="H253" s="170"/>
      <c r="I253" s="171"/>
      <c r="J253" s="171"/>
      <c r="K253" s="171"/>
    </row>
    <row r="254" spans="1:11" ht="12.75">
      <c r="A254" s="168" t="e">
        <f t="shared" si="0"/>
        <v>#REF!</v>
      </c>
      <c r="B254" s="175"/>
      <c r="C254" s="176"/>
      <c r="D254" s="175"/>
      <c r="E254" s="169"/>
      <c r="F254" s="170"/>
      <c r="G254" s="170"/>
      <c r="H254" s="170"/>
      <c r="I254" s="171"/>
      <c r="J254" s="171"/>
      <c r="K254" s="171"/>
    </row>
    <row r="255" spans="1:11" ht="12.75">
      <c r="A255" s="168" t="e">
        <f t="shared" si="0"/>
        <v>#REF!</v>
      </c>
      <c r="B255" s="175"/>
      <c r="C255" s="176"/>
      <c r="D255" s="175"/>
      <c r="E255" s="169"/>
      <c r="F255" s="170"/>
      <c r="G255" s="170"/>
      <c r="H255" s="170"/>
      <c r="I255" s="171"/>
      <c r="J255" s="171"/>
      <c r="K255" s="171"/>
    </row>
    <row r="256" spans="1:11" ht="12.75">
      <c r="A256" s="168" t="e">
        <f t="shared" si="0"/>
        <v>#REF!</v>
      </c>
      <c r="B256" s="175"/>
      <c r="C256" s="176"/>
      <c r="D256" s="175"/>
      <c r="E256" s="169"/>
      <c r="F256" s="170"/>
      <c r="G256" s="170"/>
      <c r="H256" s="170"/>
      <c r="I256" s="171"/>
      <c r="J256" s="171"/>
      <c r="K256" s="171"/>
    </row>
    <row r="257" spans="1:11" ht="12.75">
      <c r="A257" s="168" t="e">
        <f t="shared" si="0"/>
        <v>#REF!</v>
      </c>
      <c r="B257" s="175"/>
      <c r="C257" s="176"/>
      <c r="D257" s="175"/>
      <c r="E257" s="169"/>
      <c r="F257" s="170"/>
      <c r="G257" s="170"/>
      <c r="H257" s="170"/>
      <c r="I257" s="171"/>
      <c r="J257" s="171"/>
      <c r="K257" s="171"/>
    </row>
    <row r="258" spans="1:11" ht="12.75">
      <c r="A258" s="168" t="e">
        <f t="shared" si="0"/>
        <v>#REF!</v>
      </c>
      <c r="B258" s="175"/>
      <c r="C258" s="176"/>
      <c r="D258" s="175"/>
      <c r="E258" s="169"/>
      <c r="F258" s="170"/>
      <c r="G258" s="170"/>
      <c r="H258" s="170"/>
      <c r="I258" s="171"/>
      <c r="J258" s="171"/>
      <c r="K258" s="171"/>
    </row>
    <row r="259" spans="1:11" ht="12.75">
      <c r="A259" s="168" t="e">
        <f t="shared" si="0"/>
        <v>#REF!</v>
      </c>
      <c r="B259" s="175"/>
      <c r="C259" s="176"/>
      <c r="D259" s="175"/>
      <c r="E259" s="169"/>
      <c r="F259" s="170"/>
      <c r="G259" s="170"/>
      <c r="H259" s="170"/>
      <c r="I259" s="171"/>
      <c r="J259" s="171"/>
      <c r="K259" s="171"/>
    </row>
    <row r="260" spans="1:11" ht="12.75">
      <c r="A260" s="168" t="e">
        <f t="shared" si="0"/>
        <v>#REF!</v>
      </c>
      <c r="B260" s="175"/>
      <c r="C260" s="176"/>
      <c r="D260" s="175"/>
      <c r="E260" s="169"/>
      <c r="F260" s="170"/>
      <c r="G260" s="170"/>
      <c r="H260" s="170"/>
      <c r="I260" s="171"/>
      <c r="J260" s="171"/>
      <c r="K260" s="171"/>
    </row>
    <row r="261" spans="1:11" ht="12.75">
      <c r="A261" s="168" t="e">
        <f t="shared" si="0"/>
        <v>#REF!</v>
      </c>
      <c r="B261" s="175"/>
      <c r="C261" s="176"/>
      <c r="D261" s="175"/>
      <c r="E261" s="169"/>
      <c r="F261" s="170"/>
      <c r="G261" s="170"/>
      <c r="H261" s="170"/>
      <c r="I261" s="171"/>
      <c r="J261" s="171"/>
      <c r="K261" s="171"/>
    </row>
    <row r="262" spans="1:11" ht="12.75">
      <c r="A262" s="168" t="e">
        <f t="shared" si="0"/>
        <v>#REF!</v>
      </c>
      <c r="B262" s="175"/>
      <c r="C262" s="176"/>
      <c r="D262" s="175"/>
      <c r="E262" s="169"/>
      <c r="F262" s="170"/>
      <c r="G262" s="170"/>
      <c r="H262" s="170"/>
      <c r="I262" s="171"/>
      <c r="J262" s="171"/>
      <c r="K262" s="171"/>
    </row>
    <row r="263" spans="1:11" ht="12.75">
      <c r="A263" s="168" t="e">
        <f t="shared" si="0"/>
        <v>#REF!</v>
      </c>
      <c r="B263" s="175"/>
      <c r="C263" s="176"/>
      <c r="D263" s="175"/>
      <c r="E263" s="169"/>
      <c r="F263" s="170"/>
      <c r="G263" s="170"/>
      <c r="H263" s="170"/>
      <c r="I263" s="171"/>
      <c r="J263" s="171"/>
      <c r="K263" s="171"/>
    </row>
    <row r="264" spans="1:11" ht="12.75">
      <c r="A264" s="168" t="e">
        <f t="shared" si="0"/>
        <v>#REF!</v>
      </c>
      <c r="B264" s="175"/>
      <c r="C264" s="176"/>
      <c r="D264" s="175"/>
      <c r="E264" s="169"/>
      <c r="F264" s="170"/>
      <c r="G264" s="170"/>
      <c r="H264" s="170"/>
      <c r="I264" s="171"/>
      <c r="J264" s="171"/>
      <c r="K264" s="171"/>
    </row>
    <row r="265" spans="1:11" ht="12.75">
      <c r="A265" s="168" t="e">
        <f t="shared" si="0"/>
        <v>#REF!</v>
      </c>
      <c r="B265" s="175"/>
      <c r="C265" s="176"/>
      <c r="D265" s="175"/>
      <c r="E265" s="169"/>
      <c r="F265" s="170"/>
      <c r="G265" s="170"/>
      <c r="H265" s="170"/>
      <c r="I265" s="171"/>
      <c r="J265" s="171"/>
      <c r="K265" s="171"/>
    </row>
    <row r="266" spans="1:11" ht="12.75">
      <c r="A266" s="168" t="e">
        <f t="shared" si="0"/>
        <v>#REF!</v>
      </c>
      <c r="B266" s="175"/>
      <c r="C266" s="176"/>
      <c r="D266" s="175"/>
      <c r="E266" s="169"/>
      <c r="F266" s="170"/>
      <c r="G266" s="170"/>
      <c r="H266" s="170"/>
      <c r="I266" s="171"/>
      <c r="J266" s="171"/>
      <c r="K266" s="171"/>
    </row>
    <row r="267" spans="1:11" ht="12.75">
      <c r="A267" s="168" t="e">
        <f t="shared" si="0"/>
        <v>#REF!</v>
      </c>
      <c r="B267" s="175"/>
      <c r="C267" s="176"/>
      <c r="D267" s="175"/>
      <c r="E267" s="169"/>
      <c r="F267" s="170"/>
      <c r="G267" s="170"/>
      <c r="H267" s="170"/>
      <c r="I267" s="171"/>
      <c r="J267" s="171"/>
      <c r="K267" s="171"/>
    </row>
    <row r="268" spans="1:11" ht="12.75">
      <c r="A268" s="168" t="e">
        <f t="shared" si="0"/>
        <v>#REF!</v>
      </c>
      <c r="B268" s="175"/>
      <c r="C268" s="176"/>
      <c r="D268" s="175"/>
      <c r="E268" s="169"/>
      <c r="F268" s="170"/>
      <c r="G268" s="170"/>
      <c r="H268" s="170"/>
      <c r="I268" s="171"/>
      <c r="J268" s="171"/>
      <c r="K268" s="171"/>
    </row>
    <row r="269" spans="1:11" ht="12.75">
      <c r="A269" s="168" t="e">
        <f t="shared" si="0"/>
        <v>#REF!</v>
      </c>
      <c r="B269" s="175"/>
      <c r="C269" s="176"/>
      <c r="D269" s="175"/>
      <c r="E269" s="169"/>
      <c r="F269" s="170"/>
      <c r="G269" s="170"/>
      <c r="H269" s="170"/>
      <c r="I269" s="171"/>
      <c r="J269" s="171"/>
      <c r="K269" s="171"/>
    </row>
    <row r="270" spans="1:11" ht="12.75">
      <c r="A270" s="168" t="e">
        <f t="shared" si="0"/>
        <v>#REF!</v>
      </c>
      <c r="B270" s="175"/>
      <c r="C270" s="176"/>
      <c r="D270" s="175"/>
      <c r="E270" s="169"/>
      <c r="F270" s="170"/>
      <c r="G270" s="170"/>
      <c r="H270" s="170"/>
      <c r="I270" s="171"/>
      <c r="J270" s="171"/>
      <c r="K270" s="171"/>
    </row>
    <row r="271" spans="1:11" ht="12.75">
      <c r="A271" s="168" t="e">
        <f t="shared" si="0"/>
        <v>#REF!</v>
      </c>
      <c r="B271" s="175"/>
      <c r="C271" s="176"/>
      <c r="D271" s="175"/>
      <c r="E271" s="169"/>
      <c r="F271" s="170"/>
      <c r="G271" s="170"/>
      <c r="H271" s="170"/>
      <c r="I271" s="171"/>
      <c r="J271" s="171"/>
      <c r="K271" s="171"/>
    </row>
    <row r="272" spans="1:11" ht="12.75">
      <c r="A272" s="168" t="e">
        <f t="shared" si="0"/>
        <v>#REF!</v>
      </c>
      <c r="B272" s="175"/>
      <c r="C272" s="176"/>
      <c r="D272" s="175"/>
      <c r="E272" s="169"/>
      <c r="F272" s="170"/>
      <c r="G272" s="170"/>
      <c r="H272" s="170"/>
      <c r="I272" s="171"/>
      <c r="J272" s="171"/>
      <c r="K272" s="171"/>
    </row>
    <row r="273" spans="1:11" ht="12.75">
      <c r="A273" s="168" t="e">
        <f t="shared" si="0"/>
        <v>#REF!</v>
      </c>
      <c r="B273" s="175"/>
      <c r="C273" s="176"/>
      <c r="D273" s="175"/>
      <c r="E273" s="169"/>
      <c r="F273" s="170"/>
      <c r="G273" s="170"/>
      <c r="H273" s="170"/>
      <c r="I273" s="171"/>
      <c r="J273" s="171"/>
      <c r="K273" s="171"/>
    </row>
    <row r="274" spans="1:11" ht="12.75">
      <c r="A274" s="168" t="e">
        <f t="shared" si="0"/>
        <v>#REF!</v>
      </c>
      <c r="B274" s="175"/>
      <c r="C274" s="176"/>
      <c r="D274" s="175"/>
      <c r="E274" s="169"/>
      <c r="F274" s="170"/>
      <c r="G274" s="170"/>
      <c r="H274" s="170"/>
      <c r="I274" s="171"/>
      <c r="J274" s="171"/>
      <c r="K274" s="171"/>
    </row>
    <row r="275" spans="1:11" ht="12.75">
      <c r="A275" s="168" t="e">
        <f t="shared" si="0"/>
        <v>#REF!</v>
      </c>
      <c r="B275" s="175"/>
      <c r="C275" s="176"/>
      <c r="D275" s="175"/>
      <c r="E275" s="169"/>
      <c r="F275" s="170"/>
      <c r="G275" s="170"/>
      <c r="H275" s="170"/>
      <c r="I275" s="171"/>
      <c r="J275" s="171"/>
      <c r="K275" s="171"/>
    </row>
    <row r="276" spans="1:11" ht="12.75">
      <c r="A276" s="168" t="e">
        <f t="shared" si="0"/>
        <v>#REF!</v>
      </c>
      <c r="B276" s="175"/>
      <c r="C276" s="176"/>
      <c r="D276" s="175"/>
      <c r="E276" s="169"/>
      <c r="F276" s="170"/>
      <c r="G276" s="170"/>
      <c r="H276" s="170"/>
      <c r="I276" s="171"/>
      <c r="J276" s="171"/>
      <c r="K276" s="171"/>
    </row>
    <row r="277" spans="1:11" ht="12.75">
      <c r="A277" s="168" t="e">
        <f t="shared" si="0"/>
        <v>#REF!</v>
      </c>
      <c r="B277" s="175"/>
      <c r="C277" s="176"/>
      <c r="D277" s="175"/>
      <c r="E277" s="169"/>
      <c r="F277" s="170"/>
      <c r="G277" s="170"/>
      <c r="H277" s="170"/>
      <c r="I277" s="171"/>
      <c r="J277" s="171"/>
      <c r="K277" s="171"/>
    </row>
    <row r="278" spans="1:11" ht="12.75">
      <c r="A278" s="168" t="e">
        <f t="shared" si="0"/>
        <v>#REF!</v>
      </c>
      <c r="B278" s="175"/>
      <c r="C278" s="176"/>
      <c r="D278" s="175"/>
      <c r="E278" s="169"/>
      <c r="F278" s="170"/>
      <c r="G278" s="170"/>
      <c r="H278" s="170"/>
      <c r="I278" s="171"/>
      <c r="J278" s="171"/>
      <c r="K278" s="171"/>
    </row>
    <row r="279" spans="1:11" ht="12.75">
      <c r="A279" s="168" t="e">
        <f t="shared" si="0"/>
        <v>#REF!</v>
      </c>
      <c r="B279" s="175"/>
      <c r="C279" s="176"/>
      <c r="D279" s="175"/>
      <c r="E279" s="169"/>
      <c r="F279" s="170"/>
      <c r="G279" s="170"/>
      <c r="H279" s="170"/>
      <c r="I279" s="171"/>
      <c r="J279" s="171"/>
      <c r="K279" s="171"/>
    </row>
    <row r="280" spans="1:11" ht="12.75">
      <c r="A280" s="168" t="e">
        <f t="shared" si="0"/>
        <v>#REF!</v>
      </c>
      <c r="B280" s="175"/>
      <c r="C280" s="176"/>
      <c r="D280" s="175"/>
      <c r="E280" s="169"/>
      <c r="F280" s="170"/>
      <c r="G280" s="170"/>
      <c r="H280" s="170"/>
      <c r="I280" s="171"/>
      <c r="J280" s="171"/>
      <c r="K280" s="171"/>
    </row>
    <row r="281" spans="1:11" ht="12.75">
      <c r="A281" s="168" t="e">
        <f t="shared" si="0"/>
        <v>#REF!</v>
      </c>
      <c r="B281" s="175"/>
      <c r="C281" s="176"/>
      <c r="D281" s="175"/>
      <c r="E281" s="169"/>
      <c r="F281" s="170"/>
      <c r="G281" s="170"/>
      <c r="H281" s="170"/>
      <c r="I281" s="171"/>
      <c r="J281" s="171"/>
      <c r="K281" s="171"/>
    </row>
    <row r="282" spans="1:11" ht="12.75">
      <c r="A282" s="168" t="e">
        <f t="shared" si="0"/>
        <v>#REF!</v>
      </c>
      <c r="B282" s="175"/>
      <c r="C282" s="176"/>
      <c r="D282" s="175"/>
      <c r="E282" s="169"/>
      <c r="F282" s="170"/>
      <c r="G282" s="170"/>
      <c r="H282" s="170"/>
      <c r="I282" s="171"/>
      <c r="J282" s="171"/>
      <c r="K282" s="171"/>
    </row>
    <row r="283" spans="1:11" ht="12.75">
      <c r="A283" s="168" t="e">
        <f t="shared" si="0"/>
        <v>#REF!</v>
      </c>
      <c r="B283" s="175"/>
      <c r="C283" s="176"/>
      <c r="D283" s="175"/>
      <c r="E283" s="169"/>
      <c r="F283" s="170"/>
      <c r="G283" s="170"/>
      <c r="H283" s="170"/>
      <c r="I283" s="171"/>
      <c r="J283" s="171"/>
      <c r="K283" s="171"/>
    </row>
    <row r="284" spans="1:11" ht="12.75">
      <c r="A284" s="168" t="e">
        <f t="shared" si="0"/>
        <v>#REF!</v>
      </c>
      <c r="B284" s="175"/>
      <c r="C284" s="176"/>
      <c r="D284" s="175"/>
      <c r="E284" s="169"/>
      <c r="F284" s="170"/>
      <c r="G284" s="170"/>
      <c r="H284" s="170"/>
      <c r="I284" s="171"/>
      <c r="J284" s="171"/>
      <c r="K284" s="171"/>
    </row>
    <row r="285" spans="1:11" ht="12.75">
      <c r="A285" s="168" t="e">
        <f t="shared" si="0"/>
        <v>#REF!</v>
      </c>
      <c r="B285" s="175"/>
      <c r="C285" s="176"/>
      <c r="D285" s="175"/>
      <c r="E285" s="169"/>
      <c r="F285" s="170"/>
      <c r="G285" s="170"/>
      <c r="H285" s="170"/>
      <c r="I285" s="171"/>
      <c r="J285" s="171"/>
      <c r="K285" s="171"/>
    </row>
    <row r="286" spans="1:11" ht="12.75">
      <c r="A286" s="168" t="e">
        <f t="shared" si="0"/>
        <v>#REF!</v>
      </c>
      <c r="B286" s="175"/>
      <c r="C286" s="176"/>
      <c r="D286" s="175"/>
      <c r="E286" s="169"/>
      <c r="F286" s="170"/>
      <c r="G286" s="170"/>
      <c r="H286" s="170"/>
      <c r="I286" s="171"/>
      <c r="J286" s="171"/>
      <c r="K286" s="171"/>
    </row>
    <row r="287" spans="1:11" ht="12.75">
      <c r="A287" s="168" t="e">
        <f t="shared" si="0"/>
        <v>#REF!</v>
      </c>
      <c r="B287" s="175"/>
      <c r="C287" s="176"/>
      <c r="D287" s="175"/>
      <c r="E287" s="169"/>
      <c r="F287" s="170"/>
      <c r="G287" s="170"/>
      <c r="H287" s="170"/>
      <c r="I287" s="171"/>
      <c r="J287" s="171"/>
      <c r="K287" s="171"/>
    </row>
    <row r="288" spans="1:11" ht="12.75">
      <c r="A288" s="168" t="e">
        <f t="shared" si="0"/>
        <v>#REF!</v>
      </c>
      <c r="B288" s="175"/>
      <c r="C288" s="176"/>
      <c r="D288" s="175"/>
      <c r="E288" s="169"/>
      <c r="F288" s="170"/>
      <c r="G288" s="170"/>
      <c r="H288" s="170"/>
      <c r="I288" s="171"/>
      <c r="J288" s="171"/>
      <c r="K288" s="171"/>
    </row>
    <row r="289" spans="1:11" ht="12.75">
      <c r="A289" s="168" t="e">
        <f t="shared" si="0"/>
        <v>#REF!</v>
      </c>
      <c r="B289" s="175"/>
      <c r="C289" s="176"/>
      <c r="D289" s="175"/>
      <c r="E289" s="169"/>
      <c r="F289" s="170"/>
      <c r="G289" s="170"/>
      <c r="H289" s="170"/>
      <c r="I289" s="171"/>
      <c r="J289" s="171"/>
      <c r="K289" s="171"/>
    </row>
    <row r="290" spans="1:11" ht="12.75">
      <c r="A290" s="168" t="e">
        <f t="shared" si="0"/>
        <v>#REF!</v>
      </c>
      <c r="B290" s="175"/>
      <c r="C290" s="176"/>
      <c r="D290" s="175"/>
      <c r="E290" s="169"/>
      <c r="F290" s="170"/>
      <c r="G290" s="170"/>
      <c r="H290" s="170"/>
      <c r="I290" s="171"/>
      <c r="J290" s="171"/>
      <c r="K290" s="171"/>
    </row>
    <row r="291" spans="1:11" ht="12.75">
      <c r="A291" s="168" t="e">
        <f t="shared" si="0"/>
        <v>#REF!</v>
      </c>
      <c r="B291" s="175"/>
      <c r="C291" s="176"/>
      <c r="D291" s="175"/>
      <c r="E291" s="169"/>
      <c r="F291" s="170"/>
      <c r="G291" s="170"/>
      <c r="H291" s="170"/>
      <c r="I291" s="171"/>
      <c r="J291" s="171"/>
      <c r="K291" s="171"/>
    </row>
    <row r="292" spans="1:11" ht="12.75">
      <c r="A292" s="168" t="e">
        <f t="shared" si="0"/>
        <v>#REF!</v>
      </c>
      <c r="B292" s="175"/>
      <c r="C292" s="176"/>
      <c r="D292" s="175"/>
      <c r="E292" s="169"/>
      <c r="F292" s="170"/>
      <c r="G292" s="170"/>
      <c r="H292" s="170"/>
      <c r="I292" s="171"/>
      <c r="J292" s="171"/>
      <c r="K292" s="171"/>
    </row>
    <row r="293" spans="1:11" ht="12.75">
      <c r="A293" s="168" t="e">
        <f t="shared" si="0"/>
        <v>#REF!</v>
      </c>
      <c r="B293" s="175"/>
      <c r="C293" s="176"/>
      <c r="D293" s="175"/>
      <c r="E293" s="169"/>
      <c r="F293" s="170"/>
      <c r="G293" s="170"/>
      <c r="H293" s="170"/>
      <c r="I293" s="171"/>
      <c r="J293" s="171"/>
      <c r="K293" s="171"/>
    </row>
    <row r="294" spans="1:11" ht="12.75">
      <c r="A294" s="168" t="e">
        <f t="shared" si="0"/>
        <v>#REF!</v>
      </c>
      <c r="B294" s="175"/>
      <c r="C294" s="176"/>
      <c r="D294" s="175"/>
      <c r="E294" s="169"/>
      <c r="F294" s="170"/>
      <c r="G294" s="170"/>
      <c r="H294" s="170"/>
      <c r="I294" s="171"/>
      <c r="J294" s="171"/>
      <c r="K294" s="171"/>
    </row>
    <row r="295" spans="1:11" ht="12.75">
      <c r="A295" s="168" t="e">
        <f t="shared" si="0"/>
        <v>#REF!</v>
      </c>
      <c r="B295" s="175"/>
      <c r="C295" s="176"/>
      <c r="D295" s="175"/>
      <c r="E295" s="169"/>
      <c r="F295" s="170"/>
      <c r="G295" s="170"/>
      <c r="H295" s="170"/>
      <c r="I295" s="171"/>
      <c r="J295" s="171"/>
      <c r="K295" s="171"/>
    </row>
    <row r="296" spans="1:11" ht="12.75">
      <c r="A296" s="168" t="e">
        <f t="shared" si="0"/>
        <v>#REF!</v>
      </c>
      <c r="B296" s="175"/>
      <c r="C296" s="176"/>
      <c r="D296" s="175"/>
      <c r="E296" s="169"/>
      <c r="F296" s="170"/>
      <c r="G296" s="170"/>
      <c r="H296" s="170"/>
      <c r="I296" s="171"/>
      <c r="J296" s="171"/>
      <c r="K296" s="171"/>
    </row>
    <row r="297" spans="1:11" ht="12.75">
      <c r="A297" s="168" t="e">
        <f t="shared" si="0"/>
        <v>#REF!</v>
      </c>
      <c r="B297" s="175"/>
      <c r="C297" s="176"/>
      <c r="D297" s="175"/>
      <c r="E297" s="169"/>
      <c r="F297" s="170"/>
      <c r="G297" s="170"/>
      <c r="H297" s="170"/>
      <c r="I297" s="171"/>
      <c r="J297" s="171"/>
      <c r="K297" s="171"/>
    </row>
    <row r="298" spans="1:11" ht="12.75">
      <c r="A298" s="168" t="e">
        <f t="shared" si="0"/>
        <v>#REF!</v>
      </c>
      <c r="B298" s="175"/>
      <c r="C298" s="176"/>
      <c r="D298" s="175"/>
      <c r="E298" s="169"/>
      <c r="F298" s="170"/>
      <c r="G298" s="170"/>
      <c r="H298" s="170"/>
      <c r="I298" s="171"/>
      <c r="J298" s="171"/>
      <c r="K298" s="171"/>
    </row>
    <row r="299" spans="1:11" ht="12.75">
      <c r="A299" s="168" t="e">
        <f t="shared" si="0"/>
        <v>#REF!</v>
      </c>
      <c r="B299" s="175"/>
      <c r="C299" s="176"/>
      <c r="D299" s="175"/>
      <c r="E299" s="169"/>
      <c r="F299" s="170"/>
      <c r="G299" s="170"/>
      <c r="H299" s="170"/>
      <c r="I299" s="171"/>
      <c r="J299" s="171"/>
      <c r="K299" s="171"/>
    </row>
    <row r="300" spans="1:11" ht="12.75">
      <c r="A300" s="168" t="e">
        <f t="shared" si="0"/>
        <v>#REF!</v>
      </c>
      <c r="B300" s="175"/>
      <c r="C300" s="176"/>
      <c r="D300" s="175"/>
      <c r="E300" s="169"/>
      <c r="F300" s="170"/>
      <c r="G300" s="170"/>
      <c r="H300" s="170"/>
      <c r="I300" s="171"/>
      <c r="J300" s="171"/>
      <c r="K300" s="171"/>
    </row>
    <row r="301" spans="1:11" ht="12.75">
      <c r="A301" s="168" t="e">
        <f t="shared" si="0"/>
        <v>#REF!</v>
      </c>
      <c r="B301" s="175"/>
      <c r="C301" s="176"/>
      <c r="D301" s="175"/>
      <c r="E301" s="169"/>
      <c r="F301" s="170"/>
      <c r="G301" s="170"/>
      <c r="H301" s="170"/>
      <c r="I301" s="171"/>
      <c r="J301" s="171"/>
      <c r="K301" s="171"/>
    </row>
    <row r="302" spans="1:11" ht="12.75">
      <c r="A302" s="168" t="e">
        <f t="shared" si="0"/>
        <v>#REF!</v>
      </c>
      <c r="B302" s="175"/>
      <c r="C302" s="176"/>
      <c r="D302" s="175"/>
      <c r="E302" s="169"/>
      <c r="F302" s="170"/>
      <c r="G302" s="170"/>
      <c r="H302" s="170"/>
      <c r="I302" s="171"/>
      <c r="J302" s="171"/>
      <c r="K302" s="171"/>
    </row>
    <row r="303" spans="1:11" ht="12.75">
      <c r="A303" s="168" t="e">
        <f t="shared" si="0"/>
        <v>#REF!</v>
      </c>
      <c r="B303" s="175"/>
      <c r="C303" s="176"/>
      <c r="D303" s="175"/>
      <c r="E303" s="169"/>
      <c r="F303" s="170"/>
      <c r="G303" s="170"/>
      <c r="H303" s="170"/>
      <c r="I303" s="171"/>
      <c r="J303" s="171"/>
      <c r="K303" s="171"/>
    </row>
    <row r="304" spans="1:11" ht="12.75">
      <c r="A304" s="168" t="e">
        <f t="shared" si="0"/>
        <v>#REF!</v>
      </c>
      <c r="B304" s="175"/>
      <c r="C304" s="176"/>
      <c r="D304" s="175"/>
      <c r="E304" s="169"/>
      <c r="F304" s="170"/>
      <c r="G304" s="170"/>
      <c r="H304" s="170"/>
      <c r="I304" s="171"/>
      <c r="J304" s="171"/>
      <c r="K304" s="171"/>
    </row>
    <row r="305" spans="1:11" ht="12.75">
      <c r="A305" s="168" t="e">
        <f t="shared" si="0"/>
        <v>#REF!</v>
      </c>
      <c r="B305" s="175"/>
      <c r="C305" s="176"/>
      <c r="D305" s="175"/>
      <c r="E305" s="169"/>
      <c r="F305" s="170"/>
      <c r="G305" s="170"/>
      <c r="H305" s="170"/>
      <c r="I305" s="171"/>
      <c r="J305" s="171"/>
      <c r="K305" s="171"/>
    </row>
    <row r="306" spans="1:11" ht="12.75">
      <c r="A306" s="168" t="e">
        <f t="shared" si="0"/>
        <v>#REF!</v>
      </c>
      <c r="B306" s="175"/>
      <c r="C306" s="176"/>
      <c r="D306" s="175"/>
      <c r="E306" s="169"/>
      <c r="F306" s="170"/>
      <c r="G306" s="170"/>
      <c r="H306" s="170"/>
      <c r="I306" s="171"/>
      <c r="J306" s="171"/>
      <c r="K306" s="171"/>
    </row>
    <row r="307" spans="1:11" ht="12.75">
      <c r="A307" s="168" t="e">
        <f t="shared" si="0"/>
        <v>#REF!</v>
      </c>
      <c r="B307" s="175"/>
      <c r="C307" s="176"/>
      <c r="D307" s="175"/>
      <c r="E307" s="169"/>
      <c r="F307" s="170"/>
      <c r="G307" s="170"/>
      <c r="H307" s="170"/>
      <c r="I307" s="171"/>
      <c r="J307" s="171"/>
      <c r="K307" s="171"/>
    </row>
    <row r="308" spans="1:11" ht="12.75">
      <c r="A308" s="168" t="e">
        <f t="shared" si="0"/>
        <v>#REF!</v>
      </c>
      <c r="B308" s="175"/>
      <c r="C308" s="176"/>
      <c r="D308" s="175"/>
      <c r="E308" s="169"/>
      <c r="F308" s="170"/>
      <c r="G308" s="170"/>
      <c r="H308" s="170"/>
      <c r="I308" s="171"/>
      <c r="J308" s="171"/>
      <c r="K308" s="171"/>
    </row>
    <row r="309" spans="1:11" ht="12.75">
      <c r="A309" s="168" t="e">
        <f t="shared" si="0"/>
        <v>#REF!</v>
      </c>
      <c r="B309" s="175"/>
      <c r="C309" s="176"/>
      <c r="D309" s="175"/>
      <c r="E309" s="169"/>
      <c r="F309" s="170"/>
      <c r="G309" s="170"/>
      <c r="H309" s="170"/>
      <c r="I309" s="171"/>
      <c r="J309" s="171"/>
      <c r="K309" s="171"/>
    </row>
    <row r="310" spans="1:11" ht="12.75">
      <c r="A310" s="168" t="e">
        <f t="shared" si="0"/>
        <v>#REF!</v>
      </c>
      <c r="B310" s="175"/>
      <c r="C310" s="176"/>
      <c r="D310" s="175"/>
      <c r="E310" s="169"/>
      <c r="F310" s="170"/>
      <c r="G310" s="170"/>
      <c r="H310" s="170"/>
      <c r="I310" s="171"/>
      <c r="J310" s="171"/>
      <c r="K310" s="171"/>
    </row>
    <row r="311" spans="1:11" ht="12.75">
      <c r="A311" s="168" t="e">
        <f t="shared" si="0"/>
        <v>#REF!</v>
      </c>
      <c r="B311" s="175"/>
      <c r="C311" s="176"/>
      <c r="D311" s="175"/>
      <c r="E311" s="169"/>
      <c r="F311" s="170"/>
      <c r="G311" s="170"/>
      <c r="H311" s="170"/>
      <c r="I311" s="171"/>
      <c r="J311" s="171"/>
      <c r="K311" s="171"/>
    </row>
    <row r="312" spans="1:11" ht="12.75">
      <c r="A312" s="168" t="e">
        <f t="shared" si="0"/>
        <v>#REF!</v>
      </c>
      <c r="B312" s="175"/>
      <c r="C312" s="176"/>
      <c r="D312" s="175"/>
      <c r="E312" s="169"/>
      <c r="F312" s="170"/>
      <c r="G312" s="170"/>
      <c r="H312" s="170"/>
      <c r="I312" s="171"/>
      <c r="J312" s="171"/>
      <c r="K312" s="171"/>
    </row>
    <row r="313" spans="1:11" ht="12.75">
      <c r="A313" s="168" t="e">
        <f t="shared" si="0"/>
        <v>#REF!</v>
      </c>
      <c r="B313" s="175"/>
      <c r="C313" s="176"/>
      <c r="D313" s="175"/>
      <c r="E313" s="169"/>
      <c r="F313" s="170"/>
      <c r="G313" s="170"/>
      <c r="H313" s="170"/>
      <c r="I313" s="171"/>
      <c r="J313" s="171"/>
      <c r="K313" s="171"/>
    </row>
    <row r="314" spans="1:11" ht="12.75">
      <c r="A314" s="168" t="e">
        <f t="shared" si="0"/>
        <v>#REF!</v>
      </c>
      <c r="B314" s="175"/>
      <c r="C314" s="176"/>
      <c r="D314" s="175"/>
      <c r="E314" s="169"/>
      <c r="F314" s="170"/>
      <c r="G314" s="170"/>
      <c r="H314" s="170"/>
      <c r="I314" s="171"/>
      <c r="J314" s="171"/>
      <c r="K314" s="171"/>
    </row>
    <row r="315" spans="1:11" ht="12.75">
      <c r="A315" s="168" t="e">
        <f t="shared" si="0"/>
        <v>#REF!</v>
      </c>
      <c r="B315" s="175"/>
      <c r="C315" s="176"/>
      <c r="D315" s="175"/>
      <c r="E315" s="169"/>
      <c r="F315" s="170"/>
      <c r="G315" s="170"/>
      <c r="H315" s="170"/>
      <c r="I315" s="171"/>
      <c r="J315" s="171"/>
      <c r="K315" s="171"/>
    </row>
    <row r="316" spans="1:11" ht="12.75">
      <c r="A316" s="168" t="e">
        <f t="shared" si="0"/>
        <v>#REF!</v>
      </c>
      <c r="B316" s="175"/>
      <c r="C316" s="176"/>
      <c r="D316" s="175"/>
      <c r="E316" s="169"/>
      <c r="F316" s="170"/>
      <c r="G316" s="170"/>
      <c r="H316" s="170"/>
      <c r="I316" s="171"/>
      <c r="J316" s="171"/>
      <c r="K316" s="171"/>
    </row>
    <row r="317" spans="1:11" ht="12.75">
      <c r="A317" s="168" t="e">
        <f t="shared" si="0"/>
        <v>#REF!</v>
      </c>
      <c r="B317" s="175"/>
      <c r="C317" s="176"/>
      <c r="D317" s="175"/>
      <c r="E317" s="169"/>
      <c r="F317" s="170"/>
      <c r="G317" s="170"/>
      <c r="H317" s="170"/>
      <c r="I317" s="171"/>
      <c r="J317" s="171"/>
      <c r="K317" s="171"/>
    </row>
    <row r="318" spans="1:11" ht="12.75">
      <c r="A318" s="168" t="e">
        <f t="shared" si="0"/>
        <v>#REF!</v>
      </c>
      <c r="B318" s="175"/>
      <c r="C318" s="176"/>
      <c r="D318" s="175"/>
      <c r="E318" s="169"/>
      <c r="F318" s="170"/>
      <c r="G318" s="170"/>
      <c r="H318" s="170"/>
      <c r="I318" s="171"/>
      <c r="J318" s="171"/>
      <c r="K318" s="171"/>
    </row>
    <row r="319" spans="1:11" ht="12.75">
      <c r="A319" s="168" t="e">
        <f t="shared" si="0"/>
        <v>#REF!</v>
      </c>
      <c r="B319" s="175"/>
      <c r="C319" s="176"/>
      <c r="D319" s="175"/>
      <c r="E319" s="169"/>
      <c r="F319" s="170"/>
      <c r="G319" s="170"/>
      <c r="H319" s="170"/>
      <c r="I319" s="171"/>
      <c r="J319" s="171"/>
      <c r="K319" s="171"/>
    </row>
    <row r="320" spans="1:11" ht="12.75">
      <c r="A320" s="168" t="e">
        <f t="shared" si="0"/>
        <v>#REF!</v>
      </c>
      <c r="B320" s="175"/>
      <c r="C320" s="176"/>
      <c r="D320" s="175"/>
      <c r="E320" s="169"/>
      <c r="F320" s="170"/>
      <c r="G320" s="170"/>
      <c r="H320" s="170"/>
      <c r="I320" s="171"/>
      <c r="J320" s="171"/>
      <c r="K320" s="171"/>
    </row>
    <row r="321" spans="1:11" ht="12.75">
      <c r="A321" s="168" t="e">
        <f t="shared" si="0"/>
        <v>#REF!</v>
      </c>
      <c r="B321" s="175"/>
      <c r="C321" s="176"/>
      <c r="D321" s="175"/>
      <c r="E321" s="169"/>
      <c r="F321" s="170"/>
      <c r="G321" s="170"/>
      <c r="H321" s="170"/>
      <c r="I321" s="171"/>
      <c r="J321" s="171"/>
      <c r="K321" s="171"/>
    </row>
    <row r="322" spans="1:11" ht="12.75">
      <c r="A322" s="168" t="e">
        <f t="shared" si="0"/>
        <v>#REF!</v>
      </c>
      <c r="B322" s="175"/>
      <c r="C322" s="176"/>
      <c r="D322" s="175"/>
      <c r="E322" s="169"/>
      <c r="F322" s="170"/>
      <c r="G322" s="170"/>
      <c r="H322" s="170"/>
      <c r="I322" s="171"/>
      <c r="J322" s="171"/>
      <c r="K322" s="171"/>
    </row>
    <row r="323" spans="1:11" ht="12.75">
      <c r="A323" s="168" t="e">
        <f t="shared" si="0"/>
        <v>#REF!</v>
      </c>
      <c r="B323" s="175"/>
      <c r="C323" s="176"/>
      <c r="D323" s="175"/>
      <c r="E323" s="169"/>
      <c r="F323" s="170"/>
      <c r="G323" s="170"/>
      <c r="H323" s="170"/>
      <c r="I323" s="171"/>
      <c r="J323" s="171"/>
      <c r="K323" s="171"/>
    </row>
    <row r="324" spans="1:11" ht="12.75">
      <c r="A324" s="168" t="e">
        <f t="shared" si="0"/>
        <v>#REF!</v>
      </c>
      <c r="B324" s="175"/>
      <c r="C324" s="176"/>
      <c r="D324" s="175"/>
      <c r="E324" s="169"/>
      <c r="F324" s="170"/>
      <c r="G324" s="170"/>
      <c r="H324" s="170"/>
      <c r="I324" s="171"/>
      <c r="J324" s="171"/>
      <c r="K324" s="171"/>
    </row>
    <row r="325" spans="1:11" ht="12.75">
      <c r="A325" s="168" t="e">
        <f t="shared" si="0"/>
        <v>#REF!</v>
      </c>
      <c r="B325" s="175"/>
      <c r="C325" s="176"/>
      <c r="D325" s="175"/>
      <c r="E325" s="169"/>
      <c r="F325" s="170"/>
      <c r="G325" s="170"/>
      <c r="H325" s="170"/>
      <c r="I325" s="171"/>
      <c r="J325" s="171"/>
      <c r="K325" s="171"/>
    </row>
    <row r="326" spans="1:11" ht="12.75">
      <c r="A326" s="168" t="e">
        <f t="shared" si="0"/>
        <v>#REF!</v>
      </c>
      <c r="B326" s="175"/>
      <c r="C326" s="176"/>
      <c r="D326" s="175"/>
      <c r="E326" s="169"/>
      <c r="F326" s="170"/>
      <c r="G326" s="170"/>
      <c r="H326" s="170"/>
      <c r="I326" s="171"/>
      <c r="J326" s="171"/>
      <c r="K326" s="171"/>
    </row>
    <row r="327" spans="1:11" ht="12.75">
      <c r="A327" s="168" t="e">
        <f t="shared" si="0"/>
        <v>#REF!</v>
      </c>
      <c r="B327" s="175"/>
      <c r="C327" s="176"/>
      <c r="D327" s="175"/>
      <c r="E327" s="169"/>
      <c r="F327" s="170"/>
      <c r="G327" s="170"/>
      <c r="H327" s="170"/>
      <c r="I327" s="171"/>
      <c r="J327" s="171"/>
      <c r="K327" s="171"/>
    </row>
    <row r="328" spans="1:11" ht="12.75">
      <c r="A328" s="168" t="e">
        <f t="shared" si="0"/>
        <v>#REF!</v>
      </c>
      <c r="B328" s="175"/>
      <c r="C328" s="176"/>
      <c r="D328" s="175"/>
      <c r="E328" s="169"/>
      <c r="F328" s="170"/>
      <c r="G328" s="170"/>
      <c r="H328" s="170"/>
      <c r="I328" s="171"/>
      <c r="J328" s="171"/>
      <c r="K328" s="171"/>
    </row>
    <row r="329" spans="1:11" ht="12.75">
      <c r="A329" s="168" t="e">
        <f t="shared" si="0"/>
        <v>#REF!</v>
      </c>
      <c r="B329" s="175"/>
      <c r="C329" s="176"/>
      <c r="D329" s="175"/>
      <c r="E329" s="169"/>
      <c r="F329" s="170"/>
      <c r="G329" s="170"/>
      <c r="H329" s="170"/>
      <c r="I329" s="171"/>
      <c r="J329" s="171"/>
      <c r="K329" s="171"/>
    </row>
    <row r="330" spans="1:11" ht="12.75">
      <c r="A330" s="168" t="e">
        <f t="shared" si="0"/>
        <v>#REF!</v>
      </c>
      <c r="B330" s="175"/>
      <c r="C330" s="176"/>
      <c r="D330" s="175"/>
      <c r="E330" s="169"/>
      <c r="F330" s="170"/>
      <c r="G330" s="170"/>
      <c r="H330" s="170"/>
      <c r="I330" s="171"/>
      <c r="J330" s="171"/>
      <c r="K330" s="171"/>
    </row>
    <row r="331" spans="1:11" ht="12.75">
      <c r="A331" s="168" t="e">
        <f t="shared" si="0"/>
        <v>#REF!</v>
      </c>
      <c r="B331" s="175"/>
      <c r="C331" s="176"/>
      <c r="D331" s="175"/>
      <c r="E331" s="169"/>
      <c r="F331" s="170"/>
      <c r="G331" s="170"/>
      <c r="H331" s="170"/>
      <c r="I331" s="171"/>
      <c r="J331" s="171"/>
      <c r="K331" s="171"/>
    </row>
    <row r="332" spans="1:11" ht="12.75">
      <c r="A332" s="168" t="e">
        <f t="shared" si="0"/>
        <v>#REF!</v>
      </c>
      <c r="B332" s="175"/>
      <c r="C332" s="176"/>
      <c r="D332" s="175"/>
      <c r="E332" s="169"/>
      <c r="F332" s="170"/>
      <c r="G332" s="170"/>
      <c r="H332" s="170"/>
      <c r="I332" s="171"/>
      <c r="J332" s="171"/>
      <c r="K332" s="171"/>
    </row>
    <row r="333" spans="1:11" ht="12.75">
      <c r="A333" s="168" t="e">
        <f t="shared" si="0"/>
        <v>#REF!</v>
      </c>
      <c r="B333" s="175"/>
      <c r="C333" s="176"/>
      <c r="D333" s="175"/>
      <c r="E333" s="169"/>
      <c r="F333" s="170"/>
      <c r="G333" s="170"/>
      <c r="H333" s="170"/>
      <c r="I333" s="171"/>
      <c r="J333" s="171"/>
      <c r="K333" s="171"/>
    </row>
    <row r="334" spans="1:11" ht="12.75">
      <c r="A334" s="168" t="e">
        <f t="shared" si="0"/>
        <v>#REF!</v>
      </c>
      <c r="B334" s="175"/>
      <c r="C334" s="176"/>
      <c r="D334" s="175"/>
      <c r="E334" s="169"/>
      <c r="F334" s="170"/>
      <c r="G334" s="170"/>
      <c r="H334" s="170"/>
      <c r="I334" s="171"/>
      <c r="J334" s="171"/>
      <c r="K334" s="171"/>
    </row>
    <row r="335" spans="1:11" ht="12.75">
      <c r="A335" s="168" t="e">
        <f t="shared" si="0"/>
        <v>#REF!</v>
      </c>
      <c r="B335" s="175"/>
      <c r="C335" s="176"/>
      <c r="D335" s="175"/>
      <c r="E335" s="169"/>
      <c r="F335" s="170"/>
      <c r="G335" s="170"/>
      <c r="H335" s="170"/>
      <c r="I335" s="171"/>
      <c r="J335" s="171"/>
      <c r="K335" s="171"/>
    </row>
    <row r="336" spans="1:11" ht="12.75">
      <c r="A336" s="168" t="e">
        <f t="shared" si="0"/>
        <v>#REF!</v>
      </c>
      <c r="B336" s="175"/>
      <c r="C336" s="176"/>
      <c r="D336" s="175"/>
      <c r="E336" s="169"/>
      <c r="F336" s="170"/>
      <c r="G336" s="170"/>
      <c r="H336" s="170"/>
      <c r="I336" s="171"/>
      <c r="J336" s="171"/>
      <c r="K336" s="171"/>
    </row>
    <row r="337" spans="1:11" ht="12.75">
      <c r="A337" s="168" t="e">
        <f t="shared" si="0"/>
        <v>#REF!</v>
      </c>
      <c r="B337" s="175"/>
      <c r="C337" s="176"/>
      <c r="D337" s="175"/>
      <c r="E337" s="169"/>
      <c r="F337" s="170"/>
      <c r="G337" s="170"/>
      <c r="H337" s="170"/>
      <c r="I337" s="171"/>
      <c r="J337" s="171"/>
      <c r="K337" s="171"/>
    </row>
    <row r="338" spans="1:11" ht="12.75">
      <c r="A338" s="168" t="e">
        <f t="shared" si="0"/>
        <v>#REF!</v>
      </c>
      <c r="B338" s="175"/>
      <c r="C338" s="176"/>
      <c r="D338" s="175"/>
      <c r="E338" s="169"/>
      <c r="F338" s="170"/>
      <c r="G338" s="170"/>
      <c r="H338" s="170"/>
      <c r="I338" s="171"/>
      <c r="J338" s="171"/>
      <c r="K338" s="171"/>
    </row>
    <row r="339" spans="1:11" ht="12.75">
      <c r="A339" s="168" t="e">
        <f t="shared" si="0"/>
        <v>#REF!</v>
      </c>
      <c r="B339" s="175"/>
      <c r="C339" s="176"/>
      <c r="D339" s="175"/>
      <c r="E339" s="169"/>
      <c r="F339" s="170"/>
      <c r="G339" s="170"/>
      <c r="H339" s="170"/>
      <c r="I339" s="171"/>
      <c r="J339" s="171"/>
      <c r="K339" s="171"/>
    </row>
    <row r="340" spans="1:11" ht="12.75">
      <c r="A340" s="168" t="e">
        <f t="shared" si="0"/>
        <v>#REF!</v>
      </c>
      <c r="B340" s="175"/>
      <c r="C340" s="176"/>
      <c r="D340" s="175"/>
      <c r="E340" s="169"/>
      <c r="F340" s="170"/>
      <c r="G340" s="170"/>
      <c r="H340" s="170"/>
      <c r="I340" s="171"/>
      <c r="J340" s="171"/>
      <c r="K340" s="171"/>
    </row>
    <row r="341" spans="1:11" ht="12.75">
      <c r="A341" s="168" t="e">
        <f t="shared" si="0"/>
        <v>#REF!</v>
      </c>
      <c r="B341" s="175"/>
      <c r="C341" s="176"/>
      <c r="D341" s="175"/>
      <c r="E341" s="169"/>
      <c r="F341" s="170"/>
      <c r="G341" s="170"/>
      <c r="H341" s="170"/>
      <c r="I341" s="171"/>
      <c r="J341" s="171"/>
      <c r="K341" s="171"/>
    </row>
    <row r="342" spans="1:11" ht="12.75">
      <c r="A342" s="168" t="e">
        <f t="shared" si="0"/>
        <v>#REF!</v>
      </c>
      <c r="B342" s="175"/>
      <c r="C342" s="176"/>
      <c r="D342" s="175"/>
      <c r="E342" s="169"/>
      <c r="F342" s="170"/>
      <c r="G342" s="170"/>
      <c r="H342" s="170"/>
      <c r="I342" s="171"/>
      <c r="J342" s="171"/>
      <c r="K342" s="171"/>
    </row>
    <row r="343" spans="1:11" ht="12.75">
      <c r="A343" s="168" t="e">
        <f t="shared" si="0"/>
        <v>#REF!</v>
      </c>
      <c r="B343" s="175"/>
      <c r="C343" s="176"/>
      <c r="D343" s="175"/>
      <c r="E343" s="169"/>
      <c r="F343" s="170"/>
      <c r="G343" s="170"/>
      <c r="H343" s="170"/>
      <c r="I343" s="171"/>
      <c r="J343" s="171"/>
      <c r="K343" s="171"/>
    </row>
    <row r="344" spans="1:11" ht="12.75">
      <c r="A344" s="168" t="e">
        <f t="shared" si="0"/>
        <v>#REF!</v>
      </c>
      <c r="B344" s="175"/>
      <c r="C344" s="176"/>
      <c r="D344" s="175"/>
      <c r="E344" s="169"/>
      <c r="F344" s="170"/>
      <c r="G344" s="170"/>
      <c r="H344" s="170"/>
      <c r="I344" s="171"/>
      <c r="J344" s="171"/>
      <c r="K344" s="171"/>
    </row>
    <row r="345" spans="1:11" ht="12.75">
      <c r="A345" s="168" t="e">
        <f t="shared" si="0"/>
        <v>#REF!</v>
      </c>
      <c r="B345" s="175"/>
      <c r="C345" s="176"/>
      <c r="D345" s="175"/>
      <c r="E345" s="169"/>
      <c r="F345" s="170"/>
      <c r="G345" s="170"/>
      <c r="H345" s="170"/>
      <c r="I345" s="171"/>
      <c r="J345" s="171"/>
      <c r="K345" s="171"/>
    </row>
    <row r="346" spans="1:11" ht="12.75">
      <c r="A346" s="168" t="e">
        <f t="shared" si="0"/>
        <v>#REF!</v>
      </c>
      <c r="B346" s="175"/>
      <c r="C346" s="176"/>
      <c r="D346" s="175"/>
      <c r="E346" s="169"/>
      <c r="F346" s="170"/>
      <c r="G346" s="170"/>
      <c r="H346" s="170"/>
      <c r="I346" s="171"/>
      <c r="J346" s="171"/>
      <c r="K346" s="171"/>
    </row>
    <row r="347" spans="1:11" ht="12.75">
      <c r="A347" s="168" t="e">
        <f t="shared" si="0"/>
        <v>#REF!</v>
      </c>
      <c r="B347" s="175"/>
      <c r="C347" s="176"/>
      <c r="D347" s="175"/>
      <c r="E347" s="169"/>
      <c r="F347" s="170"/>
      <c r="G347" s="170"/>
      <c r="H347" s="170"/>
      <c r="I347" s="171"/>
      <c r="J347" s="171"/>
      <c r="K347" s="171"/>
    </row>
    <row r="348" spans="1:11" ht="12.75">
      <c r="A348" s="168" t="e">
        <f t="shared" si="0"/>
        <v>#REF!</v>
      </c>
      <c r="B348" s="175"/>
      <c r="C348" s="176"/>
      <c r="D348" s="175"/>
      <c r="E348" s="169"/>
      <c r="F348" s="170"/>
      <c r="G348" s="170"/>
      <c r="H348" s="170"/>
      <c r="I348" s="171"/>
      <c r="J348" s="171"/>
      <c r="K348" s="171"/>
    </row>
    <row r="349" spans="1:11" ht="12.75">
      <c r="A349" s="168" t="e">
        <f t="shared" si="0"/>
        <v>#REF!</v>
      </c>
      <c r="B349" s="175"/>
      <c r="C349" s="176"/>
      <c r="D349" s="175"/>
      <c r="E349" s="169"/>
      <c r="F349" s="170"/>
      <c r="G349" s="170"/>
      <c r="H349" s="170"/>
      <c r="I349" s="171"/>
      <c r="J349" s="171"/>
      <c r="K349" s="171"/>
    </row>
    <row r="350" spans="1:11" ht="12.75">
      <c r="A350" s="168" t="e">
        <f t="shared" si="0"/>
        <v>#REF!</v>
      </c>
      <c r="B350" s="175"/>
      <c r="C350" s="176"/>
      <c r="D350" s="175"/>
      <c r="E350" s="169"/>
      <c r="F350" s="170"/>
      <c r="G350" s="170"/>
      <c r="H350" s="170"/>
      <c r="I350" s="171"/>
      <c r="J350" s="171"/>
      <c r="K350" s="171"/>
    </row>
    <row r="351" spans="1:11" ht="12.75">
      <c r="A351" s="168" t="e">
        <f t="shared" si="0"/>
        <v>#REF!</v>
      </c>
      <c r="B351" s="175"/>
      <c r="C351" s="176"/>
      <c r="D351" s="175"/>
      <c r="E351" s="169"/>
      <c r="F351" s="170"/>
      <c r="G351" s="170"/>
      <c r="H351" s="170"/>
      <c r="I351" s="171"/>
      <c r="J351" s="171"/>
      <c r="K351" s="171"/>
    </row>
    <row r="352" spans="1:11" ht="12.75">
      <c r="A352" s="168" t="e">
        <f t="shared" si="0"/>
        <v>#REF!</v>
      </c>
      <c r="B352" s="175"/>
      <c r="C352" s="176"/>
      <c r="D352" s="175"/>
      <c r="E352" s="169"/>
      <c r="F352" s="170"/>
      <c r="G352" s="170"/>
      <c r="H352" s="170"/>
      <c r="I352" s="171"/>
      <c r="J352" s="171"/>
      <c r="K352" s="171"/>
    </row>
    <row r="353" spans="1:11" ht="12.75">
      <c r="A353" s="168" t="e">
        <f t="shared" si="0"/>
        <v>#REF!</v>
      </c>
      <c r="B353" s="175"/>
      <c r="C353" s="176"/>
      <c r="D353" s="175"/>
      <c r="E353" s="169"/>
      <c r="F353" s="170"/>
      <c r="G353" s="170"/>
      <c r="H353" s="170"/>
      <c r="I353" s="171"/>
      <c r="J353" s="171"/>
      <c r="K353" s="171"/>
    </row>
    <row r="354" spans="1:11" ht="12.75">
      <c r="A354" s="168" t="e">
        <f t="shared" si="0"/>
        <v>#REF!</v>
      </c>
      <c r="B354" s="175"/>
      <c r="C354" s="176"/>
      <c r="D354" s="175"/>
      <c r="E354" s="169"/>
      <c r="F354" s="170"/>
      <c r="G354" s="170"/>
      <c r="H354" s="170"/>
      <c r="I354" s="171"/>
      <c r="J354" s="171"/>
      <c r="K354" s="171"/>
    </row>
    <row r="355" spans="1:11" ht="12.75">
      <c r="A355" s="168" t="e">
        <f t="shared" si="0"/>
        <v>#REF!</v>
      </c>
      <c r="B355" s="175"/>
      <c r="C355" s="176"/>
      <c r="D355" s="175"/>
      <c r="E355" s="169"/>
      <c r="F355" s="170"/>
      <c r="G355" s="170"/>
      <c r="H355" s="170"/>
      <c r="I355" s="171"/>
      <c r="J355" s="171"/>
      <c r="K355" s="171"/>
    </row>
    <row r="356" spans="1:11" ht="12.75">
      <c r="A356" s="168" t="e">
        <f t="shared" si="0"/>
        <v>#REF!</v>
      </c>
      <c r="B356" s="175"/>
      <c r="C356" s="176"/>
      <c r="D356" s="175"/>
      <c r="E356" s="169"/>
      <c r="F356" s="170"/>
      <c r="G356" s="170"/>
      <c r="H356" s="170"/>
      <c r="I356" s="171"/>
      <c r="J356" s="171"/>
      <c r="K356" s="171"/>
    </row>
    <row r="357" spans="1:11" ht="12.75">
      <c r="A357" s="168" t="e">
        <f t="shared" si="0"/>
        <v>#REF!</v>
      </c>
      <c r="B357" s="175"/>
      <c r="C357" s="176"/>
      <c r="D357" s="175"/>
      <c r="E357" s="169"/>
      <c r="F357" s="170"/>
      <c r="G357" s="170"/>
      <c r="H357" s="170"/>
      <c r="I357" s="171"/>
      <c r="J357" s="171"/>
      <c r="K357" s="171"/>
    </row>
    <row r="358" spans="1:11" ht="12.75">
      <c r="A358" s="168" t="e">
        <f t="shared" si="0"/>
        <v>#REF!</v>
      </c>
      <c r="B358" s="175"/>
      <c r="C358" s="176"/>
      <c r="D358" s="175"/>
      <c r="E358" s="169"/>
      <c r="F358" s="170"/>
      <c r="G358" s="170"/>
      <c r="H358" s="170"/>
      <c r="I358" s="171"/>
      <c r="J358" s="171"/>
      <c r="K358" s="171"/>
    </row>
    <row r="359" spans="1:11" ht="12.75">
      <c r="A359" s="168" t="e">
        <f t="shared" si="0"/>
        <v>#REF!</v>
      </c>
      <c r="B359" s="175"/>
      <c r="C359" s="176"/>
      <c r="D359" s="175"/>
      <c r="E359" s="169"/>
      <c r="F359" s="170"/>
      <c r="G359" s="170"/>
      <c r="H359" s="170"/>
      <c r="I359" s="171"/>
      <c r="J359" s="171"/>
      <c r="K359" s="171"/>
    </row>
    <row r="360" spans="1:11" ht="12.75">
      <c r="A360" s="168" t="e">
        <f t="shared" si="0"/>
        <v>#REF!</v>
      </c>
      <c r="B360" s="175"/>
      <c r="C360" s="176"/>
      <c r="D360" s="175"/>
      <c r="E360" s="169"/>
      <c r="F360" s="170"/>
      <c r="G360" s="170"/>
      <c r="H360" s="170"/>
      <c r="I360" s="171"/>
      <c r="J360" s="171"/>
      <c r="K360" s="171"/>
    </row>
    <row r="361" spans="1:11" ht="12.75">
      <c r="A361" s="168" t="e">
        <f t="shared" si="0"/>
        <v>#REF!</v>
      </c>
      <c r="B361" s="175"/>
      <c r="C361" s="176"/>
      <c r="D361" s="175"/>
      <c r="E361" s="169"/>
      <c r="F361" s="170"/>
      <c r="G361" s="170"/>
      <c r="H361" s="170"/>
      <c r="I361" s="171"/>
      <c r="J361" s="171"/>
      <c r="K361" s="171"/>
    </row>
    <row r="362" spans="1:11" ht="12.75">
      <c r="A362" s="168" t="e">
        <f t="shared" si="0"/>
        <v>#REF!</v>
      </c>
      <c r="B362" s="175"/>
      <c r="C362" s="176"/>
      <c r="D362" s="175"/>
      <c r="E362" s="169"/>
      <c r="F362" s="170"/>
      <c r="G362" s="170"/>
      <c r="H362" s="170"/>
      <c r="I362" s="171"/>
      <c r="J362" s="171"/>
      <c r="K362" s="171"/>
    </row>
    <row r="363" spans="1:11" ht="12.75">
      <c r="A363" s="168" t="e">
        <f t="shared" si="0"/>
        <v>#REF!</v>
      </c>
      <c r="B363" s="175"/>
      <c r="C363" s="176"/>
      <c r="D363" s="175"/>
      <c r="E363" s="169"/>
      <c r="F363" s="170"/>
      <c r="G363" s="170"/>
      <c r="H363" s="170"/>
      <c r="I363" s="171"/>
      <c r="J363" s="171"/>
      <c r="K363" s="171"/>
    </row>
    <row r="364" spans="1:11" ht="12.75">
      <c r="A364" s="168" t="e">
        <f t="shared" si="0"/>
        <v>#REF!</v>
      </c>
      <c r="B364" s="175"/>
      <c r="C364" s="176"/>
      <c r="D364" s="175"/>
      <c r="E364" s="169"/>
      <c r="F364" s="170"/>
      <c r="G364" s="170"/>
      <c r="H364" s="170"/>
      <c r="I364" s="171"/>
      <c r="J364" s="171"/>
      <c r="K364" s="171"/>
    </row>
    <row r="365" spans="1:11" ht="12.75">
      <c r="A365" s="168" t="e">
        <f t="shared" si="0"/>
        <v>#REF!</v>
      </c>
      <c r="B365" s="175"/>
      <c r="C365" s="176"/>
      <c r="D365" s="175"/>
      <c r="E365" s="169"/>
      <c r="F365" s="170"/>
      <c r="G365" s="170"/>
      <c r="H365" s="170"/>
      <c r="I365" s="171"/>
      <c r="J365" s="171"/>
      <c r="K365" s="171"/>
    </row>
    <row r="366" spans="1:11" ht="12.75">
      <c r="A366" s="168" t="e">
        <f t="shared" si="0"/>
        <v>#REF!</v>
      </c>
      <c r="B366" s="175"/>
      <c r="C366" s="176"/>
      <c r="D366" s="175"/>
      <c r="E366" s="169"/>
      <c r="F366" s="170"/>
      <c r="G366" s="170"/>
      <c r="H366" s="170"/>
      <c r="I366" s="171"/>
      <c r="J366" s="171"/>
      <c r="K366" s="171"/>
    </row>
    <row r="367" spans="1:11" ht="12.75">
      <c r="A367" s="168" t="e">
        <f t="shared" si="0"/>
        <v>#REF!</v>
      </c>
      <c r="B367" s="175"/>
      <c r="C367" s="176"/>
      <c r="D367" s="175"/>
      <c r="E367" s="169"/>
      <c r="F367" s="170"/>
      <c r="G367" s="170"/>
      <c r="H367" s="170"/>
      <c r="I367" s="171"/>
      <c r="J367" s="171"/>
      <c r="K367" s="171"/>
    </row>
    <row r="368" spans="1:11" ht="12.75">
      <c r="A368" s="168" t="e">
        <f t="shared" si="0"/>
        <v>#REF!</v>
      </c>
      <c r="B368" s="175"/>
      <c r="C368" s="176"/>
      <c r="D368" s="175"/>
      <c r="E368" s="169"/>
      <c r="F368" s="170"/>
      <c r="G368" s="170"/>
      <c r="H368" s="170"/>
      <c r="I368" s="171"/>
      <c r="J368" s="171"/>
      <c r="K368" s="171"/>
    </row>
    <row r="369" spans="1:11" ht="12.75">
      <c r="A369" s="168" t="e">
        <f t="shared" si="0"/>
        <v>#REF!</v>
      </c>
      <c r="B369" s="175"/>
      <c r="C369" s="176"/>
      <c r="D369" s="175"/>
      <c r="E369" s="169"/>
      <c r="F369" s="170"/>
      <c r="G369" s="170"/>
      <c r="H369" s="170"/>
      <c r="I369" s="171"/>
      <c r="J369" s="171"/>
      <c r="K369" s="171"/>
    </row>
    <row r="370" spans="1:11" ht="12.75">
      <c r="A370" s="168" t="e">
        <f t="shared" si="0"/>
        <v>#REF!</v>
      </c>
      <c r="B370" s="175"/>
      <c r="C370" s="176"/>
      <c r="D370" s="175"/>
      <c r="E370" s="169"/>
      <c r="F370" s="170"/>
      <c r="G370" s="170"/>
      <c r="H370" s="170"/>
      <c r="I370" s="171"/>
      <c r="J370" s="171"/>
      <c r="K370" s="171"/>
    </row>
    <row r="371" spans="1:11" ht="12.75">
      <c r="A371" s="168" t="e">
        <f t="shared" si="0"/>
        <v>#REF!</v>
      </c>
      <c r="B371" s="175"/>
      <c r="C371" s="176"/>
      <c r="D371" s="175"/>
      <c r="E371" s="169"/>
      <c r="F371" s="170"/>
      <c r="G371" s="170"/>
      <c r="H371" s="170"/>
      <c r="I371" s="171"/>
      <c r="J371" s="171"/>
      <c r="K371" s="171"/>
    </row>
    <row r="372" spans="1:11" ht="12.75">
      <c r="A372" s="168" t="e">
        <f t="shared" si="0"/>
        <v>#REF!</v>
      </c>
      <c r="B372" s="175"/>
      <c r="C372" s="176"/>
      <c r="D372" s="175"/>
      <c r="E372" s="169"/>
      <c r="F372" s="170"/>
      <c r="G372" s="170"/>
      <c r="H372" s="170"/>
      <c r="I372" s="171"/>
      <c r="J372" s="171"/>
      <c r="K372" s="171"/>
    </row>
    <row r="373" spans="1:11" ht="12.75">
      <c r="A373" s="168" t="e">
        <f t="shared" si="0"/>
        <v>#REF!</v>
      </c>
      <c r="B373" s="175"/>
      <c r="C373" s="176"/>
      <c r="D373" s="175"/>
      <c r="E373" s="169"/>
      <c r="F373" s="170"/>
      <c r="G373" s="170"/>
      <c r="H373" s="170"/>
      <c r="I373" s="171"/>
      <c r="J373" s="171"/>
      <c r="K373" s="171"/>
    </row>
    <row r="374" spans="1:11" ht="12.75">
      <c r="A374" s="168" t="e">
        <f t="shared" si="0"/>
        <v>#REF!</v>
      </c>
      <c r="B374" s="175"/>
      <c r="C374" s="176"/>
      <c r="D374" s="175"/>
      <c r="E374" s="169"/>
      <c r="F374" s="170"/>
      <c r="G374" s="170"/>
      <c r="H374" s="170"/>
      <c r="I374" s="171"/>
      <c r="J374" s="171"/>
      <c r="K374" s="171"/>
    </row>
    <row r="375" spans="1:11" ht="12.75">
      <c r="A375" s="168" t="e">
        <f t="shared" si="0"/>
        <v>#REF!</v>
      </c>
      <c r="B375" s="175"/>
      <c r="C375" s="176"/>
      <c r="D375" s="175"/>
      <c r="E375" s="169"/>
      <c r="F375" s="170"/>
      <c r="G375" s="170"/>
      <c r="H375" s="170"/>
      <c r="I375" s="171"/>
      <c r="J375" s="171"/>
      <c r="K375" s="171"/>
    </row>
    <row r="376" spans="1:11" ht="12.75">
      <c r="A376" s="168" t="e">
        <f t="shared" si="0"/>
        <v>#REF!</v>
      </c>
      <c r="B376" s="175"/>
      <c r="C376" s="176"/>
      <c r="D376" s="175"/>
      <c r="E376" s="169"/>
      <c r="F376" s="170"/>
      <c r="G376" s="170"/>
      <c r="H376" s="170"/>
      <c r="I376" s="171"/>
      <c r="J376" s="171"/>
      <c r="K376" s="171"/>
    </row>
    <row r="377" spans="1:11" ht="12.75">
      <c r="A377" s="168" t="e">
        <f t="shared" si="0"/>
        <v>#REF!</v>
      </c>
      <c r="B377" s="175"/>
      <c r="C377" s="176"/>
      <c r="D377" s="175"/>
      <c r="E377" s="169"/>
      <c r="F377" s="170"/>
      <c r="G377" s="170"/>
      <c r="H377" s="170"/>
      <c r="I377" s="171"/>
      <c r="J377" s="171"/>
      <c r="K377" s="171"/>
    </row>
    <row r="378" spans="1:11" ht="12.75">
      <c r="A378" s="168" t="e">
        <f t="shared" si="0"/>
        <v>#REF!</v>
      </c>
      <c r="B378" s="175"/>
      <c r="C378" s="176"/>
      <c r="D378" s="175"/>
      <c r="E378" s="169"/>
      <c r="F378" s="170"/>
      <c r="G378" s="170"/>
      <c r="H378" s="170"/>
      <c r="I378" s="171"/>
      <c r="J378" s="171"/>
      <c r="K378" s="171"/>
    </row>
    <row r="379" spans="1:11" ht="12.75">
      <c r="A379" s="168" t="e">
        <f t="shared" si="0"/>
        <v>#REF!</v>
      </c>
      <c r="B379" s="175"/>
      <c r="C379" s="176"/>
      <c r="D379" s="175"/>
      <c r="E379" s="169"/>
      <c r="F379" s="170"/>
      <c r="G379" s="170"/>
      <c r="H379" s="170"/>
      <c r="I379" s="171"/>
      <c r="J379" s="171"/>
      <c r="K379" s="171"/>
    </row>
    <row r="380" spans="1:11" ht="12.75">
      <c r="A380" s="168" t="e">
        <f t="shared" si="0"/>
        <v>#REF!</v>
      </c>
      <c r="B380" s="175"/>
      <c r="C380" s="176"/>
      <c r="D380" s="175"/>
      <c r="E380" s="169"/>
      <c r="F380" s="170"/>
      <c r="G380" s="170"/>
      <c r="H380" s="170"/>
      <c r="I380" s="171"/>
      <c r="J380" s="171"/>
      <c r="K380" s="171"/>
    </row>
    <row r="381" spans="1:11" ht="12.75">
      <c r="A381" s="168" t="e">
        <f t="shared" si="0"/>
        <v>#REF!</v>
      </c>
      <c r="B381" s="175"/>
      <c r="C381" s="176"/>
      <c r="D381" s="175"/>
      <c r="E381" s="169"/>
      <c r="F381" s="170"/>
      <c r="G381" s="170"/>
      <c r="H381" s="170"/>
      <c r="I381" s="171"/>
      <c r="J381" s="171"/>
      <c r="K381" s="171"/>
    </row>
    <row r="382" spans="1:11" ht="12.75">
      <c r="A382" s="168" t="e">
        <f t="shared" si="0"/>
        <v>#REF!</v>
      </c>
      <c r="B382" s="175"/>
      <c r="C382" s="176"/>
      <c r="D382" s="175"/>
      <c r="E382" s="169"/>
      <c r="F382" s="170"/>
      <c r="G382" s="170"/>
      <c r="H382" s="170"/>
      <c r="I382" s="171"/>
      <c r="J382" s="171"/>
      <c r="K382" s="171"/>
    </row>
    <row r="383" spans="1:11" ht="12.75">
      <c r="A383" s="168" t="e">
        <f t="shared" si="0"/>
        <v>#REF!</v>
      </c>
      <c r="B383" s="175"/>
      <c r="C383" s="176"/>
      <c r="D383" s="175"/>
      <c r="E383" s="169"/>
      <c r="F383" s="170"/>
      <c r="G383" s="170"/>
      <c r="H383" s="170"/>
      <c r="I383" s="171"/>
      <c r="J383" s="171"/>
      <c r="K383" s="171"/>
    </row>
    <row r="384" spans="1:11" ht="12.75">
      <c r="A384" s="168" t="e">
        <f t="shared" si="0"/>
        <v>#REF!</v>
      </c>
      <c r="B384" s="175"/>
      <c r="C384" s="176"/>
      <c r="D384" s="175"/>
      <c r="E384" s="169"/>
      <c r="F384" s="170"/>
      <c r="G384" s="170"/>
      <c r="H384" s="170"/>
      <c r="I384" s="171"/>
      <c r="J384" s="171"/>
      <c r="K384" s="171"/>
    </row>
    <row r="385" spans="1:11" ht="12.75">
      <c r="A385" s="168" t="e">
        <f t="shared" si="0"/>
        <v>#REF!</v>
      </c>
      <c r="B385" s="175"/>
      <c r="C385" s="176"/>
      <c r="D385" s="175"/>
      <c r="E385" s="169"/>
      <c r="F385" s="170"/>
      <c r="G385" s="170"/>
      <c r="H385" s="170"/>
      <c r="I385" s="171"/>
      <c r="J385" s="171"/>
      <c r="K385" s="171"/>
    </row>
    <row r="386" spans="1:11" ht="12.75">
      <c r="A386" s="168" t="e">
        <f t="shared" si="0"/>
        <v>#REF!</v>
      </c>
      <c r="B386" s="175"/>
      <c r="C386" s="176"/>
      <c r="D386" s="175"/>
      <c r="E386" s="169"/>
      <c r="F386" s="170"/>
      <c r="G386" s="170"/>
      <c r="H386" s="170"/>
      <c r="I386" s="171"/>
      <c r="J386" s="171"/>
      <c r="K386" s="171"/>
    </row>
    <row r="387" spans="1:11" ht="12.75">
      <c r="A387" s="168" t="e">
        <f t="shared" si="0"/>
        <v>#REF!</v>
      </c>
      <c r="B387" s="175"/>
      <c r="C387" s="176"/>
      <c r="D387" s="175"/>
      <c r="E387" s="169"/>
      <c r="F387" s="170"/>
      <c r="G387" s="170"/>
      <c r="H387" s="170"/>
      <c r="I387" s="171"/>
      <c r="J387" s="171"/>
      <c r="K387" s="171"/>
    </row>
    <row r="388" spans="1:11" ht="12.75">
      <c r="A388" s="168" t="e">
        <f t="shared" si="0"/>
        <v>#REF!</v>
      </c>
      <c r="B388" s="175"/>
      <c r="C388" s="176"/>
      <c r="D388" s="175"/>
      <c r="E388" s="169"/>
      <c r="F388" s="170"/>
      <c r="G388" s="170"/>
      <c r="H388" s="170"/>
      <c r="I388" s="171"/>
      <c r="J388" s="171"/>
      <c r="K388" s="171"/>
    </row>
    <row r="389" spans="1:11" ht="12.75">
      <c r="A389" s="168" t="e">
        <f t="shared" si="0"/>
        <v>#REF!</v>
      </c>
      <c r="B389" s="175"/>
      <c r="C389" s="176"/>
      <c r="D389" s="175"/>
      <c r="E389" s="169"/>
      <c r="F389" s="170"/>
      <c r="G389" s="170"/>
      <c r="H389" s="170"/>
      <c r="I389" s="171"/>
      <c r="J389" s="171"/>
      <c r="K389" s="171"/>
    </row>
    <row r="390" spans="1:11" ht="12.75">
      <c r="A390" s="168" t="e">
        <f t="shared" si="0"/>
        <v>#REF!</v>
      </c>
      <c r="B390" s="175"/>
      <c r="C390" s="176"/>
      <c r="D390" s="175"/>
      <c r="E390" s="169"/>
      <c r="F390" s="170"/>
      <c r="G390" s="170"/>
      <c r="H390" s="170"/>
      <c r="I390" s="171"/>
      <c r="J390" s="171"/>
      <c r="K390" s="171"/>
    </row>
    <row r="391" spans="1:11" ht="12.75">
      <c r="A391" s="168" t="e">
        <f t="shared" si="0"/>
        <v>#REF!</v>
      </c>
      <c r="B391" s="175"/>
      <c r="C391" s="176"/>
      <c r="D391" s="175"/>
      <c r="E391" s="169"/>
      <c r="F391" s="170"/>
      <c r="G391" s="170"/>
      <c r="H391" s="170"/>
      <c r="I391" s="171"/>
      <c r="J391" s="171"/>
      <c r="K391" s="171"/>
    </row>
    <row r="392" spans="1:11" ht="12.75">
      <c r="A392" s="168" t="e">
        <f t="shared" si="0"/>
        <v>#REF!</v>
      </c>
      <c r="B392" s="175"/>
      <c r="C392" s="176"/>
      <c r="D392" s="175"/>
      <c r="E392" s="169"/>
      <c r="F392" s="170"/>
      <c r="G392" s="170"/>
      <c r="H392" s="170"/>
      <c r="I392" s="171"/>
      <c r="J392" s="171"/>
      <c r="K392" s="171"/>
    </row>
    <row r="393" spans="1:11" ht="12.75">
      <c r="A393" s="168" t="e">
        <f t="shared" si="0"/>
        <v>#REF!</v>
      </c>
      <c r="B393" s="175"/>
      <c r="C393" s="176"/>
      <c r="D393" s="175"/>
      <c r="E393" s="169"/>
      <c r="F393" s="170"/>
      <c r="G393" s="170"/>
      <c r="H393" s="170"/>
      <c r="I393" s="171"/>
      <c r="J393" s="171"/>
      <c r="K393" s="171"/>
    </row>
    <row r="394" spans="1:11" ht="12.75">
      <c r="A394" s="168" t="e">
        <f t="shared" si="0"/>
        <v>#REF!</v>
      </c>
      <c r="B394" s="175"/>
      <c r="C394" s="176"/>
      <c r="D394" s="175"/>
      <c r="E394" s="169"/>
      <c r="F394" s="170"/>
      <c r="G394" s="170"/>
      <c r="H394" s="170"/>
      <c r="I394" s="171"/>
      <c r="J394" s="171"/>
      <c r="K394" s="171"/>
    </row>
    <row r="395" spans="1:11" ht="12.75">
      <c r="A395" s="168" t="e">
        <f t="shared" si="0"/>
        <v>#REF!</v>
      </c>
      <c r="B395" s="175"/>
      <c r="C395" s="176"/>
      <c r="D395" s="175"/>
      <c r="E395" s="169"/>
      <c r="F395" s="170"/>
      <c r="G395" s="170"/>
      <c r="H395" s="170"/>
      <c r="I395" s="171"/>
      <c r="J395" s="171"/>
      <c r="K395" s="171"/>
    </row>
    <row r="396" spans="1:11" ht="12.75">
      <c r="A396" s="168" t="e">
        <f t="shared" si="0"/>
        <v>#REF!</v>
      </c>
      <c r="B396" s="175"/>
      <c r="C396" s="176"/>
      <c r="D396" s="175"/>
      <c r="E396" s="169"/>
      <c r="F396" s="170"/>
      <c r="G396" s="170"/>
      <c r="H396" s="170"/>
      <c r="I396" s="171"/>
      <c r="J396" s="171"/>
      <c r="K396" s="171"/>
    </row>
    <row r="397" spans="1:11" ht="12.75">
      <c r="A397" s="168" t="e">
        <f t="shared" si="0"/>
        <v>#REF!</v>
      </c>
      <c r="B397" s="175"/>
      <c r="C397" s="176"/>
      <c r="D397" s="175"/>
      <c r="E397" s="169"/>
      <c r="F397" s="170"/>
      <c r="G397" s="170"/>
      <c r="H397" s="170"/>
      <c r="I397" s="171"/>
      <c r="J397" s="171"/>
      <c r="K397" s="171"/>
    </row>
    <row r="398" spans="1:11" ht="12.75">
      <c r="A398" s="168" t="e">
        <f t="shared" si="0"/>
        <v>#REF!</v>
      </c>
      <c r="B398" s="175"/>
      <c r="C398" s="176"/>
      <c r="D398" s="175"/>
      <c r="E398" s="169"/>
      <c r="F398" s="170"/>
      <c r="G398" s="170"/>
      <c r="H398" s="170"/>
      <c r="I398" s="171"/>
      <c r="J398" s="171"/>
      <c r="K398" s="171"/>
    </row>
    <row r="399" spans="1:11" ht="12.75">
      <c r="A399" s="168" t="e">
        <f t="shared" si="0"/>
        <v>#REF!</v>
      </c>
      <c r="B399" s="175"/>
      <c r="C399" s="176"/>
      <c r="D399" s="175"/>
      <c r="E399" s="169"/>
      <c r="F399" s="170"/>
      <c r="G399" s="170"/>
      <c r="H399" s="170"/>
      <c r="I399" s="171"/>
      <c r="J399" s="171"/>
      <c r="K399" s="171"/>
    </row>
    <row r="400" spans="1:11" ht="12.75">
      <c r="A400" s="168" t="e">
        <f t="shared" si="0"/>
        <v>#REF!</v>
      </c>
      <c r="B400" s="175"/>
      <c r="C400" s="176"/>
      <c r="D400" s="175"/>
      <c r="E400" s="169"/>
      <c r="F400" s="170"/>
      <c r="G400" s="170"/>
      <c r="H400" s="170"/>
      <c r="I400" s="171"/>
      <c r="J400" s="171"/>
      <c r="K400" s="171"/>
    </row>
    <row r="401" spans="1:11" ht="12.75">
      <c r="A401" s="168" t="e">
        <f t="shared" si="0"/>
        <v>#REF!</v>
      </c>
      <c r="B401" s="175"/>
      <c r="C401" s="176"/>
      <c r="D401" s="175"/>
      <c r="E401" s="169"/>
      <c r="F401" s="170"/>
      <c r="G401" s="170"/>
      <c r="H401" s="170"/>
      <c r="I401" s="171"/>
      <c r="J401" s="171"/>
      <c r="K401" s="171"/>
    </row>
    <row r="402" spans="1:11" ht="12.75">
      <c r="A402" s="168" t="e">
        <f t="shared" si="0"/>
        <v>#REF!</v>
      </c>
      <c r="B402" s="175"/>
      <c r="C402" s="176"/>
      <c r="D402" s="175"/>
      <c r="E402" s="169"/>
      <c r="F402" s="170"/>
      <c r="G402" s="170"/>
      <c r="H402" s="170"/>
      <c r="I402" s="171"/>
      <c r="J402" s="171"/>
      <c r="K402" s="171"/>
    </row>
    <row r="403" spans="1:11" ht="12.75">
      <c r="A403" s="168" t="e">
        <f t="shared" si="0"/>
        <v>#REF!</v>
      </c>
      <c r="B403" s="175"/>
      <c r="C403" s="176"/>
      <c r="D403" s="175"/>
      <c r="E403" s="169"/>
      <c r="F403" s="170"/>
      <c r="G403" s="170"/>
      <c r="H403" s="170"/>
      <c r="I403" s="171"/>
      <c r="J403" s="171"/>
      <c r="K403" s="171"/>
    </row>
    <row r="404" spans="1:11" ht="12.75">
      <c r="A404" s="168" t="e">
        <f t="shared" si="0"/>
        <v>#REF!</v>
      </c>
      <c r="B404" s="175"/>
      <c r="C404" s="176"/>
      <c r="D404" s="175"/>
      <c r="E404" s="169"/>
      <c r="F404" s="170"/>
      <c r="G404" s="170"/>
      <c r="H404" s="170"/>
      <c r="I404" s="171"/>
      <c r="J404" s="171"/>
      <c r="K404" s="171"/>
    </row>
    <row r="405" spans="1:11" ht="12.75">
      <c r="A405" s="168" t="e">
        <f t="shared" si="0"/>
        <v>#REF!</v>
      </c>
      <c r="B405" s="175"/>
      <c r="C405" s="176"/>
      <c r="D405" s="175"/>
      <c r="E405" s="169"/>
      <c r="F405" s="170"/>
      <c r="G405" s="170"/>
      <c r="H405" s="170"/>
      <c r="I405" s="171"/>
      <c r="J405" s="171"/>
      <c r="K405" s="171"/>
    </row>
    <row r="406" spans="1:11" ht="12.75">
      <c r="A406" s="168" t="e">
        <f t="shared" si="0"/>
        <v>#REF!</v>
      </c>
      <c r="B406" s="175"/>
      <c r="C406" s="176"/>
      <c r="D406" s="175"/>
      <c r="E406" s="169"/>
      <c r="F406" s="170"/>
      <c r="G406" s="170"/>
      <c r="H406" s="170"/>
      <c r="I406" s="171"/>
      <c r="J406" s="171"/>
      <c r="K406" s="171"/>
    </row>
    <row r="407" spans="1:11" ht="12.75">
      <c r="A407" s="168" t="e">
        <f t="shared" si="0"/>
        <v>#REF!</v>
      </c>
      <c r="B407" s="175"/>
      <c r="C407" s="176"/>
      <c r="D407" s="175"/>
      <c r="E407" s="169"/>
      <c r="F407" s="170"/>
      <c r="G407" s="170"/>
      <c r="H407" s="170"/>
      <c r="I407" s="171"/>
      <c r="J407" s="171"/>
      <c r="K407" s="171"/>
    </row>
    <row r="408" spans="1:11" ht="12.75">
      <c r="A408" s="168" t="e">
        <f t="shared" si="0"/>
        <v>#REF!</v>
      </c>
      <c r="B408" s="175"/>
      <c r="C408" s="176"/>
      <c r="D408" s="175"/>
      <c r="E408" s="169"/>
      <c r="F408" s="170"/>
      <c r="G408" s="170"/>
      <c r="H408" s="170"/>
      <c r="I408" s="171"/>
      <c r="J408" s="171"/>
      <c r="K408" s="171"/>
    </row>
    <row r="409" spans="1:11" ht="12.75">
      <c r="A409" s="168" t="e">
        <f t="shared" si="0"/>
        <v>#REF!</v>
      </c>
      <c r="B409" s="175"/>
      <c r="C409" s="176"/>
      <c r="D409" s="175"/>
      <c r="E409" s="169"/>
      <c r="F409" s="170"/>
      <c r="G409" s="170"/>
      <c r="H409" s="170"/>
      <c r="I409" s="171"/>
      <c r="J409" s="171"/>
      <c r="K409" s="171"/>
    </row>
    <row r="410" spans="1:11" ht="12.75">
      <c r="A410" s="168" t="e">
        <f t="shared" si="0"/>
        <v>#REF!</v>
      </c>
      <c r="B410" s="175"/>
      <c r="C410" s="176"/>
      <c r="D410" s="175"/>
      <c r="E410" s="169"/>
      <c r="F410" s="170"/>
      <c r="G410" s="170"/>
      <c r="H410" s="170"/>
      <c r="I410" s="171"/>
      <c r="J410" s="171"/>
      <c r="K410" s="171"/>
    </row>
    <row r="411" spans="1:11" ht="12.75">
      <c r="A411" s="168" t="e">
        <f t="shared" si="0"/>
        <v>#REF!</v>
      </c>
      <c r="B411" s="175"/>
      <c r="C411" s="176"/>
      <c r="D411" s="175"/>
      <c r="E411" s="169"/>
      <c r="F411" s="170"/>
      <c r="G411" s="170"/>
      <c r="H411" s="170"/>
      <c r="I411" s="171"/>
      <c r="J411" s="171"/>
      <c r="K411" s="171"/>
    </row>
    <row r="412" spans="1:11" ht="12.75">
      <c r="A412" s="168" t="e">
        <f t="shared" si="0"/>
        <v>#REF!</v>
      </c>
      <c r="B412" s="175"/>
      <c r="C412" s="176"/>
      <c r="D412" s="175"/>
      <c r="E412" s="169"/>
      <c r="F412" s="170"/>
      <c r="G412" s="170"/>
      <c r="H412" s="170"/>
      <c r="I412" s="171"/>
      <c r="J412" s="171"/>
      <c r="K412" s="171"/>
    </row>
    <row r="413" spans="1:11" ht="12.75">
      <c r="A413" s="168" t="e">
        <f t="shared" si="0"/>
        <v>#REF!</v>
      </c>
      <c r="B413" s="175"/>
      <c r="C413" s="176"/>
      <c r="D413" s="175"/>
      <c r="E413" s="169"/>
      <c r="F413" s="170"/>
      <c r="G413" s="170"/>
      <c r="H413" s="170"/>
      <c r="I413" s="171"/>
      <c r="J413" s="171"/>
      <c r="K413" s="171"/>
    </row>
    <row r="414" spans="1:11" ht="12.75">
      <c r="A414" s="168" t="e">
        <f t="shared" si="0"/>
        <v>#REF!</v>
      </c>
      <c r="B414" s="175"/>
      <c r="C414" s="176"/>
      <c r="D414" s="175"/>
      <c r="E414" s="169"/>
      <c r="F414" s="170"/>
      <c r="G414" s="170"/>
      <c r="H414" s="170"/>
      <c r="I414" s="171"/>
      <c r="J414" s="171"/>
      <c r="K414" s="171"/>
    </row>
    <row r="415" spans="1:11" ht="12.75">
      <c r="A415" s="168" t="e">
        <f t="shared" si="0"/>
        <v>#REF!</v>
      </c>
      <c r="B415" s="175"/>
      <c r="C415" s="176"/>
      <c r="D415" s="175"/>
      <c r="E415" s="169"/>
      <c r="F415" s="170"/>
      <c r="G415" s="170"/>
      <c r="H415" s="170"/>
      <c r="I415" s="171"/>
      <c r="J415" s="171"/>
      <c r="K415" s="171"/>
    </row>
    <row r="416" spans="1:11" ht="12.75">
      <c r="A416" s="168" t="e">
        <f t="shared" si="0"/>
        <v>#REF!</v>
      </c>
      <c r="B416" s="175"/>
      <c r="C416" s="176"/>
      <c r="D416" s="175"/>
      <c r="E416" s="169"/>
      <c r="F416" s="170"/>
      <c r="G416" s="170"/>
      <c r="H416" s="170"/>
      <c r="I416" s="171"/>
      <c r="J416" s="171"/>
      <c r="K416" s="171"/>
    </row>
    <row r="417" spans="1:11" ht="12.75">
      <c r="A417" s="168" t="e">
        <f t="shared" si="0"/>
        <v>#REF!</v>
      </c>
      <c r="B417" s="175"/>
      <c r="C417" s="176"/>
      <c r="D417" s="175"/>
      <c r="E417" s="169"/>
      <c r="F417" s="170"/>
      <c r="G417" s="170"/>
      <c r="H417" s="170"/>
      <c r="I417" s="171"/>
      <c r="J417" s="171"/>
      <c r="K417" s="171"/>
    </row>
    <row r="418" spans="1:11" ht="12.75">
      <c r="A418" s="168" t="e">
        <f t="shared" si="0"/>
        <v>#REF!</v>
      </c>
      <c r="B418" s="175"/>
      <c r="C418" s="176"/>
      <c r="D418" s="175"/>
      <c r="E418" s="169"/>
      <c r="F418" s="170"/>
      <c r="G418" s="170"/>
      <c r="H418" s="170"/>
      <c r="I418" s="171"/>
      <c r="J418" s="171"/>
      <c r="K418" s="171"/>
    </row>
    <row r="419" spans="1:11" ht="12.75">
      <c r="A419" s="168" t="e">
        <f t="shared" si="0"/>
        <v>#REF!</v>
      </c>
      <c r="B419" s="175"/>
      <c r="C419" s="176"/>
      <c r="D419" s="175"/>
      <c r="E419" s="169"/>
      <c r="F419" s="170"/>
      <c r="G419" s="170"/>
      <c r="H419" s="170"/>
      <c r="I419" s="171"/>
      <c r="J419" s="171"/>
      <c r="K419" s="171"/>
    </row>
    <row r="420" spans="1:11" ht="12.75">
      <c r="A420" s="168" t="e">
        <f t="shared" si="0"/>
        <v>#REF!</v>
      </c>
      <c r="B420" s="175"/>
      <c r="C420" s="176"/>
      <c r="D420" s="175"/>
      <c r="E420" s="169"/>
      <c r="F420" s="170"/>
      <c r="G420" s="170"/>
      <c r="H420" s="170"/>
      <c r="I420" s="171"/>
      <c r="J420" s="171"/>
      <c r="K420" s="171"/>
    </row>
    <row r="421" spans="1:11" ht="12.75">
      <c r="A421" s="168" t="e">
        <f t="shared" si="0"/>
        <v>#REF!</v>
      </c>
      <c r="B421" s="175"/>
      <c r="C421" s="176"/>
      <c r="D421" s="175"/>
      <c r="E421" s="169"/>
      <c r="F421" s="170"/>
      <c r="G421" s="170"/>
      <c r="H421" s="170"/>
      <c r="I421" s="171"/>
      <c r="J421" s="171"/>
      <c r="K421" s="171"/>
    </row>
    <row r="422" spans="1:11" ht="12.75">
      <c r="A422" s="168" t="e">
        <f t="shared" si="0"/>
        <v>#REF!</v>
      </c>
      <c r="B422" s="175"/>
      <c r="C422" s="176"/>
      <c r="D422" s="175"/>
      <c r="E422" s="169"/>
      <c r="F422" s="170"/>
      <c r="G422" s="170"/>
      <c r="H422" s="170"/>
      <c r="I422" s="171"/>
      <c r="J422" s="171"/>
      <c r="K422" s="171"/>
    </row>
    <row r="423" spans="1:11" ht="12.75">
      <c r="A423" s="168" t="e">
        <f t="shared" si="0"/>
        <v>#REF!</v>
      </c>
      <c r="B423" s="175"/>
      <c r="C423" s="176"/>
      <c r="D423" s="175"/>
      <c r="E423" s="169"/>
      <c r="F423" s="170"/>
      <c r="G423" s="170"/>
      <c r="H423" s="170"/>
      <c r="I423" s="171"/>
      <c r="J423" s="171"/>
      <c r="K423" s="171"/>
    </row>
    <row r="424" spans="1:11" ht="12.75">
      <c r="A424" s="168" t="e">
        <f t="shared" si="0"/>
        <v>#REF!</v>
      </c>
      <c r="B424" s="175"/>
      <c r="C424" s="176"/>
      <c r="D424" s="175"/>
      <c r="E424" s="169"/>
      <c r="F424" s="170"/>
      <c r="G424" s="170"/>
      <c r="H424" s="170"/>
      <c r="I424" s="171"/>
      <c r="J424" s="171"/>
      <c r="K424" s="171"/>
    </row>
    <row r="425" spans="1:11" ht="12.75">
      <c r="A425" s="168" t="e">
        <f t="shared" si="0"/>
        <v>#REF!</v>
      </c>
      <c r="B425" s="175"/>
      <c r="C425" s="176"/>
      <c r="D425" s="175"/>
      <c r="E425" s="169"/>
      <c r="F425" s="170"/>
      <c r="G425" s="170"/>
      <c r="H425" s="170"/>
      <c r="I425" s="171"/>
      <c r="J425" s="171"/>
      <c r="K425" s="171"/>
    </row>
    <row r="426" spans="1:11" ht="12.75">
      <c r="A426" s="168" t="e">
        <f t="shared" si="0"/>
        <v>#REF!</v>
      </c>
      <c r="B426" s="175"/>
      <c r="C426" s="176"/>
      <c r="D426" s="175"/>
      <c r="E426" s="169"/>
      <c r="F426" s="170"/>
      <c r="G426" s="170"/>
      <c r="H426" s="170"/>
      <c r="I426" s="171"/>
      <c r="J426" s="171"/>
      <c r="K426" s="171"/>
    </row>
    <row r="427" spans="1:11" ht="12.75">
      <c r="A427" s="168" t="e">
        <f t="shared" si="0"/>
        <v>#REF!</v>
      </c>
      <c r="B427" s="175"/>
      <c r="C427" s="176"/>
      <c r="D427" s="175"/>
      <c r="E427" s="169"/>
      <c r="F427" s="170"/>
      <c r="G427" s="170"/>
      <c r="H427" s="170"/>
      <c r="I427" s="171"/>
      <c r="J427" s="171"/>
      <c r="K427" s="171"/>
    </row>
    <row r="428" spans="1:11" ht="12.75">
      <c r="A428" s="168" t="e">
        <f t="shared" si="0"/>
        <v>#REF!</v>
      </c>
      <c r="B428" s="175"/>
      <c r="C428" s="176"/>
      <c r="D428" s="175"/>
      <c r="E428" s="169"/>
      <c r="F428" s="170"/>
      <c r="G428" s="170"/>
      <c r="H428" s="170"/>
      <c r="I428" s="171"/>
      <c r="J428" s="171"/>
      <c r="K428" s="171"/>
    </row>
    <row r="429" spans="1:11" ht="12.75">
      <c r="A429" s="168" t="e">
        <f t="shared" si="0"/>
        <v>#REF!</v>
      </c>
      <c r="B429" s="175"/>
      <c r="C429" s="176"/>
      <c r="D429" s="175"/>
      <c r="E429" s="169"/>
      <c r="F429" s="170"/>
      <c r="G429" s="170"/>
      <c r="H429" s="170"/>
      <c r="I429" s="171"/>
      <c r="J429" s="171"/>
      <c r="K429" s="171"/>
    </row>
    <row r="430" spans="1:11" ht="12.75">
      <c r="A430" s="168" t="e">
        <f t="shared" si="0"/>
        <v>#REF!</v>
      </c>
      <c r="B430" s="175"/>
      <c r="C430" s="176"/>
      <c r="D430" s="175"/>
      <c r="E430" s="169"/>
      <c r="F430" s="170"/>
      <c r="G430" s="170"/>
      <c r="H430" s="170"/>
      <c r="I430" s="171"/>
      <c r="J430" s="171"/>
      <c r="K430" s="171"/>
    </row>
    <row r="431" spans="1:11" ht="12.75">
      <c r="A431" s="168" t="e">
        <f t="shared" si="0"/>
        <v>#REF!</v>
      </c>
      <c r="B431" s="175"/>
      <c r="C431" s="176"/>
      <c r="D431" s="175"/>
      <c r="E431" s="169"/>
      <c r="F431" s="170"/>
      <c r="G431" s="170"/>
      <c r="H431" s="170"/>
      <c r="I431" s="171"/>
      <c r="J431" s="171"/>
      <c r="K431" s="171"/>
    </row>
    <row r="432" spans="1:11" ht="12.75">
      <c r="A432" s="168" t="e">
        <f t="shared" si="0"/>
        <v>#REF!</v>
      </c>
      <c r="B432" s="175"/>
      <c r="C432" s="176"/>
      <c r="D432" s="175"/>
      <c r="E432" s="169"/>
      <c r="F432" s="170"/>
      <c r="G432" s="170"/>
      <c r="H432" s="170"/>
      <c r="I432" s="171"/>
      <c r="J432" s="171"/>
      <c r="K432" s="171"/>
    </row>
    <row r="433" spans="1:11" ht="12.75">
      <c r="A433" s="168" t="e">
        <f t="shared" si="0"/>
        <v>#REF!</v>
      </c>
      <c r="B433" s="175"/>
      <c r="C433" s="176"/>
      <c r="D433" s="175"/>
      <c r="E433" s="169"/>
      <c r="F433" s="170"/>
      <c r="G433" s="170"/>
      <c r="H433" s="170"/>
      <c r="I433" s="171"/>
      <c r="J433" s="171"/>
      <c r="K433" s="171"/>
    </row>
    <row r="434" spans="1:11" ht="12.75">
      <c r="A434" s="168" t="e">
        <f t="shared" si="0"/>
        <v>#REF!</v>
      </c>
      <c r="B434" s="175"/>
      <c r="C434" s="176"/>
      <c r="D434" s="175"/>
      <c r="E434" s="169"/>
      <c r="F434" s="170"/>
      <c r="G434" s="170"/>
      <c r="H434" s="170"/>
      <c r="I434" s="171"/>
      <c r="J434" s="171"/>
      <c r="K434" s="171"/>
    </row>
    <row r="435" spans="1:11" ht="12.75">
      <c r="A435" s="168" t="e">
        <f t="shared" si="0"/>
        <v>#REF!</v>
      </c>
      <c r="B435" s="175"/>
      <c r="C435" s="176"/>
      <c r="D435" s="175"/>
      <c r="E435" s="169"/>
      <c r="F435" s="170"/>
      <c r="G435" s="170"/>
      <c r="H435" s="170"/>
      <c r="I435" s="171"/>
      <c r="J435" s="171"/>
      <c r="K435" s="171"/>
    </row>
    <row r="436" spans="1:11" ht="12.75">
      <c r="A436" s="168" t="e">
        <f t="shared" si="0"/>
        <v>#REF!</v>
      </c>
      <c r="B436" s="175"/>
      <c r="C436" s="176"/>
      <c r="D436" s="175"/>
      <c r="E436" s="169"/>
      <c r="F436" s="170"/>
      <c r="G436" s="170"/>
      <c r="H436" s="170"/>
      <c r="I436" s="171"/>
      <c r="J436" s="171"/>
      <c r="K436" s="171"/>
    </row>
    <row r="437" spans="1:11" ht="12.75">
      <c r="A437" s="168" t="e">
        <f t="shared" si="0"/>
        <v>#REF!</v>
      </c>
      <c r="B437" s="175"/>
      <c r="C437" s="176"/>
      <c r="D437" s="175"/>
      <c r="E437" s="169"/>
      <c r="F437" s="170"/>
      <c r="G437" s="170"/>
      <c r="H437" s="170"/>
      <c r="I437" s="171"/>
      <c r="J437" s="171"/>
      <c r="K437" s="171"/>
    </row>
    <row r="438" spans="1:11" ht="12.75">
      <c r="A438" s="168" t="e">
        <f t="shared" si="0"/>
        <v>#REF!</v>
      </c>
      <c r="B438" s="175"/>
      <c r="C438" s="176"/>
      <c r="D438" s="175"/>
      <c r="E438" s="169"/>
      <c r="F438" s="170"/>
      <c r="G438" s="170"/>
      <c r="H438" s="170"/>
      <c r="I438" s="171"/>
      <c r="J438" s="171"/>
      <c r="K438" s="171"/>
    </row>
    <row r="439" spans="1:11" ht="12.75">
      <c r="A439" s="168" t="e">
        <f t="shared" si="0"/>
        <v>#REF!</v>
      </c>
      <c r="B439" s="175"/>
      <c r="C439" s="176"/>
      <c r="D439" s="175"/>
      <c r="E439" s="169"/>
      <c r="F439" s="170"/>
      <c r="G439" s="170"/>
      <c r="H439" s="170"/>
      <c r="I439" s="171"/>
      <c r="J439" s="171"/>
      <c r="K439" s="171"/>
    </row>
    <row r="440" spans="1:11" ht="12.75">
      <c r="A440" s="168" t="e">
        <f t="shared" si="0"/>
        <v>#REF!</v>
      </c>
      <c r="B440" s="175"/>
      <c r="C440" s="176"/>
      <c r="D440" s="175"/>
      <c r="E440" s="169"/>
      <c r="F440" s="170"/>
      <c r="G440" s="170"/>
      <c r="H440" s="170"/>
      <c r="I440" s="171"/>
      <c r="J440" s="171"/>
      <c r="K440" s="171"/>
    </row>
    <row r="441" spans="1:11" ht="12.75">
      <c r="A441" s="168" t="e">
        <f t="shared" si="0"/>
        <v>#REF!</v>
      </c>
      <c r="B441" s="175"/>
      <c r="C441" s="176"/>
      <c r="D441" s="175"/>
      <c r="E441" s="169"/>
      <c r="F441" s="170"/>
      <c r="G441" s="170"/>
      <c r="H441" s="170"/>
      <c r="I441" s="171"/>
      <c r="J441" s="171"/>
      <c r="K441" s="171"/>
    </row>
    <row r="442" spans="1:11" ht="12.75">
      <c r="A442" s="168" t="e">
        <f t="shared" si="0"/>
        <v>#REF!</v>
      </c>
      <c r="B442" s="175"/>
      <c r="C442" s="176"/>
      <c r="D442" s="175"/>
      <c r="E442" s="169"/>
      <c r="F442" s="170"/>
      <c r="G442" s="170"/>
      <c r="H442" s="170"/>
      <c r="I442" s="171"/>
      <c r="J442" s="171"/>
      <c r="K442" s="171"/>
    </row>
    <row r="443" spans="1:11" ht="12.75">
      <c r="A443" s="168" t="e">
        <f t="shared" si="0"/>
        <v>#REF!</v>
      </c>
      <c r="B443" s="175"/>
      <c r="C443" s="176"/>
      <c r="D443" s="175"/>
      <c r="E443" s="169"/>
      <c r="F443" s="170"/>
      <c r="G443" s="170"/>
      <c r="H443" s="170"/>
      <c r="I443" s="171"/>
      <c r="J443" s="171"/>
      <c r="K443" s="171"/>
    </row>
    <row r="444" spans="1:11" ht="12.75">
      <c r="A444" s="168" t="e">
        <f t="shared" si="0"/>
        <v>#REF!</v>
      </c>
      <c r="B444" s="175"/>
      <c r="C444" s="176"/>
      <c r="D444" s="175"/>
      <c r="E444" s="169"/>
      <c r="F444" s="170"/>
      <c r="G444" s="170"/>
      <c r="H444" s="170"/>
      <c r="I444" s="171"/>
      <c r="J444" s="171"/>
      <c r="K444" s="171"/>
    </row>
    <row r="445" spans="1:11" ht="12.75">
      <c r="A445" s="168" t="e">
        <f t="shared" si="0"/>
        <v>#REF!</v>
      </c>
      <c r="B445" s="175"/>
      <c r="C445" s="176"/>
      <c r="D445" s="175"/>
      <c r="E445" s="169"/>
      <c r="F445" s="170"/>
      <c r="G445" s="170"/>
      <c r="H445" s="170"/>
      <c r="I445" s="171"/>
      <c r="J445" s="171"/>
      <c r="K445" s="171"/>
    </row>
    <row r="446" spans="1:11" ht="12.75">
      <c r="A446" s="168" t="e">
        <f t="shared" si="0"/>
        <v>#REF!</v>
      </c>
      <c r="B446" s="175"/>
      <c r="C446" s="176"/>
      <c r="D446" s="175"/>
      <c r="E446" s="169"/>
      <c r="F446" s="170"/>
      <c r="G446" s="170"/>
      <c r="H446" s="170"/>
      <c r="I446" s="171"/>
      <c r="J446" s="171"/>
      <c r="K446" s="171"/>
    </row>
    <row r="447" spans="1:11" ht="12.75">
      <c r="A447" s="168" t="e">
        <f t="shared" si="0"/>
        <v>#REF!</v>
      </c>
      <c r="B447" s="175"/>
      <c r="C447" s="176"/>
      <c r="D447" s="175"/>
      <c r="E447" s="169"/>
      <c r="F447" s="170"/>
      <c r="G447" s="170"/>
      <c r="H447" s="170"/>
      <c r="I447" s="171"/>
      <c r="J447" s="171"/>
      <c r="K447" s="171"/>
    </row>
    <row r="448" spans="1:11" ht="12.75">
      <c r="A448" s="168" t="e">
        <f t="shared" si="0"/>
        <v>#REF!</v>
      </c>
      <c r="B448" s="175"/>
      <c r="C448" s="176"/>
      <c r="D448" s="175"/>
      <c r="E448" s="169"/>
      <c r="F448" s="170"/>
      <c r="G448" s="170"/>
      <c r="H448" s="170"/>
      <c r="I448" s="171"/>
      <c r="J448" s="171"/>
      <c r="K448" s="171"/>
    </row>
    <row r="449" spans="1:11" ht="12.75">
      <c r="A449" s="168" t="e">
        <f t="shared" si="0"/>
        <v>#REF!</v>
      </c>
      <c r="B449" s="175"/>
      <c r="C449" s="176"/>
      <c r="D449" s="175"/>
      <c r="E449" s="169"/>
      <c r="F449" s="170"/>
      <c r="G449" s="170"/>
      <c r="H449" s="170"/>
      <c r="I449" s="171"/>
      <c r="J449" s="171"/>
      <c r="K449" s="171"/>
    </row>
    <row r="450" spans="1:11" ht="12.75">
      <c r="A450" s="168" t="e">
        <f t="shared" si="0"/>
        <v>#REF!</v>
      </c>
      <c r="B450" s="175"/>
      <c r="C450" s="176"/>
      <c r="D450" s="175"/>
      <c r="E450" s="169"/>
      <c r="F450" s="170"/>
      <c r="G450" s="170"/>
      <c r="H450" s="170"/>
      <c r="I450" s="171"/>
      <c r="J450" s="171"/>
      <c r="K450" s="171"/>
    </row>
    <row r="451" spans="1:11" ht="12.75">
      <c r="A451" s="168" t="e">
        <f t="shared" si="0"/>
        <v>#REF!</v>
      </c>
      <c r="B451" s="175"/>
      <c r="C451" s="176"/>
      <c r="D451" s="175"/>
      <c r="E451" s="169"/>
      <c r="F451" s="170"/>
      <c r="G451" s="170"/>
      <c r="H451" s="170"/>
      <c r="I451" s="171"/>
      <c r="J451" s="171"/>
      <c r="K451" s="171"/>
    </row>
    <row r="452" spans="1:11" ht="12.75">
      <c r="A452" s="168" t="e">
        <f t="shared" si="0"/>
        <v>#REF!</v>
      </c>
      <c r="B452" s="175"/>
      <c r="C452" s="176"/>
      <c r="D452" s="175"/>
      <c r="E452" s="169"/>
      <c r="F452" s="170"/>
      <c r="G452" s="170"/>
      <c r="H452" s="170"/>
      <c r="I452" s="171"/>
      <c r="J452" s="171"/>
      <c r="K452" s="171"/>
    </row>
    <row r="453" spans="1:11" ht="12.75">
      <c r="A453" s="168" t="e">
        <f t="shared" si="0"/>
        <v>#REF!</v>
      </c>
      <c r="B453" s="175"/>
      <c r="C453" s="176"/>
      <c r="D453" s="175"/>
      <c r="E453" s="169"/>
      <c r="F453" s="170"/>
      <c r="G453" s="170"/>
      <c r="H453" s="170"/>
      <c r="I453" s="171"/>
      <c r="J453" s="171"/>
      <c r="K453" s="171"/>
    </row>
    <row r="454" spans="1:11" ht="12.75">
      <c r="A454" s="168" t="e">
        <f t="shared" si="0"/>
        <v>#REF!</v>
      </c>
      <c r="B454" s="175"/>
      <c r="C454" s="176"/>
      <c r="D454" s="175"/>
      <c r="E454" s="169"/>
      <c r="F454" s="170"/>
      <c r="G454" s="170"/>
      <c r="H454" s="170"/>
      <c r="I454" s="171"/>
      <c r="J454" s="171"/>
      <c r="K454" s="171"/>
    </row>
    <row r="455" spans="1:11" ht="12.75">
      <c r="A455" s="168" t="e">
        <f t="shared" si="0"/>
        <v>#REF!</v>
      </c>
      <c r="B455" s="175"/>
      <c r="C455" s="176"/>
      <c r="D455" s="175"/>
      <c r="E455" s="169"/>
      <c r="F455" s="170"/>
      <c r="G455" s="170"/>
      <c r="H455" s="170"/>
      <c r="I455" s="171"/>
      <c r="J455" s="171"/>
      <c r="K455" s="171"/>
    </row>
    <row r="456" spans="1:11" ht="12.75">
      <c r="A456" s="168" t="e">
        <f t="shared" si="0"/>
        <v>#REF!</v>
      </c>
      <c r="B456" s="175"/>
      <c r="C456" s="176"/>
      <c r="D456" s="175"/>
      <c r="E456" s="169"/>
      <c r="F456" s="170"/>
      <c r="G456" s="170"/>
      <c r="H456" s="170"/>
      <c r="I456" s="171"/>
      <c r="J456" s="171"/>
      <c r="K456" s="171"/>
    </row>
    <row r="457" spans="1:11" ht="12.75">
      <c r="A457" s="168" t="e">
        <f t="shared" si="0"/>
        <v>#REF!</v>
      </c>
      <c r="B457" s="175"/>
      <c r="C457" s="176"/>
      <c r="D457" s="175"/>
      <c r="E457" s="169"/>
      <c r="F457" s="170"/>
      <c r="G457" s="170"/>
      <c r="H457" s="170"/>
      <c r="I457" s="171"/>
      <c r="J457" s="171"/>
      <c r="K457" s="171"/>
    </row>
    <row r="458" spans="1:11" ht="12.75">
      <c r="A458" s="168" t="e">
        <f t="shared" si="0"/>
        <v>#REF!</v>
      </c>
      <c r="B458" s="175"/>
      <c r="C458" s="176"/>
      <c r="D458" s="175"/>
      <c r="E458" s="169"/>
      <c r="F458" s="170"/>
      <c r="G458" s="170"/>
      <c r="H458" s="170"/>
      <c r="I458" s="171"/>
      <c r="J458" s="171"/>
      <c r="K458" s="171"/>
    </row>
    <row r="459" spans="1:11" ht="12.75">
      <c r="A459" s="168" t="e">
        <f t="shared" si="0"/>
        <v>#REF!</v>
      </c>
      <c r="B459" s="175"/>
      <c r="C459" s="176"/>
      <c r="D459" s="175"/>
      <c r="E459" s="169"/>
      <c r="F459" s="170"/>
      <c r="G459" s="170"/>
      <c r="H459" s="170"/>
      <c r="I459" s="171"/>
      <c r="J459" s="171"/>
      <c r="K459" s="171"/>
    </row>
    <row r="460" spans="1:11" ht="12.75">
      <c r="A460" s="168" t="e">
        <f t="shared" si="0"/>
        <v>#REF!</v>
      </c>
      <c r="B460" s="175"/>
      <c r="C460" s="176"/>
      <c r="D460" s="175"/>
      <c r="E460" s="169"/>
      <c r="F460" s="170"/>
      <c r="G460" s="170"/>
      <c r="H460" s="170"/>
      <c r="I460" s="171"/>
      <c r="J460" s="171"/>
      <c r="K460" s="171"/>
    </row>
    <row r="461" spans="1:11" ht="12.75">
      <c r="A461" s="168" t="e">
        <f t="shared" si="0"/>
        <v>#REF!</v>
      </c>
      <c r="B461" s="175"/>
      <c r="C461" s="176"/>
      <c r="D461" s="175"/>
      <c r="E461" s="169"/>
      <c r="F461" s="170"/>
      <c r="G461" s="170"/>
      <c r="H461" s="170"/>
      <c r="I461" s="171"/>
      <c r="J461" s="171"/>
      <c r="K461" s="171"/>
    </row>
    <row r="462" spans="1:11" ht="12.75">
      <c r="A462" s="168" t="e">
        <f t="shared" si="0"/>
        <v>#REF!</v>
      </c>
      <c r="B462" s="175"/>
      <c r="C462" s="176"/>
      <c r="D462" s="175"/>
      <c r="E462" s="169"/>
      <c r="F462" s="170"/>
      <c r="G462" s="170"/>
      <c r="H462" s="170"/>
      <c r="I462" s="171"/>
      <c r="J462" s="171"/>
      <c r="K462" s="171"/>
    </row>
    <row r="463" spans="1:11" ht="12.75">
      <c r="A463" s="168" t="e">
        <f t="shared" si="0"/>
        <v>#REF!</v>
      </c>
      <c r="B463" s="175"/>
      <c r="C463" s="176"/>
      <c r="D463" s="175"/>
      <c r="E463" s="169"/>
      <c r="F463" s="170"/>
      <c r="G463" s="170"/>
      <c r="H463" s="170"/>
      <c r="I463" s="171"/>
      <c r="J463" s="171"/>
      <c r="K463" s="171"/>
    </row>
    <row r="464" spans="1:11" ht="12.75">
      <c r="A464" s="168" t="e">
        <f t="shared" si="0"/>
        <v>#REF!</v>
      </c>
      <c r="B464" s="175"/>
      <c r="C464" s="176"/>
      <c r="D464" s="175"/>
      <c r="E464" s="169"/>
      <c r="F464" s="170"/>
      <c r="G464" s="170"/>
      <c r="H464" s="170"/>
      <c r="I464" s="171"/>
      <c r="J464" s="171"/>
      <c r="K464" s="171"/>
    </row>
    <row r="465" spans="1:11" ht="12.75">
      <c r="A465" s="168" t="e">
        <f t="shared" si="0"/>
        <v>#REF!</v>
      </c>
      <c r="B465" s="175"/>
      <c r="C465" s="176"/>
      <c r="D465" s="175"/>
      <c r="E465" s="169"/>
      <c r="F465" s="170"/>
      <c r="G465" s="170"/>
      <c r="H465" s="170"/>
      <c r="I465" s="171"/>
      <c r="J465" s="171"/>
      <c r="K465" s="171"/>
    </row>
    <row r="466" spans="1:11" ht="12.75">
      <c r="A466" s="168" t="e">
        <f t="shared" si="0"/>
        <v>#REF!</v>
      </c>
      <c r="B466" s="175"/>
      <c r="C466" s="176"/>
      <c r="D466" s="175"/>
      <c r="E466" s="169"/>
      <c r="F466" s="170"/>
      <c r="G466" s="170"/>
      <c r="H466" s="170"/>
      <c r="I466" s="171"/>
      <c r="J466" s="171"/>
      <c r="K466" s="171"/>
    </row>
    <row r="467" spans="1:11" ht="12.75">
      <c r="A467" s="168" t="e">
        <f t="shared" si="0"/>
        <v>#REF!</v>
      </c>
      <c r="B467" s="175"/>
      <c r="C467" s="176"/>
      <c r="D467" s="175"/>
      <c r="E467" s="169"/>
      <c r="F467" s="170"/>
      <c r="G467" s="170"/>
      <c r="H467" s="170"/>
      <c r="I467" s="171"/>
      <c r="J467" s="171"/>
      <c r="K467" s="171"/>
    </row>
    <row r="468" spans="1:11" ht="12.75">
      <c r="A468" s="168" t="e">
        <f t="shared" si="0"/>
        <v>#REF!</v>
      </c>
      <c r="B468" s="175"/>
      <c r="C468" s="176"/>
      <c r="D468" s="175"/>
      <c r="E468" s="169"/>
      <c r="F468" s="170"/>
      <c r="G468" s="170"/>
      <c r="H468" s="170"/>
      <c r="I468" s="171"/>
      <c r="J468" s="171"/>
      <c r="K468" s="171"/>
    </row>
    <row r="469" spans="1:11" ht="12.75">
      <c r="A469" s="168" t="e">
        <f t="shared" si="0"/>
        <v>#REF!</v>
      </c>
      <c r="B469" s="175"/>
      <c r="C469" s="176"/>
      <c r="D469" s="175"/>
      <c r="E469" s="169"/>
      <c r="F469" s="170"/>
      <c r="G469" s="170"/>
      <c r="H469" s="170"/>
      <c r="I469" s="171"/>
      <c r="J469" s="171"/>
      <c r="K469" s="171"/>
    </row>
    <row r="470" spans="1:11" ht="12.75">
      <c r="A470" s="168" t="e">
        <f t="shared" si="0"/>
        <v>#REF!</v>
      </c>
      <c r="B470" s="175"/>
      <c r="C470" s="176"/>
      <c r="D470" s="175"/>
      <c r="E470" s="169"/>
      <c r="F470" s="170"/>
      <c r="G470" s="170"/>
      <c r="H470" s="170"/>
      <c r="I470" s="171"/>
      <c r="J470" s="171"/>
      <c r="K470" s="171"/>
    </row>
    <row r="471" spans="1:11" ht="12.75">
      <c r="A471" s="168" t="e">
        <f t="shared" si="0"/>
        <v>#REF!</v>
      </c>
      <c r="B471" s="175"/>
      <c r="C471" s="176"/>
      <c r="D471" s="175"/>
      <c r="E471" s="169"/>
      <c r="F471" s="170"/>
      <c r="G471" s="170"/>
      <c r="H471" s="170"/>
      <c r="I471" s="171"/>
      <c r="J471" s="171"/>
      <c r="K471" s="171"/>
    </row>
    <row r="472" spans="1:11" ht="12.75">
      <c r="A472" s="168" t="e">
        <f t="shared" si="0"/>
        <v>#REF!</v>
      </c>
      <c r="B472" s="175"/>
      <c r="C472" s="176"/>
      <c r="D472" s="175"/>
      <c r="E472" s="169"/>
      <c r="F472" s="170"/>
      <c r="G472" s="170"/>
      <c r="H472" s="170"/>
      <c r="I472" s="171"/>
      <c r="J472" s="171"/>
      <c r="K472" s="171"/>
    </row>
    <row r="473" spans="1:11" ht="12.75">
      <c r="A473" s="168" t="e">
        <f t="shared" si="0"/>
        <v>#REF!</v>
      </c>
      <c r="B473" s="175"/>
      <c r="C473" s="176"/>
      <c r="D473" s="175"/>
      <c r="E473" s="169"/>
      <c r="F473" s="170"/>
      <c r="G473" s="170"/>
      <c r="H473" s="170"/>
      <c r="I473" s="171"/>
      <c r="J473" s="171"/>
      <c r="K473" s="171"/>
    </row>
    <row r="474" spans="1:11" ht="12.75">
      <c r="A474" s="168" t="e">
        <f t="shared" si="0"/>
        <v>#REF!</v>
      </c>
      <c r="B474" s="175"/>
      <c r="C474" s="176"/>
      <c r="D474" s="175"/>
      <c r="E474" s="169"/>
      <c r="F474" s="170"/>
      <c r="G474" s="170"/>
      <c r="H474" s="170"/>
      <c r="I474" s="171"/>
      <c r="J474" s="171"/>
      <c r="K474" s="171"/>
    </row>
    <row r="475" spans="1:11" ht="12.75">
      <c r="A475" s="168" t="e">
        <f t="shared" si="0"/>
        <v>#REF!</v>
      </c>
      <c r="B475" s="175"/>
      <c r="C475" s="176"/>
      <c r="D475" s="175"/>
      <c r="E475" s="169"/>
      <c r="F475" s="170"/>
      <c r="G475" s="170"/>
      <c r="H475" s="170"/>
      <c r="I475" s="171"/>
      <c r="J475" s="171"/>
      <c r="K475" s="171"/>
    </row>
    <row r="476" spans="1:11" ht="12.75">
      <c r="A476" s="168" t="e">
        <f t="shared" si="0"/>
        <v>#REF!</v>
      </c>
      <c r="B476" s="175"/>
      <c r="C476" s="176"/>
      <c r="D476" s="175"/>
      <c r="E476" s="169"/>
      <c r="F476" s="170"/>
      <c r="G476" s="170"/>
      <c r="H476" s="170"/>
      <c r="I476" s="171"/>
      <c r="J476" s="171"/>
      <c r="K476" s="171"/>
    </row>
    <row r="477" spans="1:11" ht="12.75">
      <c r="A477" s="168" t="e">
        <f t="shared" si="0"/>
        <v>#REF!</v>
      </c>
      <c r="B477" s="175"/>
      <c r="C477" s="176"/>
      <c r="D477" s="175"/>
      <c r="E477" s="169"/>
      <c r="F477" s="170"/>
      <c r="G477" s="170"/>
      <c r="H477" s="170"/>
      <c r="I477" s="171"/>
      <c r="J477" s="171"/>
      <c r="K477" s="171"/>
    </row>
    <row r="478" spans="1:11" ht="12.75">
      <c r="A478" s="168" t="e">
        <f t="shared" si="0"/>
        <v>#REF!</v>
      </c>
      <c r="B478" s="175"/>
      <c r="C478" s="176"/>
      <c r="D478" s="175"/>
      <c r="E478" s="169"/>
      <c r="F478" s="170"/>
      <c r="G478" s="170"/>
      <c r="H478" s="170"/>
      <c r="I478" s="171"/>
      <c r="J478" s="171"/>
      <c r="K478" s="171"/>
    </row>
    <row r="479" spans="1:11" ht="12.75">
      <c r="A479" s="168" t="e">
        <f t="shared" si="0"/>
        <v>#REF!</v>
      </c>
      <c r="B479" s="175"/>
      <c r="C479" s="176"/>
      <c r="D479" s="175"/>
      <c r="E479" s="169"/>
      <c r="F479" s="170"/>
      <c r="G479" s="170"/>
      <c r="H479" s="170"/>
      <c r="I479" s="171"/>
      <c r="J479" s="171"/>
      <c r="K479" s="171"/>
    </row>
    <row r="480" spans="1:11" ht="12.75">
      <c r="A480" s="168" t="e">
        <f t="shared" si="0"/>
        <v>#REF!</v>
      </c>
      <c r="B480" s="175"/>
      <c r="C480" s="176"/>
      <c r="D480" s="175"/>
      <c r="E480" s="169"/>
      <c r="F480" s="170"/>
      <c r="G480" s="170"/>
      <c r="H480" s="170"/>
      <c r="I480" s="171"/>
      <c r="J480" s="171"/>
      <c r="K480" s="171"/>
    </row>
    <row r="481" spans="1:11" ht="12.75">
      <c r="A481" s="168" t="e">
        <f t="shared" si="0"/>
        <v>#REF!</v>
      </c>
      <c r="B481" s="175"/>
      <c r="C481" s="176"/>
      <c r="D481" s="175"/>
      <c r="E481" s="169"/>
      <c r="F481" s="170"/>
      <c r="G481" s="170"/>
      <c r="H481" s="170"/>
      <c r="I481" s="171"/>
      <c r="J481" s="171"/>
      <c r="K481" s="171"/>
    </row>
    <row r="482" spans="1:11" ht="12.75">
      <c r="A482" s="168" t="e">
        <f t="shared" si="0"/>
        <v>#REF!</v>
      </c>
      <c r="B482" s="175"/>
      <c r="C482" s="176"/>
      <c r="D482" s="175"/>
      <c r="E482" s="169"/>
      <c r="F482" s="170"/>
      <c r="G482" s="170"/>
      <c r="H482" s="170"/>
      <c r="I482" s="171"/>
      <c r="J482" s="171"/>
      <c r="K482" s="171"/>
    </row>
    <row r="483" spans="1:11" ht="12.75">
      <c r="A483" s="168" t="e">
        <f t="shared" si="0"/>
        <v>#REF!</v>
      </c>
      <c r="B483" s="175"/>
      <c r="C483" s="176"/>
      <c r="D483" s="175"/>
      <c r="E483" s="169"/>
      <c r="F483" s="170"/>
      <c r="G483" s="170"/>
      <c r="H483" s="170"/>
      <c r="I483" s="171"/>
      <c r="J483" s="171"/>
      <c r="K483" s="171"/>
    </row>
    <row r="484" spans="1:11" ht="12.75">
      <c r="A484" s="168" t="e">
        <f t="shared" si="0"/>
        <v>#REF!</v>
      </c>
      <c r="B484" s="175"/>
      <c r="C484" s="176"/>
      <c r="D484" s="175"/>
      <c r="E484" s="169"/>
      <c r="F484" s="170"/>
      <c r="G484" s="170"/>
      <c r="H484" s="170"/>
      <c r="I484" s="171"/>
      <c r="J484" s="171"/>
      <c r="K484" s="171"/>
    </row>
    <row r="485" spans="1:11" ht="12.75">
      <c r="A485" s="168" t="e">
        <f t="shared" si="0"/>
        <v>#REF!</v>
      </c>
      <c r="B485" s="175"/>
      <c r="C485" s="176"/>
      <c r="D485" s="175"/>
      <c r="E485" s="169"/>
      <c r="F485" s="170"/>
      <c r="G485" s="170"/>
      <c r="H485" s="170"/>
      <c r="I485" s="171"/>
      <c r="J485" s="171"/>
      <c r="K485" s="171"/>
    </row>
    <row r="486" spans="1:11" ht="12.75">
      <c r="A486" s="168" t="e">
        <f t="shared" si="0"/>
        <v>#REF!</v>
      </c>
      <c r="B486" s="175"/>
      <c r="C486" s="176"/>
      <c r="D486" s="175"/>
      <c r="E486" s="169"/>
      <c r="F486" s="170"/>
      <c r="G486" s="170"/>
      <c r="H486" s="170"/>
      <c r="I486" s="171"/>
      <c r="J486" s="171"/>
      <c r="K486" s="171"/>
    </row>
    <row r="487" spans="1:11" ht="12.75">
      <c r="A487" s="168" t="e">
        <f t="shared" si="0"/>
        <v>#REF!</v>
      </c>
      <c r="B487" s="175"/>
      <c r="C487" s="176"/>
      <c r="D487" s="175"/>
      <c r="E487" s="169"/>
      <c r="F487" s="170"/>
      <c r="G487" s="170"/>
      <c r="H487" s="170"/>
      <c r="I487" s="171"/>
      <c r="J487" s="171"/>
      <c r="K487" s="171"/>
    </row>
    <row r="488" spans="1:11" ht="12.75">
      <c r="A488" s="168" t="e">
        <f t="shared" si="0"/>
        <v>#REF!</v>
      </c>
      <c r="B488" s="175"/>
      <c r="C488" s="176"/>
      <c r="D488" s="175"/>
      <c r="E488" s="169"/>
      <c r="F488" s="170"/>
      <c r="G488" s="170"/>
      <c r="H488" s="170"/>
      <c r="I488" s="171"/>
      <c r="J488" s="171"/>
      <c r="K488" s="171"/>
    </row>
    <row r="489" spans="1:11" ht="12.75">
      <c r="A489" s="168" t="e">
        <f t="shared" si="0"/>
        <v>#REF!</v>
      </c>
      <c r="B489" s="175"/>
      <c r="C489" s="176"/>
      <c r="D489" s="175"/>
      <c r="E489" s="169"/>
      <c r="F489" s="170"/>
      <c r="G489" s="170"/>
      <c r="H489" s="170"/>
      <c r="I489" s="171"/>
      <c r="J489" s="171"/>
      <c r="K489" s="171"/>
    </row>
    <row r="490" spans="1:11" ht="12.75">
      <c r="A490" s="168" t="e">
        <f t="shared" si="0"/>
        <v>#REF!</v>
      </c>
      <c r="B490" s="175"/>
      <c r="C490" s="176"/>
      <c r="D490" s="175"/>
      <c r="E490" s="169"/>
      <c r="F490" s="170"/>
      <c r="G490" s="170"/>
      <c r="H490" s="170"/>
      <c r="I490" s="171"/>
      <c r="J490" s="171"/>
      <c r="K490" s="171"/>
    </row>
    <row r="491" spans="1:11" ht="12.75">
      <c r="A491" s="168" t="e">
        <f t="shared" si="0"/>
        <v>#REF!</v>
      </c>
      <c r="B491" s="175"/>
      <c r="C491" s="176"/>
      <c r="D491" s="175"/>
      <c r="E491" s="169"/>
      <c r="F491" s="170"/>
      <c r="G491" s="170"/>
      <c r="H491" s="170"/>
      <c r="I491" s="171"/>
      <c r="J491" s="171"/>
      <c r="K491" s="171"/>
    </row>
    <row r="492" spans="1:11" ht="12.75">
      <c r="A492" s="168" t="e">
        <f t="shared" si="0"/>
        <v>#REF!</v>
      </c>
      <c r="B492" s="175"/>
      <c r="C492" s="176"/>
      <c r="D492" s="175"/>
      <c r="E492" s="169"/>
      <c r="F492" s="170"/>
      <c r="G492" s="170"/>
      <c r="H492" s="170"/>
      <c r="I492" s="171"/>
      <c r="J492" s="171"/>
      <c r="K492" s="171"/>
    </row>
    <row r="493" spans="1:11" ht="12.75">
      <c r="A493" s="168" t="e">
        <f t="shared" si="0"/>
        <v>#REF!</v>
      </c>
      <c r="B493" s="175"/>
      <c r="C493" s="176"/>
      <c r="D493" s="175"/>
      <c r="E493" s="169"/>
      <c r="F493" s="170"/>
      <c r="G493" s="170"/>
      <c r="H493" s="170"/>
      <c r="I493" s="171"/>
      <c r="J493" s="171"/>
      <c r="K493" s="171"/>
    </row>
    <row r="494" spans="1:11" ht="12.75">
      <c r="A494" s="168" t="e">
        <f t="shared" si="0"/>
        <v>#REF!</v>
      </c>
      <c r="B494" s="175"/>
      <c r="C494" s="176"/>
      <c r="D494" s="175"/>
      <c r="E494" s="169"/>
      <c r="F494" s="170"/>
      <c r="G494" s="170"/>
      <c r="H494" s="170"/>
      <c r="I494" s="171"/>
      <c r="J494" s="171"/>
      <c r="K494" s="171"/>
    </row>
    <row r="495" spans="1:11" ht="12.75">
      <c r="A495" s="168" t="e">
        <f t="shared" si="0"/>
        <v>#REF!</v>
      </c>
      <c r="B495" s="175"/>
      <c r="C495" s="176"/>
      <c r="D495" s="175"/>
      <c r="E495" s="169"/>
      <c r="F495" s="170"/>
      <c r="G495" s="170"/>
      <c r="H495" s="170"/>
      <c r="I495" s="171"/>
      <c r="J495" s="171"/>
      <c r="K495" s="171"/>
    </row>
    <row r="496" spans="1:11" ht="12.75">
      <c r="A496" s="168" t="e">
        <f t="shared" si="0"/>
        <v>#REF!</v>
      </c>
      <c r="B496" s="175"/>
      <c r="C496" s="176"/>
      <c r="D496" s="175"/>
      <c r="E496" s="169"/>
      <c r="F496" s="170"/>
      <c r="G496" s="170"/>
      <c r="H496" s="170"/>
      <c r="I496" s="171"/>
      <c r="J496" s="171"/>
      <c r="K496" s="171"/>
    </row>
    <row r="497" spans="1:11" ht="12.75">
      <c r="A497" s="168" t="e">
        <f t="shared" si="0"/>
        <v>#REF!</v>
      </c>
      <c r="B497" s="175"/>
      <c r="C497" s="176"/>
      <c r="D497" s="175"/>
      <c r="E497" s="169"/>
      <c r="F497" s="170"/>
      <c r="G497" s="170"/>
      <c r="H497" s="170"/>
      <c r="I497" s="171"/>
      <c r="J497" s="171"/>
      <c r="K497" s="171"/>
    </row>
    <row r="498" spans="1:11" ht="12.75">
      <c r="A498" s="168" t="e">
        <f t="shared" si="0"/>
        <v>#REF!</v>
      </c>
      <c r="B498" s="175"/>
      <c r="C498" s="176"/>
      <c r="D498" s="175"/>
      <c r="E498" s="169"/>
      <c r="F498" s="170"/>
      <c r="G498" s="170"/>
      <c r="H498" s="170"/>
      <c r="I498" s="171"/>
      <c r="J498" s="171"/>
      <c r="K498" s="171"/>
    </row>
    <row r="499" spans="1:11" ht="12.75">
      <c r="A499" s="168" t="e">
        <f t="shared" si="0"/>
        <v>#REF!</v>
      </c>
      <c r="B499" s="175"/>
      <c r="C499" s="176"/>
      <c r="D499" s="175"/>
      <c r="E499" s="169"/>
      <c r="F499" s="170"/>
      <c r="G499" s="170"/>
      <c r="H499" s="170"/>
      <c r="I499" s="171"/>
      <c r="J499" s="171"/>
      <c r="K499" s="171"/>
    </row>
    <row r="500" spans="1:11" ht="12.75">
      <c r="A500" s="168" t="e">
        <f t="shared" si="0"/>
        <v>#REF!</v>
      </c>
      <c r="B500" s="175"/>
      <c r="C500" s="176"/>
      <c r="D500" s="175"/>
      <c r="E500" s="169"/>
      <c r="F500" s="170"/>
      <c r="G500" s="170"/>
      <c r="H500" s="170"/>
      <c r="I500" s="171"/>
      <c r="J500" s="171"/>
      <c r="K500" s="171"/>
    </row>
    <row r="501" spans="1:11" ht="12.75">
      <c r="A501" s="168" t="e">
        <f t="shared" si="0"/>
        <v>#REF!</v>
      </c>
      <c r="B501" s="175"/>
      <c r="C501" s="176"/>
      <c r="D501" s="175"/>
      <c r="E501" s="169"/>
      <c r="F501" s="170"/>
      <c r="G501" s="170"/>
      <c r="H501" s="170"/>
      <c r="I501" s="171"/>
      <c r="J501" s="171"/>
      <c r="K501" s="171"/>
    </row>
    <row r="502" spans="1:11" ht="12.75">
      <c r="A502" s="168" t="e">
        <f t="shared" si="0"/>
        <v>#REF!</v>
      </c>
      <c r="B502" s="175"/>
      <c r="C502" s="176"/>
      <c r="D502" s="175"/>
      <c r="E502" s="169"/>
      <c r="F502" s="170"/>
      <c r="G502" s="170"/>
      <c r="H502" s="170"/>
      <c r="I502" s="171"/>
      <c r="J502" s="171"/>
      <c r="K502" s="171"/>
    </row>
    <row r="503" spans="1:11" ht="12.75">
      <c r="A503" s="168" t="e">
        <f t="shared" si="0"/>
        <v>#REF!</v>
      </c>
      <c r="B503" s="175"/>
      <c r="C503" s="176"/>
      <c r="D503" s="175"/>
      <c r="E503" s="169"/>
      <c r="F503" s="170"/>
      <c r="G503" s="170"/>
      <c r="H503" s="170"/>
      <c r="I503" s="171"/>
      <c r="J503" s="171"/>
      <c r="K503" s="171"/>
    </row>
    <row r="504" spans="1:11" ht="12.75">
      <c r="A504" s="168" t="e">
        <f t="shared" si="0"/>
        <v>#REF!</v>
      </c>
      <c r="B504" s="175"/>
      <c r="C504" s="176"/>
      <c r="D504" s="175"/>
      <c r="E504" s="169"/>
      <c r="F504" s="170"/>
      <c r="G504" s="170"/>
      <c r="H504" s="170"/>
      <c r="I504" s="171"/>
      <c r="J504" s="171"/>
      <c r="K504" s="171"/>
    </row>
    <row r="505" spans="1:11" ht="12.75">
      <c r="A505" s="168" t="e">
        <f t="shared" si="0"/>
        <v>#REF!</v>
      </c>
      <c r="B505" s="175"/>
      <c r="C505" s="176"/>
      <c r="D505" s="175"/>
      <c r="E505" s="169"/>
      <c r="F505" s="170"/>
      <c r="G505" s="170"/>
      <c r="H505" s="170"/>
      <c r="I505" s="171"/>
      <c r="J505" s="171"/>
      <c r="K505" s="171"/>
    </row>
    <row r="506" spans="1:11" ht="12.75">
      <c r="A506" s="168" t="e">
        <f t="shared" si="0"/>
        <v>#REF!</v>
      </c>
      <c r="B506" s="175"/>
      <c r="C506" s="176"/>
      <c r="D506" s="175"/>
      <c r="E506" s="169"/>
      <c r="F506" s="170"/>
      <c r="G506" s="170"/>
      <c r="H506" s="170"/>
      <c r="I506" s="171"/>
      <c r="J506" s="171"/>
      <c r="K506" s="171"/>
    </row>
    <row r="507" spans="1:11" ht="12.75">
      <c r="A507" s="168" t="e">
        <f t="shared" si="0"/>
        <v>#REF!</v>
      </c>
      <c r="B507" s="175"/>
      <c r="C507" s="176"/>
      <c r="D507" s="175"/>
      <c r="E507" s="169"/>
      <c r="F507" s="170"/>
      <c r="G507" s="170"/>
      <c r="H507" s="170"/>
      <c r="I507" s="171"/>
      <c r="J507" s="171"/>
      <c r="K507" s="171"/>
    </row>
    <row r="508" spans="1:11" ht="12.75">
      <c r="A508" s="168" t="e">
        <f t="shared" si="0"/>
        <v>#REF!</v>
      </c>
      <c r="B508" s="175"/>
      <c r="C508" s="176"/>
      <c r="D508" s="175"/>
      <c r="E508" s="169"/>
      <c r="F508" s="170"/>
      <c r="G508" s="170"/>
      <c r="H508" s="170"/>
      <c r="I508" s="171"/>
      <c r="J508" s="171"/>
      <c r="K508" s="171"/>
    </row>
    <row r="509" spans="1:11" ht="12.75">
      <c r="A509" s="168" t="e">
        <f t="shared" si="0"/>
        <v>#REF!</v>
      </c>
      <c r="B509" s="175"/>
      <c r="C509" s="176"/>
      <c r="D509" s="175"/>
      <c r="E509" s="169"/>
      <c r="F509" s="170"/>
      <c r="G509" s="170"/>
      <c r="H509" s="170"/>
      <c r="I509" s="171"/>
      <c r="J509" s="171"/>
      <c r="K509" s="171"/>
    </row>
    <row r="510" spans="1:11" ht="12.75">
      <c r="A510" s="168" t="e">
        <f t="shared" si="0"/>
        <v>#REF!</v>
      </c>
      <c r="B510" s="175"/>
      <c r="C510" s="176"/>
      <c r="D510" s="175"/>
      <c r="E510" s="169"/>
      <c r="F510" s="170"/>
      <c r="G510" s="170"/>
      <c r="H510" s="170"/>
      <c r="I510" s="171"/>
      <c r="J510" s="171"/>
      <c r="K510" s="171"/>
    </row>
    <row r="511" spans="1:11" ht="12.75">
      <c r="A511" s="168" t="e">
        <f t="shared" si="0"/>
        <v>#REF!</v>
      </c>
      <c r="B511" s="175"/>
      <c r="C511" s="176"/>
      <c r="D511" s="175"/>
      <c r="E511" s="169"/>
      <c r="F511" s="170"/>
      <c r="G511" s="170"/>
      <c r="H511" s="170"/>
      <c r="I511" s="171"/>
      <c r="J511" s="171"/>
      <c r="K511" s="171"/>
    </row>
    <row r="512" spans="1:11" ht="12.75">
      <c r="A512" s="168" t="e">
        <f t="shared" si="0"/>
        <v>#REF!</v>
      </c>
      <c r="B512" s="175"/>
      <c r="C512" s="176"/>
      <c r="D512" s="175"/>
      <c r="E512" s="169"/>
      <c r="F512" s="170"/>
      <c r="G512" s="170"/>
      <c r="H512" s="170"/>
      <c r="I512" s="171"/>
      <c r="J512" s="171"/>
      <c r="K512" s="171"/>
    </row>
    <row r="513" spans="1:11" ht="12.75">
      <c r="A513" s="168" t="e">
        <f t="shared" si="0"/>
        <v>#REF!</v>
      </c>
      <c r="B513" s="175"/>
      <c r="C513" s="176"/>
      <c r="D513" s="175"/>
      <c r="E513" s="169"/>
      <c r="F513" s="170"/>
      <c r="G513" s="170"/>
      <c r="H513" s="170"/>
      <c r="I513" s="171"/>
      <c r="J513" s="171"/>
      <c r="K513" s="171"/>
    </row>
    <row r="514" spans="1:11" ht="12.75">
      <c r="A514" s="168" t="e">
        <f t="shared" si="0"/>
        <v>#REF!</v>
      </c>
      <c r="B514" s="175"/>
      <c r="C514" s="176"/>
      <c r="D514" s="175"/>
      <c r="E514" s="169"/>
      <c r="F514" s="170"/>
      <c r="G514" s="170"/>
      <c r="H514" s="170"/>
      <c r="I514" s="171"/>
      <c r="J514" s="171"/>
      <c r="K514" s="171"/>
    </row>
    <row r="515" spans="1:11" ht="12.75">
      <c r="A515" s="168" t="e">
        <f t="shared" si="0"/>
        <v>#REF!</v>
      </c>
      <c r="B515" s="175"/>
      <c r="C515" s="176"/>
      <c r="D515" s="175"/>
      <c r="E515" s="169"/>
      <c r="F515" s="170"/>
      <c r="G515" s="170"/>
      <c r="H515" s="170"/>
      <c r="I515" s="171"/>
      <c r="J515" s="171"/>
      <c r="K515" s="171"/>
    </row>
    <row r="516" spans="1:11" ht="12.75">
      <c r="A516" s="168" t="e">
        <f t="shared" si="0"/>
        <v>#REF!</v>
      </c>
      <c r="B516" s="175"/>
      <c r="C516" s="176"/>
      <c r="D516" s="175"/>
      <c r="E516" s="169"/>
      <c r="F516" s="170"/>
      <c r="G516" s="170"/>
      <c r="H516" s="170"/>
      <c r="I516" s="171"/>
      <c r="J516" s="171"/>
      <c r="K516" s="171"/>
    </row>
    <row r="517" spans="1:11" ht="12.75">
      <c r="A517" s="168" t="e">
        <f t="shared" si="0"/>
        <v>#REF!</v>
      </c>
      <c r="B517" s="175"/>
      <c r="C517" s="176"/>
      <c r="D517" s="175"/>
      <c r="E517" s="169"/>
      <c r="F517" s="170"/>
      <c r="G517" s="170"/>
      <c r="H517" s="170"/>
      <c r="I517" s="171"/>
      <c r="J517" s="171"/>
      <c r="K517" s="171"/>
    </row>
    <row r="518" spans="1:11" ht="12.75">
      <c r="A518" s="168" t="e">
        <f t="shared" si="0"/>
        <v>#REF!</v>
      </c>
      <c r="B518" s="175"/>
      <c r="C518" s="176"/>
      <c r="D518" s="175"/>
      <c r="E518" s="169"/>
      <c r="F518" s="170"/>
      <c r="G518" s="170"/>
      <c r="H518" s="170"/>
      <c r="I518" s="171"/>
      <c r="J518" s="171"/>
      <c r="K518" s="171"/>
    </row>
    <row r="519" spans="1:11" ht="12.75">
      <c r="A519" s="168" t="e">
        <f t="shared" si="0"/>
        <v>#REF!</v>
      </c>
      <c r="B519" s="175"/>
      <c r="C519" s="176"/>
      <c r="D519" s="175"/>
      <c r="E519" s="169"/>
      <c r="F519" s="170"/>
      <c r="G519" s="170"/>
      <c r="H519" s="170"/>
      <c r="I519" s="171"/>
      <c r="J519" s="171"/>
      <c r="K519" s="171"/>
    </row>
    <row r="520" spans="1:11" ht="12.75">
      <c r="A520" s="168" t="e">
        <f t="shared" si="0"/>
        <v>#REF!</v>
      </c>
      <c r="B520" s="175"/>
      <c r="C520" s="176"/>
      <c r="D520" s="175"/>
      <c r="E520" s="169"/>
      <c r="F520" s="170"/>
      <c r="G520" s="170"/>
      <c r="H520" s="170"/>
      <c r="I520" s="171"/>
      <c r="J520" s="171"/>
      <c r="K520" s="171"/>
    </row>
    <row r="521" spans="1:11" ht="12.75">
      <c r="A521" s="168" t="e">
        <f t="shared" si="0"/>
        <v>#REF!</v>
      </c>
      <c r="B521" s="175"/>
      <c r="C521" s="176"/>
      <c r="D521" s="175"/>
      <c r="E521" s="169"/>
      <c r="F521" s="170"/>
      <c r="G521" s="170"/>
      <c r="H521" s="170"/>
      <c r="I521" s="171"/>
      <c r="J521" s="171"/>
      <c r="K521" s="171"/>
    </row>
    <row r="522" spans="1:11" ht="12.75">
      <c r="A522" s="168" t="e">
        <f t="shared" si="0"/>
        <v>#REF!</v>
      </c>
      <c r="B522" s="175"/>
      <c r="C522" s="176"/>
      <c r="D522" s="175"/>
      <c r="E522" s="169"/>
      <c r="F522" s="170"/>
      <c r="G522" s="170"/>
      <c r="H522" s="170"/>
      <c r="I522" s="171"/>
      <c r="J522" s="171"/>
      <c r="K522" s="171"/>
    </row>
    <row r="523" spans="1:11" ht="12.75">
      <c r="A523" s="168" t="e">
        <f t="shared" si="0"/>
        <v>#REF!</v>
      </c>
      <c r="B523" s="175"/>
      <c r="C523" s="176"/>
      <c r="D523" s="175"/>
      <c r="E523" s="169"/>
      <c r="F523" s="170"/>
      <c r="G523" s="170"/>
      <c r="H523" s="170"/>
      <c r="I523" s="171"/>
      <c r="J523" s="171"/>
      <c r="K523" s="171"/>
    </row>
    <row r="524" spans="1:11" ht="12.75">
      <c r="A524" s="168" t="e">
        <f t="shared" si="0"/>
        <v>#REF!</v>
      </c>
      <c r="B524" s="175"/>
      <c r="C524" s="176"/>
      <c r="D524" s="175"/>
      <c r="E524" s="169"/>
      <c r="F524" s="170"/>
      <c r="G524" s="170"/>
      <c r="H524" s="170"/>
      <c r="I524" s="171"/>
      <c r="J524" s="171"/>
      <c r="K524" s="171"/>
    </row>
    <row r="525" spans="1:11" ht="12.75">
      <c r="A525" s="168" t="e">
        <f t="shared" si="0"/>
        <v>#REF!</v>
      </c>
      <c r="B525" s="175"/>
      <c r="C525" s="176"/>
      <c r="D525" s="175"/>
      <c r="E525" s="169"/>
      <c r="F525" s="170"/>
      <c r="G525" s="170"/>
      <c r="H525" s="170"/>
      <c r="I525" s="171"/>
      <c r="J525" s="171"/>
      <c r="K525" s="171"/>
    </row>
    <row r="526" spans="1:11" ht="12.75">
      <c r="A526" s="168" t="e">
        <f t="shared" si="0"/>
        <v>#REF!</v>
      </c>
      <c r="B526" s="175"/>
      <c r="C526" s="176"/>
      <c r="D526" s="175"/>
      <c r="E526" s="169"/>
      <c r="F526" s="170"/>
      <c r="G526" s="170"/>
      <c r="H526" s="170"/>
      <c r="I526" s="171"/>
      <c r="J526" s="171"/>
      <c r="K526" s="171"/>
    </row>
    <row r="527" spans="1:11" ht="12.75">
      <c r="A527" s="168" t="e">
        <f t="shared" si="0"/>
        <v>#REF!</v>
      </c>
      <c r="B527" s="175"/>
      <c r="C527" s="176"/>
      <c r="D527" s="175"/>
      <c r="E527" s="169"/>
      <c r="F527" s="170"/>
      <c r="G527" s="170"/>
      <c r="H527" s="170"/>
      <c r="I527" s="171"/>
      <c r="J527" s="171"/>
      <c r="K527" s="171"/>
    </row>
    <row r="528" spans="1:11" ht="12.75">
      <c r="A528" s="168" t="e">
        <f t="shared" si="0"/>
        <v>#REF!</v>
      </c>
      <c r="B528" s="175"/>
      <c r="C528" s="176"/>
      <c r="D528" s="175"/>
      <c r="E528" s="169"/>
      <c r="F528" s="170"/>
      <c r="G528" s="170"/>
      <c r="H528" s="170"/>
      <c r="I528" s="171"/>
      <c r="J528" s="171"/>
      <c r="K528" s="171"/>
    </row>
    <row r="529" spans="1:11" ht="12.75">
      <c r="A529" s="168" t="e">
        <f t="shared" si="0"/>
        <v>#REF!</v>
      </c>
      <c r="B529" s="175"/>
      <c r="C529" s="176"/>
      <c r="D529" s="175"/>
      <c r="E529" s="169"/>
      <c r="F529" s="170"/>
      <c r="G529" s="170"/>
      <c r="H529" s="170"/>
      <c r="I529" s="171"/>
      <c r="J529" s="171"/>
      <c r="K529" s="171"/>
    </row>
    <row r="530" spans="1:11" ht="12.75">
      <c r="A530" s="168" t="e">
        <f t="shared" si="0"/>
        <v>#REF!</v>
      </c>
      <c r="B530" s="175"/>
      <c r="C530" s="176"/>
      <c r="D530" s="175"/>
      <c r="E530" s="169"/>
      <c r="F530" s="170"/>
      <c r="G530" s="170"/>
      <c r="H530" s="170"/>
      <c r="I530" s="171"/>
      <c r="J530" s="171"/>
      <c r="K530" s="171"/>
    </row>
    <row r="531" spans="1:11" ht="12.75">
      <c r="A531" s="168" t="e">
        <f t="shared" si="0"/>
        <v>#REF!</v>
      </c>
      <c r="B531" s="175"/>
      <c r="C531" s="176"/>
      <c r="D531" s="175"/>
      <c r="E531" s="169"/>
      <c r="F531" s="170"/>
      <c r="G531" s="170"/>
      <c r="H531" s="170"/>
      <c r="I531" s="171"/>
      <c r="J531" s="171"/>
      <c r="K531" s="171"/>
    </row>
    <row r="532" spans="1:11" ht="12.75">
      <c r="A532" s="168" t="e">
        <f t="shared" si="0"/>
        <v>#REF!</v>
      </c>
      <c r="B532" s="175"/>
      <c r="C532" s="176"/>
      <c r="D532" s="175"/>
      <c r="E532" s="169"/>
      <c r="F532" s="170"/>
      <c r="G532" s="170"/>
      <c r="H532" s="170"/>
      <c r="I532" s="171"/>
      <c r="J532" s="171"/>
      <c r="K532" s="171"/>
    </row>
    <row r="533" spans="1:11" ht="12.75">
      <c r="A533" s="168" t="e">
        <f t="shared" si="0"/>
        <v>#REF!</v>
      </c>
      <c r="B533" s="175"/>
      <c r="C533" s="176"/>
      <c r="D533" s="175"/>
      <c r="E533" s="169"/>
      <c r="F533" s="170"/>
      <c r="G533" s="170"/>
      <c r="H533" s="170"/>
      <c r="I533" s="171"/>
      <c r="J533" s="171"/>
      <c r="K533" s="171"/>
    </row>
    <row r="534" spans="1:11" ht="12.75">
      <c r="A534" s="168" t="e">
        <f t="shared" si="0"/>
        <v>#REF!</v>
      </c>
      <c r="B534" s="175"/>
      <c r="C534" s="176"/>
      <c r="D534" s="175"/>
      <c r="E534" s="169"/>
      <c r="F534" s="170"/>
      <c r="G534" s="170"/>
      <c r="H534" s="170"/>
      <c r="I534" s="171"/>
      <c r="J534" s="171"/>
      <c r="K534" s="171"/>
    </row>
    <row r="535" spans="1:11" ht="12.75">
      <c r="A535" s="168" t="e">
        <f t="shared" si="0"/>
        <v>#REF!</v>
      </c>
      <c r="B535" s="175"/>
      <c r="C535" s="176"/>
      <c r="D535" s="175"/>
      <c r="E535" s="169"/>
      <c r="F535" s="170"/>
      <c r="G535" s="170"/>
      <c r="H535" s="170"/>
      <c r="I535" s="171"/>
      <c r="J535" s="171"/>
      <c r="K535" s="171"/>
    </row>
    <row r="536" spans="1:11" ht="12.75">
      <c r="A536" s="168" t="e">
        <f t="shared" si="0"/>
        <v>#REF!</v>
      </c>
      <c r="B536" s="175"/>
      <c r="C536" s="176"/>
      <c r="D536" s="175"/>
      <c r="E536" s="169"/>
      <c r="F536" s="170"/>
      <c r="G536" s="170"/>
      <c r="H536" s="170"/>
      <c r="I536" s="171"/>
      <c r="J536" s="171"/>
      <c r="K536" s="171"/>
    </row>
    <row r="537" spans="1:11" ht="12.75">
      <c r="A537" s="168" t="e">
        <f t="shared" si="0"/>
        <v>#REF!</v>
      </c>
      <c r="B537" s="175"/>
      <c r="C537" s="176"/>
      <c r="D537" s="175"/>
      <c r="E537" s="169"/>
      <c r="F537" s="170"/>
      <c r="G537" s="170"/>
      <c r="H537" s="170"/>
      <c r="I537" s="171"/>
      <c r="J537" s="171"/>
      <c r="K537" s="171"/>
    </row>
    <row r="538" spans="1:11" ht="12.75">
      <c r="A538" s="168" t="e">
        <f t="shared" si="0"/>
        <v>#REF!</v>
      </c>
      <c r="B538" s="175"/>
      <c r="C538" s="176"/>
      <c r="D538" s="175"/>
      <c r="E538" s="169"/>
      <c r="F538" s="170"/>
      <c r="G538" s="170"/>
      <c r="H538" s="170"/>
      <c r="I538" s="171"/>
      <c r="J538" s="171"/>
      <c r="K538" s="171"/>
    </row>
    <row r="539" spans="1:11" ht="12.75">
      <c r="A539" s="168" t="e">
        <f t="shared" si="0"/>
        <v>#REF!</v>
      </c>
      <c r="B539" s="175"/>
      <c r="C539" s="176"/>
      <c r="D539" s="175"/>
      <c r="E539" s="169"/>
      <c r="F539" s="170"/>
      <c r="G539" s="170"/>
      <c r="H539" s="170"/>
      <c r="I539" s="171"/>
      <c r="J539" s="171"/>
      <c r="K539" s="171"/>
    </row>
    <row r="540" spans="1:11" ht="12.75">
      <c r="A540" s="168" t="e">
        <f t="shared" si="0"/>
        <v>#REF!</v>
      </c>
      <c r="B540" s="175"/>
      <c r="C540" s="176"/>
      <c r="D540" s="175"/>
      <c r="E540" s="169"/>
      <c r="F540" s="170"/>
      <c r="G540" s="170"/>
      <c r="H540" s="170"/>
      <c r="I540" s="171"/>
      <c r="J540" s="171"/>
      <c r="K540" s="171"/>
    </row>
    <row r="541" spans="1:11" ht="12.75">
      <c r="A541" s="168" t="e">
        <f t="shared" si="0"/>
        <v>#REF!</v>
      </c>
      <c r="B541" s="175"/>
      <c r="C541" s="176"/>
      <c r="D541" s="175"/>
      <c r="E541" s="169"/>
      <c r="F541" s="170"/>
      <c r="G541" s="170"/>
      <c r="H541" s="170"/>
      <c r="I541" s="171"/>
      <c r="J541" s="171"/>
      <c r="K541" s="171"/>
    </row>
    <row r="542" spans="1:11" ht="12.75">
      <c r="A542" s="168" t="e">
        <f t="shared" si="0"/>
        <v>#REF!</v>
      </c>
      <c r="B542" s="175"/>
      <c r="C542" s="176"/>
      <c r="D542" s="175"/>
      <c r="E542" s="169"/>
      <c r="F542" s="170"/>
      <c r="G542" s="170"/>
      <c r="H542" s="170"/>
      <c r="I542" s="171"/>
      <c r="J542" s="171"/>
      <c r="K542" s="171"/>
    </row>
    <row r="543" spans="1:11" ht="12.75">
      <c r="A543" s="168" t="e">
        <f t="shared" si="0"/>
        <v>#REF!</v>
      </c>
      <c r="B543" s="175"/>
      <c r="C543" s="176"/>
      <c r="D543" s="175"/>
      <c r="E543" s="169"/>
      <c r="F543" s="170"/>
      <c r="G543" s="170"/>
      <c r="H543" s="170"/>
      <c r="I543" s="171"/>
      <c r="J543" s="171"/>
      <c r="K543" s="171"/>
    </row>
    <row r="544" spans="1:11" ht="12.75">
      <c r="A544" s="168" t="e">
        <f t="shared" si="0"/>
        <v>#REF!</v>
      </c>
      <c r="B544" s="175"/>
      <c r="C544" s="176"/>
      <c r="D544" s="175"/>
      <c r="E544" s="169"/>
      <c r="F544" s="170"/>
      <c r="G544" s="170"/>
      <c r="H544" s="170"/>
      <c r="I544" s="171"/>
      <c r="J544" s="171"/>
      <c r="K544" s="171"/>
    </row>
    <row r="545" spans="1:11" ht="12.75">
      <c r="A545" s="168" t="e">
        <f t="shared" si="0"/>
        <v>#REF!</v>
      </c>
      <c r="B545" s="175"/>
      <c r="C545" s="176"/>
      <c r="D545" s="175"/>
      <c r="E545" s="169"/>
      <c r="F545" s="170"/>
      <c r="G545" s="170"/>
      <c r="H545" s="170"/>
      <c r="I545" s="171"/>
      <c r="J545" s="171"/>
      <c r="K545" s="171"/>
    </row>
    <row r="546" spans="1:11" ht="12.75">
      <c r="A546" s="168" t="e">
        <f t="shared" si="0"/>
        <v>#REF!</v>
      </c>
      <c r="B546" s="175"/>
      <c r="C546" s="176"/>
      <c r="D546" s="175"/>
      <c r="E546" s="169"/>
      <c r="F546" s="170"/>
      <c r="G546" s="170"/>
      <c r="H546" s="170"/>
      <c r="I546" s="171"/>
      <c r="J546" s="171"/>
      <c r="K546" s="171"/>
    </row>
    <row r="547" spans="1:11" ht="12.75">
      <c r="A547" s="168" t="e">
        <f t="shared" si="0"/>
        <v>#REF!</v>
      </c>
      <c r="B547" s="175"/>
      <c r="C547" s="176"/>
      <c r="D547" s="175"/>
      <c r="E547" s="169"/>
      <c r="F547" s="170"/>
      <c r="G547" s="170"/>
      <c r="H547" s="170"/>
      <c r="I547" s="171"/>
      <c r="J547" s="171"/>
      <c r="K547" s="171"/>
    </row>
    <row r="548" spans="1:11" ht="12.75">
      <c r="A548" s="168" t="e">
        <f t="shared" si="0"/>
        <v>#REF!</v>
      </c>
      <c r="B548" s="175"/>
      <c r="C548" s="176"/>
      <c r="D548" s="175"/>
      <c r="E548" s="169"/>
      <c r="F548" s="170"/>
      <c r="G548" s="170"/>
      <c r="H548" s="170"/>
      <c r="I548" s="171"/>
      <c r="J548" s="171"/>
      <c r="K548" s="171"/>
    </row>
    <row r="549" spans="1:11" ht="12.75">
      <c r="A549" s="168" t="e">
        <f t="shared" si="0"/>
        <v>#REF!</v>
      </c>
      <c r="B549" s="175"/>
      <c r="C549" s="176"/>
      <c r="D549" s="175"/>
      <c r="E549" s="169"/>
      <c r="F549" s="170"/>
      <c r="G549" s="170"/>
      <c r="H549" s="170"/>
      <c r="I549" s="171"/>
      <c r="J549" s="171"/>
      <c r="K549" s="171"/>
    </row>
    <row r="550" spans="1:11" ht="12.75">
      <c r="A550" s="168" t="e">
        <f t="shared" si="0"/>
        <v>#REF!</v>
      </c>
      <c r="B550" s="175"/>
      <c r="C550" s="176"/>
      <c r="D550" s="175"/>
      <c r="E550" s="169"/>
      <c r="F550" s="170"/>
      <c r="G550" s="170"/>
      <c r="H550" s="170"/>
      <c r="I550" s="171"/>
      <c r="J550" s="171"/>
      <c r="K550" s="171"/>
    </row>
    <row r="551" spans="1:11" ht="12.75">
      <c r="A551" s="168" t="e">
        <f t="shared" si="0"/>
        <v>#REF!</v>
      </c>
      <c r="B551" s="175"/>
      <c r="C551" s="176"/>
      <c r="D551" s="175"/>
      <c r="E551" s="169"/>
      <c r="F551" s="170"/>
      <c r="G551" s="170"/>
      <c r="H551" s="170"/>
      <c r="I551" s="171"/>
      <c r="J551" s="171"/>
      <c r="K551" s="171"/>
    </row>
    <row r="552" spans="1:11" ht="12.75">
      <c r="A552" s="168" t="e">
        <f t="shared" si="0"/>
        <v>#REF!</v>
      </c>
      <c r="B552" s="175"/>
      <c r="C552" s="176"/>
      <c r="D552" s="175"/>
      <c r="E552" s="169"/>
      <c r="F552" s="170"/>
      <c r="G552" s="170"/>
      <c r="H552" s="170"/>
      <c r="I552" s="171"/>
      <c r="J552" s="171"/>
      <c r="K552" s="171"/>
    </row>
    <row r="553" spans="1:11" ht="12.75">
      <c r="A553" s="168" t="e">
        <f t="shared" si="0"/>
        <v>#REF!</v>
      </c>
      <c r="B553" s="175"/>
      <c r="C553" s="176"/>
      <c r="D553" s="175"/>
      <c r="E553" s="169"/>
      <c r="F553" s="170"/>
      <c r="G553" s="170"/>
      <c r="H553" s="170"/>
      <c r="I553" s="171"/>
      <c r="J553" s="171"/>
      <c r="K553" s="171"/>
    </row>
    <row r="554" spans="1:11" ht="12.75">
      <c r="A554" s="168" t="e">
        <f t="shared" si="0"/>
        <v>#REF!</v>
      </c>
      <c r="B554" s="175"/>
      <c r="C554" s="176"/>
      <c r="D554" s="175"/>
      <c r="E554" s="169"/>
      <c r="F554" s="170"/>
      <c r="G554" s="170"/>
      <c r="H554" s="170"/>
      <c r="I554" s="171"/>
      <c r="J554" s="171"/>
      <c r="K554" s="171"/>
    </row>
    <row r="555" spans="1:11" ht="12.75">
      <c r="A555" s="168" t="e">
        <f t="shared" si="0"/>
        <v>#REF!</v>
      </c>
      <c r="B555" s="175"/>
      <c r="C555" s="176"/>
      <c r="D555" s="175"/>
      <c r="E555" s="169"/>
      <c r="F555" s="170"/>
      <c r="G555" s="170"/>
      <c r="H555" s="170"/>
      <c r="I555" s="171"/>
      <c r="J555" s="171"/>
      <c r="K555" s="171"/>
    </row>
    <row r="556" spans="1:11" ht="12.75">
      <c r="A556" s="168" t="e">
        <f t="shared" si="0"/>
        <v>#REF!</v>
      </c>
      <c r="B556" s="175"/>
      <c r="C556" s="176"/>
      <c r="D556" s="175"/>
      <c r="E556" s="169"/>
      <c r="F556" s="170"/>
      <c r="G556" s="170"/>
      <c r="H556" s="170"/>
      <c r="I556" s="171"/>
      <c r="J556" s="171"/>
      <c r="K556" s="171"/>
    </row>
    <row r="557" spans="1:11" ht="12.75">
      <c r="A557" s="168" t="e">
        <f t="shared" si="0"/>
        <v>#REF!</v>
      </c>
      <c r="B557" s="175"/>
      <c r="C557" s="176"/>
      <c r="D557" s="175"/>
      <c r="E557" s="169"/>
      <c r="F557" s="170"/>
      <c r="G557" s="170"/>
      <c r="H557" s="170"/>
      <c r="I557" s="171"/>
      <c r="J557" s="171"/>
      <c r="K557" s="171"/>
    </row>
    <row r="558" spans="1:11" ht="12.75">
      <c r="A558" s="168" t="e">
        <f t="shared" si="0"/>
        <v>#REF!</v>
      </c>
      <c r="B558" s="175"/>
      <c r="C558" s="176"/>
      <c r="D558" s="175"/>
      <c r="E558" s="169"/>
      <c r="F558" s="170"/>
      <c r="G558" s="170"/>
      <c r="H558" s="170"/>
      <c r="I558" s="171"/>
      <c r="J558" s="171"/>
      <c r="K558" s="171"/>
    </row>
    <row r="559" spans="1:11" ht="12.75">
      <c r="A559" s="168" t="e">
        <f t="shared" si="0"/>
        <v>#REF!</v>
      </c>
      <c r="B559" s="175"/>
      <c r="C559" s="176"/>
      <c r="D559" s="175"/>
      <c r="E559" s="169"/>
      <c r="F559" s="170"/>
      <c r="G559" s="170"/>
      <c r="H559" s="170"/>
      <c r="I559" s="171"/>
      <c r="J559" s="171"/>
      <c r="K559" s="171"/>
    </row>
    <row r="560" spans="1:11" ht="12.75">
      <c r="A560" s="168" t="e">
        <f t="shared" si="0"/>
        <v>#REF!</v>
      </c>
      <c r="B560" s="175"/>
      <c r="C560" s="176"/>
      <c r="D560" s="175"/>
      <c r="E560" s="169"/>
      <c r="F560" s="170"/>
      <c r="G560" s="170"/>
      <c r="H560" s="170"/>
      <c r="I560" s="171"/>
      <c r="J560" s="171"/>
      <c r="K560" s="171"/>
    </row>
    <row r="561" spans="1:11" ht="12.75">
      <c r="A561" s="168" t="e">
        <f t="shared" si="0"/>
        <v>#REF!</v>
      </c>
      <c r="B561" s="175"/>
      <c r="C561" s="176"/>
      <c r="D561" s="175"/>
      <c r="E561" s="169"/>
      <c r="F561" s="170"/>
      <c r="G561" s="170"/>
      <c r="H561" s="170"/>
      <c r="I561" s="171"/>
      <c r="J561" s="171"/>
      <c r="K561" s="171"/>
    </row>
    <row r="562" spans="1:11" ht="12.75">
      <c r="A562" s="168" t="e">
        <f t="shared" si="0"/>
        <v>#REF!</v>
      </c>
      <c r="B562" s="175"/>
      <c r="C562" s="176"/>
      <c r="D562" s="175"/>
      <c r="E562" s="169"/>
      <c r="F562" s="170"/>
      <c r="G562" s="170"/>
      <c r="H562" s="170"/>
      <c r="I562" s="171"/>
      <c r="J562" s="171"/>
      <c r="K562" s="171"/>
    </row>
    <row r="563" spans="1:11" ht="12.75">
      <c r="A563" s="168" t="e">
        <f t="shared" si="0"/>
        <v>#REF!</v>
      </c>
      <c r="B563" s="175"/>
      <c r="C563" s="176"/>
      <c r="D563" s="175"/>
      <c r="E563" s="169"/>
      <c r="F563" s="170"/>
      <c r="G563" s="170"/>
      <c r="H563" s="170"/>
      <c r="I563" s="171"/>
      <c r="J563" s="171"/>
      <c r="K563" s="171"/>
    </row>
    <row r="564" spans="1:11" ht="12.75">
      <c r="A564" s="168" t="e">
        <f t="shared" si="0"/>
        <v>#REF!</v>
      </c>
      <c r="B564" s="175"/>
      <c r="C564" s="176"/>
      <c r="D564" s="175"/>
      <c r="E564" s="169"/>
      <c r="F564" s="170"/>
      <c r="G564" s="170"/>
      <c r="H564" s="170"/>
      <c r="I564" s="171"/>
      <c r="J564" s="171"/>
      <c r="K564" s="171"/>
    </row>
    <row r="565" spans="1:11" ht="12.75">
      <c r="A565" s="168" t="e">
        <f t="shared" si="0"/>
        <v>#REF!</v>
      </c>
      <c r="B565" s="175"/>
      <c r="C565" s="176"/>
      <c r="D565" s="175"/>
      <c r="E565" s="169"/>
      <c r="F565" s="170"/>
      <c r="G565" s="170"/>
      <c r="H565" s="170"/>
      <c r="I565" s="171"/>
      <c r="J565" s="171"/>
      <c r="K565" s="171"/>
    </row>
    <row r="566" spans="1:11" ht="12.75">
      <c r="A566" s="168" t="e">
        <f t="shared" si="0"/>
        <v>#REF!</v>
      </c>
      <c r="B566" s="175"/>
      <c r="C566" s="176"/>
      <c r="D566" s="175"/>
      <c r="E566" s="169"/>
      <c r="F566" s="170"/>
      <c r="G566" s="170"/>
      <c r="H566" s="170"/>
      <c r="I566" s="171"/>
      <c r="J566" s="171"/>
      <c r="K566" s="171"/>
    </row>
    <row r="567" spans="1:11" ht="12.75">
      <c r="A567" s="168" t="e">
        <f t="shared" si="0"/>
        <v>#REF!</v>
      </c>
      <c r="B567" s="175"/>
      <c r="C567" s="176"/>
      <c r="D567" s="175"/>
      <c r="E567" s="169"/>
      <c r="F567" s="170"/>
      <c r="G567" s="170"/>
      <c r="H567" s="170"/>
      <c r="I567" s="171"/>
      <c r="J567" s="171"/>
      <c r="K567" s="171"/>
    </row>
    <row r="568" spans="1:11" ht="12.75">
      <c r="A568" s="168" t="e">
        <f t="shared" si="0"/>
        <v>#REF!</v>
      </c>
      <c r="B568" s="175"/>
      <c r="C568" s="176"/>
      <c r="D568" s="175"/>
      <c r="E568" s="169"/>
      <c r="F568" s="170"/>
      <c r="G568" s="170"/>
      <c r="H568" s="170"/>
      <c r="I568" s="171"/>
      <c r="J568" s="171"/>
      <c r="K568" s="171"/>
    </row>
    <row r="569" spans="1:11" ht="12.75">
      <c r="A569" s="168" t="e">
        <f t="shared" si="0"/>
        <v>#REF!</v>
      </c>
      <c r="B569" s="175"/>
      <c r="C569" s="176"/>
      <c r="D569" s="175"/>
      <c r="E569" s="169"/>
      <c r="F569" s="170"/>
      <c r="G569" s="170"/>
      <c r="H569" s="170"/>
      <c r="I569" s="171"/>
      <c r="J569" s="171"/>
      <c r="K569" s="171"/>
    </row>
    <row r="570" spans="1:11" ht="12.75">
      <c r="A570" s="168" t="e">
        <f t="shared" si="0"/>
        <v>#REF!</v>
      </c>
      <c r="B570" s="175"/>
      <c r="C570" s="176"/>
      <c r="D570" s="175"/>
      <c r="E570" s="169"/>
      <c r="F570" s="170"/>
      <c r="G570" s="170"/>
      <c r="H570" s="170"/>
      <c r="I570" s="171"/>
      <c r="J570" s="171"/>
      <c r="K570" s="171"/>
    </row>
    <row r="571" spans="1:11" ht="12.75">
      <c r="A571" s="168" t="e">
        <f t="shared" si="0"/>
        <v>#REF!</v>
      </c>
      <c r="B571" s="175"/>
      <c r="C571" s="176"/>
      <c r="D571" s="175"/>
      <c r="E571" s="169"/>
      <c r="F571" s="170"/>
      <c r="G571" s="170"/>
      <c r="H571" s="170"/>
      <c r="I571" s="171"/>
      <c r="J571" s="171"/>
      <c r="K571" s="171"/>
    </row>
    <row r="572" spans="1:11" ht="12.75">
      <c r="A572" s="168" t="e">
        <f t="shared" si="0"/>
        <v>#REF!</v>
      </c>
      <c r="B572" s="175"/>
      <c r="C572" s="176"/>
      <c r="D572" s="175"/>
      <c r="E572" s="169"/>
      <c r="F572" s="170"/>
      <c r="G572" s="170"/>
      <c r="H572" s="170"/>
      <c r="I572" s="171"/>
      <c r="J572" s="171"/>
      <c r="K572" s="171"/>
    </row>
    <row r="573" spans="1:11" ht="12.75">
      <c r="A573" s="168" t="e">
        <f t="shared" si="0"/>
        <v>#REF!</v>
      </c>
      <c r="B573" s="175"/>
      <c r="C573" s="176"/>
      <c r="D573" s="175"/>
      <c r="E573" s="169"/>
      <c r="F573" s="170"/>
      <c r="G573" s="170"/>
      <c r="H573" s="170"/>
      <c r="I573" s="171"/>
      <c r="J573" s="171"/>
      <c r="K573" s="171"/>
    </row>
    <row r="574" spans="1:11" ht="12.75">
      <c r="A574" s="168" t="e">
        <f t="shared" si="0"/>
        <v>#REF!</v>
      </c>
      <c r="B574" s="175"/>
      <c r="C574" s="176"/>
      <c r="D574" s="175"/>
      <c r="E574" s="169"/>
      <c r="F574" s="170"/>
      <c r="G574" s="170"/>
      <c r="H574" s="170"/>
      <c r="I574" s="171"/>
      <c r="J574" s="171"/>
      <c r="K574" s="171"/>
    </row>
    <row r="575" spans="1:11" ht="12.75">
      <c r="A575" s="168" t="e">
        <f t="shared" si="0"/>
        <v>#REF!</v>
      </c>
      <c r="B575" s="175"/>
      <c r="C575" s="176"/>
      <c r="D575" s="175"/>
      <c r="E575" s="169"/>
      <c r="F575" s="170"/>
      <c r="G575" s="170"/>
      <c r="H575" s="170"/>
      <c r="I575" s="171"/>
      <c r="J575" s="171"/>
      <c r="K575" s="171"/>
    </row>
    <row r="576" spans="1:11" ht="12.75">
      <c r="A576" s="168" t="e">
        <f t="shared" si="0"/>
        <v>#REF!</v>
      </c>
      <c r="B576" s="175"/>
      <c r="C576" s="176"/>
      <c r="D576" s="175"/>
      <c r="E576" s="169"/>
      <c r="F576" s="170"/>
      <c r="G576" s="170"/>
      <c r="H576" s="170"/>
      <c r="I576" s="171"/>
      <c r="J576" s="171"/>
      <c r="K576" s="171"/>
    </row>
    <row r="577" spans="1:11" ht="12.75">
      <c r="A577" s="168" t="e">
        <f t="shared" si="0"/>
        <v>#REF!</v>
      </c>
      <c r="B577" s="175"/>
      <c r="C577" s="176"/>
      <c r="D577" s="175"/>
      <c r="E577" s="169"/>
      <c r="F577" s="170"/>
      <c r="G577" s="170"/>
      <c r="H577" s="170"/>
      <c r="I577" s="171"/>
      <c r="J577" s="171"/>
      <c r="K577" s="171"/>
    </row>
    <row r="578" spans="1:11" ht="12.75">
      <c r="A578" s="168" t="e">
        <f t="shared" si="0"/>
        <v>#REF!</v>
      </c>
      <c r="B578" s="175"/>
      <c r="C578" s="176"/>
      <c r="D578" s="175"/>
      <c r="E578" s="169"/>
      <c r="F578" s="170"/>
      <c r="G578" s="170"/>
      <c r="H578" s="170"/>
      <c r="I578" s="171"/>
      <c r="J578" s="171"/>
      <c r="K578" s="171"/>
    </row>
    <row r="579" spans="1:11" ht="12.75">
      <c r="A579" s="168" t="e">
        <f t="shared" si="0"/>
        <v>#REF!</v>
      </c>
      <c r="B579" s="175"/>
      <c r="C579" s="176"/>
      <c r="D579" s="175"/>
      <c r="E579" s="169"/>
      <c r="F579" s="170"/>
      <c r="G579" s="170"/>
      <c r="H579" s="170"/>
      <c r="I579" s="171"/>
      <c r="J579" s="171"/>
      <c r="K579" s="171"/>
    </row>
    <row r="580" spans="1:11" ht="12.75">
      <c r="A580" s="168" t="e">
        <f t="shared" si="0"/>
        <v>#REF!</v>
      </c>
      <c r="B580" s="175"/>
      <c r="C580" s="176"/>
      <c r="D580" s="175"/>
      <c r="E580" s="169"/>
      <c r="F580" s="170"/>
      <c r="G580" s="170"/>
      <c r="H580" s="170"/>
      <c r="I580" s="171"/>
      <c r="J580" s="171"/>
      <c r="K580" s="171"/>
    </row>
    <row r="581" spans="1:11" ht="12.75">
      <c r="A581" s="168" t="e">
        <f t="shared" si="0"/>
        <v>#REF!</v>
      </c>
      <c r="B581" s="175"/>
      <c r="C581" s="176"/>
      <c r="D581" s="175"/>
      <c r="E581" s="169"/>
      <c r="F581" s="170"/>
      <c r="G581" s="170"/>
      <c r="H581" s="170"/>
      <c r="I581" s="171"/>
      <c r="J581" s="171"/>
      <c r="K581" s="171"/>
    </row>
    <row r="582" spans="1:11" ht="12.75">
      <c r="A582" s="168" t="e">
        <f t="shared" si="0"/>
        <v>#REF!</v>
      </c>
      <c r="B582" s="175"/>
      <c r="C582" s="176"/>
      <c r="D582" s="175"/>
      <c r="E582" s="169"/>
      <c r="F582" s="170"/>
      <c r="G582" s="170"/>
      <c r="H582" s="170"/>
      <c r="I582" s="171"/>
      <c r="J582" s="171"/>
      <c r="K582" s="171"/>
    </row>
    <row r="583" spans="1:11" ht="12.75">
      <c r="A583" s="168" t="e">
        <f t="shared" si="0"/>
        <v>#REF!</v>
      </c>
      <c r="B583" s="175"/>
      <c r="C583" s="176"/>
      <c r="D583" s="175"/>
      <c r="E583" s="169"/>
      <c r="F583" s="170"/>
      <c r="G583" s="170"/>
      <c r="H583" s="170"/>
      <c r="I583" s="171"/>
      <c r="J583" s="171"/>
      <c r="K583" s="171"/>
    </row>
    <row r="584" spans="1:11" ht="12.75">
      <c r="A584" s="168" t="e">
        <f t="shared" si="0"/>
        <v>#REF!</v>
      </c>
      <c r="B584" s="175"/>
      <c r="C584" s="176"/>
      <c r="D584" s="175"/>
      <c r="E584" s="169"/>
      <c r="F584" s="170"/>
      <c r="G584" s="170"/>
      <c r="H584" s="170"/>
      <c r="I584" s="171"/>
      <c r="J584" s="171"/>
      <c r="K584" s="171"/>
    </row>
    <row r="585" spans="1:11" ht="12.75">
      <c r="A585" s="168" t="e">
        <f t="shared" si="0"/>
        <v>#REF!</v>
      </c>
      <c r="B585" s="175"/>
      <c r="C585" s="176"/>
      <c r="D585" s="175"/>
      <c r="E585" s="169"/>
      <c r="F585" s="170"/>
      <c r="G585" s="170"/>
      <c r="H585" s="170"/>
      <c r="I585" s="171"/>
      <c r="J585" s="171"/>
      <c r="K585" s="171"/>
    </row>
    <row r="586" spans="1:11" ht="12.75">
      <c r="A586" s="168" t="e">
        <f t="shared" si="0"/>
        <v>#REF!</v>
      </c>
      <c r="B586" s="175"/>
      <c r="C586" s="176"/>
      <c r="D586" s="175"/>
      <c r="E586" s="169"/>
      <c r="F586" s="170"/>
      <c r="G586" s="170"/>
      <c r="H586" s="170"/>
      <c r="I586" s="171"/>
      <c r="J586" s="171"/>
      <c r="K586" s="171"/>
    </row>
    <row r="587" spans="1:11" ht="12.75">
      <c r="A587" s="168" t="e">
        <f t="shared" si="0"/>
        <v>#REF!</v>
      </c>
      <c r="B587" s="175"/>
      <c r="C587" s="176"/>
      <c r="D587" s="175"/>
      <c r="E587" s="169"/>
      <c r="F587" s="170"/>
      <c r="G587" s="170"/>
      <c r="H587" s="170"/>
      <c r="I587" s="171"/>
      <c r="J587" s="171"/>
      <c r="K587" s="171"/>
    </row>
    <row r="588" spans="1:11" ht="12.75">
      <c r="A588" s="168" t="e">
        <f t="shared" si="0"/>
        <v>#REF!</v>
      </c>
      <c r="B588" s="175"/>
      <c r="C588" s="176"/>
      <c r="D588" s="175"/>
      <c r="E588" s="169"/>
      <c r="F588" s="170"/>
      <c r="G588" s="170"/>
      <c r="H588" s="170"/>
      <c r="I588" s="171"/>
      <c r="J588" s="171"/>
      <c r="K588" s="171"/>
    </row>
    <row r="589" spans="1:11" ht="12.75">
      <c r="A589" s="168" t="e">
        <f t="shared" si="0"/>
        <v>#REF!</v>
      </c>
      <c r="B589" s="175"/>
      <c r="C589" s="176"/>
      <c r="D589" s="175"/>
      <c r="E589" s="169"/>
      <c r="F589" s="170"/>
      <c r="G589" s="170"/>
      <c r="H589" s="170"/>
      <c r="I589" s="171"/>
      <c r="J589" s="171"/>
      <c r="K589" s="171"/>
    </row>
    <row r="590" spans="1:11" ht="12.75">
      <c r="A590" s="168" t="e">
        <f t="shared" si="0"/>
        <v>#REF!</v>
      </c>
      <c r="B590" s="175"/>
      <c r="C590" s="176"/>
      <c r="D590" s="175"/>
      <c r="E590" s="169"/>
      <c r="F590" s="170"/>
      <c r="G590" s="170"/>
      <c r="H590" s="170"/>
      <c r="I590" s="171"/>
      <c r="J590" s="171"/>
      <c r="K590" s="171"/>
    </row>
    <row r="591" spans="1:11" ht="12.75">
      <c r="A591" s="168" t="e">
        <f t="shared" si="0"/>
        <v>#REF!</v>
      </c>
      <c r="B591" s="175"/>
      <c r="C591" s="176"/>
      <c r="D591" s="175"/>
      <c r="E591" s="169"/>
      <c r="F591" s="170"/>
      <c r="G591" s="170"/>
      <c r="H591" s="170"/>
      <c r="I591" s="171"/>
      <c r="J591" s="171"/>
      <c r="K591" s="171"/>
    </row>
    <row r="592" spans="1:11" ht="12.75">
      <c r="A592" s="168" t="e">
        <f t="shared" si="0"/>
        <v>#REF!</v>
      </c>
      <c r="B592" s="175"/>
      <c r="C592" s="176"/>
      <c r="D592" s="175"/>
      <c r="E592" s="169"/>
      <c r="F592" s="170"/>
      <c r="G592" s="170"/>
      <c r="H592" s="170"/>
      <c r="I592" s="171"/>
      <c r="J592" s="171"/>
      <c r="K592" s="171"/>
    </row>
    <row r="593" spans="1:11" ht="12.75">
      <c r="A593" s="168" t="e">
        <f t="shared" si="0"/>
        <v>#REF!</v>
      </c>
      <c r="B593" s="175"/>
      <c r="C593" s="176"/>
      <c r="D593" s="175"/>
      <c r="E593" s="169"/>
      <c r="F593" s="170"/>
      <c r="G593" s="170"/>
      <c r="H593" s="170"/>
      <c r="I593" s="171"/>
      <c r="J593" s="171"/>
      <c r="K593" s="171"/>
    </row>
    <row r="594" spans="1:11" ht="12.75">
      <c r="A594" s="168" t="e">
        <f t="shared" si="0"/>
        <v>#REF!</v>
      </c>
      <c r="B594" s="175"/>
      <c r="C594" s="176"/>
      <c r="D594" s="175"/>
      <c r="E594" s="169"/>
      <c r="F594" s="170"/>
      <c r="G594" s="170"/>
      <c r="H594" s="170"/>
      <c r="I594" s="171"/>
      <c r="J594" s="171"/>
      <c r="K594" s="171"/>
    </row>
    <row r="595" spans="1:11" ht="12.75">
      <c r="A595" s="168" t="e">
        <f t="shared" si="0"/>
        <v>#REF!</v>
      </c>
      <c r="B595" s="175"/>
      <c r="C595" s="176"/>
      <c r="D595" s="175"/>
      <c r="E595" s="169"/>
      <c r="F595" s="170"/>
      <c r="G595" s="170"/>
      <c r="H595" s="170"/>
      <c r="I595" s="171"/>
      <c r="J595" s="171"/>
      <c r="K595" s="171"/>
    </row>
    <row r="596" spans="1:11" ht="12.75">
      <c r="A596" s="168" t="e">
        <f t="shared" si="0"/>
        <v>#REF!</v>
      </c>
      <c r="B596" s="175"/>
      <c r="C596" s="176"/>
      <c r="D596" s="175"/>
      <c r="E596" s="169"/>
      <c r="F596" s="170"/>
      <c r="G596" s="170"/>
      <c r="H596" s="170"/>
      <c r="I596" s="171"/>
      <c r="J596" s="171"/>
      <c r="K596" s="171"/>
    </row>
    <row r="597" spans="1:11" ht="12.75">
      <c r="A597" s="168" t="e">
        <f t="shared" si="0"/>
        <v>#REF!</v>
      </c>
      <c r="B597" s="175"/>
      <c r="C597" s="176"/>
      <c r="D597" s="175"/>
      <c r="E597" s="169"/>
      <c r="F597" s="170"/>
      <c r="G597" s="170"/>
      <c r="H597" s="170"/>
      <c r="I597" s="171"/>
      <c r="J597" s="171"/>
      <c r="K597" s="171"/>
    </row>
    <row r="598" spans="1:11" ht="12.75">
      <c r="A598" s="168" t="e">
        <f t="shared" si="0"/>
        <v>#REF!</v>
      </c>
      <c r="B598" s="175"/>
      <c r="C598" s="176"/>
      <c r="D598" s="175"/>
      <c r="E598" s="169"/>
      <c r="F598" s="170"/>
      <c r="G598" s="170"/>
      <c r="H598" s="170"/>
      <c r="I598" s="171"/>
      <c r="J598" s="171"/>
      <c r="K598" s="171"/>
    </row>
    <row r="599" spans="1:11" ht="12.75">
      <c r="A599" s="168" t="e">
        <f t="shared" si="0"/>
        <v>#REF!</v>
      </c>
      <c r="B599" s="175"/>
      <c r="C599" s="176"/>
      <c r="D599" s="175"/>
      <c r="E599" s="169"/>
      <c r="F599" s="170"/>
      <c r="G599" s="170"/>
      <c r="H599" s="170"/>
      <c r="I599" s="171"/>
      <c r="J599" s="171"/>
      <c r="K599" s="171"/>
    </row>
    <row r="600" spans="1:11" ht="12.75">
      <c r="A600" s="168" t="e">
        <f t="shared" si="0"/>
        <v>#REF!</v>
      </c>
      <c r="B600" s="175"/>
      <c r="C600" s="176"/>
      <c r="D600" s="175"/>
      <c r="E600" s="169"/>
      <c r="F600" s="170"/>
      <c r="G600" s="170"/>
      <c r="H600" s="170"/>
      <c r="I600" s="171"/>
      <c r="J600" s="171"/>
      <c r="K600" s="171"/>
    </row>
    <row r="601" spans="1:11" ht="12.75">
      <c r="A601" s="168" t="e">
        <f t="shared" si="0"/>
        <v>#REF!</v>
      </c>
      <c r="B601" s="175"/>
      <c r="C601" s="176"/>
      <c r="D601" s="175"/>
      <c r="E601" s="169"/>
      <c r="F601" s="170"/>
      <c r="G601" s="170"/>
      <c r="H601" s="170"/>
      <c r="I601" s="171"/>
      <c r="J601" s="171"/>
      <c r="K601" s="171"/>
    </row>
    <row r="602" spans="1:11" ht="12.75">
      <c r="A602" s="168" t="e">
        <f t="shared" si="0"/>
        <v>#REF!</v>
      </c>
      <c r="B602" s="175"/>
      <c r="C602" s="176"/>
      <c r="D602" s="175"/>
      <c r="E602" s="169"/>
      <c r="F602" s="170"/>
      <c r="G602" s="170"/>
      <c r="H602" s="170"/>
      <c r="I602" s="171"/>
      <c r="J602" s="171"/>
      <c r="K602" s="171"/>
    </row>
    <row r="603" spans="1:11" ht="12.75">
      <c r="A603" s="168" t="e">
        <f t="shared" si="0"/>
        <v>#REF!</v>
      </c>
      <c r="B603" s="175"/>
      <c r="C603" s="176"/>
      <c r="D603" s="175"/>
      <c r="E603" s="169"/>
      <c r="F603" s="170"/>
      <c r="G603" s="170"/>
      <c r="H603" s="170"/>
      <c r="I603" s="171"/>
      <c r="J603" s="171"/>
      <c r="K603" s="171"/>
    </row>
    <row r="604" spans="1:11" ht="12.75">
      <c r="A604" s="168" t="e">
        <f t="shared" si="0"/>
        <v>#REF!</v>
      </c>
      <c r="B604" s="175"/>
      <c r="C604" s="176"/>
      <c r="D604" s="175"/>
      <c r="E604" s="169"/>
      <c r="F604" s="170"/>
      <c r="G604" s="170"/>
      <c r="H604" s="170"/>
      <c r="I604" s="171"/>
      <c r="J604" s="171"/>
      <c r="K604" s="171"/>
    </row>
    <row r="605" spans="1:11" ht="12.75">
      <c r="A605" s="168" t="e">
        <f t="shared" si="0"/>
        <v>#REF!</v>
      </c>
      <c r="B605" s="175"/>
      <c r="C605" s="176"/>
      <c r="D605" s="175"/>
      <c r="E605" s="169"/>
      <c r="F605" s="170"/>
      <c r="G605" s="170"/>
      <c r="H605" s="170"/>
      <c r="I605" s="171"/>
      <c r="J605" s="171"/>
      <c r="K605" s="171"/>
    </row>
    <row r="606" spans="1:11" ht="12.75">
      <c r="A606" s="168" t="e">
        <f t="shared" si="0"/>
        <v>#REF!</v>
      </c>
      <c r="B606" s="175"/>
      <c r="C606" s="176"/>
      <c r="D606" s="175"/>
      <c r="E606" s="169"/>
      <c r="F606" s="170"/>
      <c r="G606" s="170"/>
      <c r="H606" s="170"/>
      <c r="I606" s="171"/>
      <c r="J606" s="171"/>
      <c r="K606" s="171"/>
    </row>
    <row r="607" spans="1:11" ht="12.75">
      <c r="A607" s="168" t="e">
        <f t="shared" si="0"/>
        <v>#REF!</v>
      </c>
      <c r="B607" s="175"/>
      <c r="C607" s="176"/>
      <c r="D607" s="175"/>
      <c r="E607" s="169"/>
      <c r="F607" s="170"/>
      <c r="G607" s="170"/>
      <c r="H607" s="170"/>
      <c r="I607" s="171"/>
      <c r="J607" s="171"/>
      <c r="K607" s="171"/>
    </row>
    <row r="608" spans="1:11" ht="12.75">
      <c r="A608" s="168" t="e">
        <f t="shared" si="0"/>
        <v>#REF!</v>
      </c>
      <c r="B608" s="175"/>
      <c r="C608" s="176"/>
      <c r="D608" s="175"/>
      <c r="E608" s="169"/>
      <c r="F608" s="170"/>
      <c r="G608" s="170"/>
      <c r="H608" s="170"/>
      <c r="I608" s="171"/>
      <c r="J608" s="171"/>
      <c r="K608" s="171"/>
    </row>
    <row r="609" spans="1:11" ht="12.75">
      <c r="A609" s="168" t="e">
        <f t="shared" si="0"/>
        <v>#REF!</v>
      </c>
      <c r="B609" s="175"/>
      <c r="C609" s="176"/>
      <c r="D609" s="175"/>
      <c r="E609" s="169"/>
      <c r="F609" s="170"/>
      <c r="G609" s="170"/>
      <c r="H609" s="170"/>
      <c r="I609" s="171"/>
      <c r="J609" s="171"/>
      <c r="K609" s="171"/>
    </row>
    <row r="610" spans="1:11" ht="12.75">
      <c r="A610" s="168" t="e">
        <f t="shared" si="0"/>
        <v>#REF!</v>
      </c>
      <c r="B610" s="175"/>
      <c r="C610" s="176"/>
      <c r="D610" s="175"/>
      <c r="E610" s="169"/>
      <c r="F610" s="170"/>
      <c r="G610" s="170"/>
      <c r="H610" s="170"/>
      <c r="I610" s="171"/>
      <c r="J610" s="171"/>
      <c r="K610" s="171"/>
    </row>
    <row r="611" spans="1:11" ht="12.75">
      <c r="A611" s="168" t="e">
        <f t="shared" si="0"/>
        <v>#REF!</v>
      </c>
      <c r="B611" s="175"/>
      <c r="C611" s="176"/>
      <c r="D611" s="175"/>
      <c r="E611" s="169"/>
      <c r="F611" s="170"/>
      <c r="G611" s="170"/>
      <c r="H611" s="170"/>
      <c r="I611" s="171"/>
      <c r="J611" s="171"/>
      <c r="K611" s="171"/>
    </row>
    <row r="612" spans="1:11" ht="12.75">
      <c r="A612" s="168" t="e">
        <f t="shared" si="0"/>
        <v>#REF!</v>
      </c>
      <c r="B612" s="175"/>
      <c r="C612" s="176"/>
      <c r="D612" s="175"/>
      <c r="E612" s="169"/>
      <c r="F612" s="170"/>
      <c r="G612" s="170"/>
      <c r="H612" s="170"/>
      <c r="I612" s="171"/>
      <c r="J612" s="171"/>
      <c r="K612" s="171"/>
    </row>
    <row r="613" spans="1:11" ht="12.75">
      <c r="A613" s="168" t="e">
        <f t="shared" si="0"/>
        <v>#REF!</v>
      </c>
      <c r="B613" s="175"/>
      <c r="C613" s="176"/>
      <c r="D613" s="175"/>
      <c r="E613" s="169"/>
      <c r="F613" s="170"/>
      <c r="G613" s="170"/>
      <c r="H613" s="170"/>
      <c r="I613" s="171"/>
      <c r="J613" s="171"/>
      <c r="K613" s="171"/>
    </row>
    <row r="614" spans="1:11" ht="12.75">
      <c r="A614" s="168" t="e">
        <f t="shared" si="0"/>
        <v>#REF!</v>
      </c>
      <c r="B614" s="175"/>
      <c r="C614" s="176"/>
      <c r="D614" s="175"/>
      <c r="E614" s="169"/>
      <c r="F614" s="170"/>
      <c r="G614" s="170"/>
      <c r="H614" s="170"/>
      <c r="I614" s="171"/>
      <c r="J614" s="171"/>
      <c r="K614" s="171"/>
    </row>
    <row r="615" spans="1:11" ht="12.75">
      <c r="A615" s="168" t="e">
        <f t="shared" si="0"/>
        <v>#REF!</v>
      </c>
      <c r="B615" s="175"/>
      <c r="C615" s="176"/>
      <c r="D615" s="175"/>
      <c r="E615" s="169"/>
      <c r="F615" s="170"/>
      <c r="G615" s="170"/>
      <c r="H615" s="170"/>
      <c r="I615" s="171"/>
      <c r="J615" s="171"/>
      <c r="K615" s="171"/>
    </row>
    <row r="616" spans="1:11" ht="12.75">
      <c r="A616" s="168" t="e">
        <f t="shared" si="0"/>
        <v>#REF!</v>
      </c>
      <c r="B616" s="175"/>
      <c r="C616" s="176"/>
      <c r="D616" s="175"/>
      <c r="E616" s="169"/>
      <c r="F616" s="170"/>
      <c r="G616" s="170"/>
      <c r="H616" s="170"/>
      <c r="I616" s="171"/>
      <c r="J616" s="171"/>
      <c r="K616" s="171"/>
    </row>
    <row r="617" spans="1:11" ht="12.75">
      <c r="A617" s="168" t="e">
        <f t="shared" si="0"/>
        <v>#REF!</v>
      </c>
      <c r="B617" s="175"/>
      <c r="C617" s="176"/>
      <c r="D617" s="175"/>
      <c r="E617" s="169"/>
      <c r="F617" s="170"/>
      <c r="G617" s="170"/>
      <c r="H617" s="170"/>
      <c r="I617" s="171"/>
      <c r="J617" s="171"/>
      <c r="K617" s="171"/>
    </row>
    <row r="618" spans="1:11" ht="12.75">
      <c r="A618" s="168" t="e">
        <f t="shared" si="0"/>
        <v>#REF!</v>
      </c>
      <c r="B618" s="175"/>
      <c r="C618" s="176"/>
      <c r="D618" s="175"/>
      <c r="E618" s="169"/>
      <c r="F618" s="170"/>
      <c r="G618" s="170"/>
      <c r="H618" s="170"/>
      <c r="I618" s="171"/>
      <c r="J618" s="171"/>
      <c r="K618" s="171"/>
    </row>
    <row r="619" spans="1:11" ht="12.75">
      <c r="A619" s="168" t="e">
        <f t="shared" si="0"/>
        <v>#REF!</v>
      </c>
      <c r="B619" s="175"/>
      <c r="C619" s="176"/>
      <c r="D619" s="175"/>
      <c r="E619" s="169"/>
      <c r="F619" s="170"/>
      <c r="G619" s="170"/>
      <c r="H619" s="170"/>
      <c r="I619" s="171"/>
      <c r="J619" s="171"/>
      <c r="K619" s="171"/>
    </row>
    <row r="620" spans="1:11" ht="12.75">
      <c r="A620" s="168" t="e">
        <f t="shared" si="0"/>
        <v>#REF!</v>
      </c>
      <c r="B620" s="175"/>
      <c r="C620" s="176"/>
      <c r="D620" s="175"/>
      <c r="E620" s="169"/>
      <c r="F620" s="170"/>
      <c r="G620" s="170"/>
      <c r="H620" s="170"/>
      <c r="I620" s="171"/>
      <c r="J620" s="171"/>
      <c r="K620" s="171"/>
    </row>
    <row r="621" spans="1:11" ht="12.75">
      <c r="A621" s="168" t="e">
        <f t="shared" si="0"/>
        <v>#REF!</v>
      </c>
      <c r="B621" s="175"/>
      <c r="C621" s="176"/>
      <c r="D621" s="175"/>
      <c r="E621" s="169"/>
      <c r="F621" s="170"/>
      <c r="G621" s="170"/>
      <c r="H621" s="170"/>
      <c r="I621" s="171"/>
      <c r="J621" s="171"/>
      <c r="K621" s="171"/>
    </row>
    <row r="622" spans="1:11" ht="12.75">
      <c r="A622" s="168" t="e">
        <f t="shared" si="0"/>
        <v>#REF!</v>
      </c>
      <c r="B622" s="175"/>
      <c r="C622" s="176"/>
      <c r="D622" s="175"/>
      <c r="E622" s="169"/>
      <c r="F622" s="170"/>
      <c r="G622" s="170"/>
      <c r="H622" s="170"/>
      <c r="I622" s="171"/>
      <c r="J622" s="171"/>
      <c r="K622" s="171"/>
    </row>
    <row r="623" spans="1:11" ht="12.75">
      <c r="A623" s="168" t="e">
        <f t="shared" si="0"/>
        <v>#REF!</v>
      </c>
      <c r="B623" s="175"/>
      <c r="C623" s="176"/>
      <c r="D623" s="175"/>
      <c r="E623" s="169"/>
      <c r="F623" s="170"/>
      <c r="G623" s="170"/>
      <c r="H623" s="170"/>
      <c r="I623" s="171"/>
      <c r="J623" s="171"/>
      <c r="K623" s="171"/>
    </row>
    <row r="624" spans="1:11" ht="12.75">
      <c r="A624" s="168" t="e">
        <f t="shared" si="0"/>
        <v>#REF!</v>
      </c>
      <c r="B624" s="175"/>
      <c r="C624" s="176"/>
      <c r="D624" s="175"/>
      <c r="E624" s="169"/>
      <c r="F624" s="170"/>
      <c r="G624" s="170"/>
      <c r="H624" s="170"/>
      <c r="I624" s="171"/>
      <c r="J624" s="171"/>
      <c r="K624" s="171"/>
    </row>
    <row r="625" spans="1:11" ht="12.75">
      <c r="A625" s="168" t="e">
        <f t="shared" si="0"/>
        <v>#REF!</v>
      </c>
      <c r="B625" s="175"/>
      <c r="C625" s="176"/>
      <c r="D625" s="175"/>
      <c r="E625" s="169"/>
      <c r="F625" s="170"/>
      <c r="G625" s="170"/>
      <c r="H625" s="170"/>
      <c r="I625" s="171"/>
      <c r="J625" s="171"/>
      <c r="K625" s="171"/>
    </row>
    <row r="626" spans="1:11" ht="12.75">
      <c r="A626" s="168" t="e">
        <f t="shared" si="0"/>
        <v>#REF!</v>
      </c>
      <c r="B626" s="175"/>
      <c r="C626" s="176"/>
      <c r="D626" s="175"/>
      <c r="E626" s="169"/>
      <c r="F626" s="170"/>
      <c r="G626" s="170"/>
      <c r="H626" s="170"/>
      <c r="I626" s="171"/>
      <c r="J626" s="171"/>
      <c r="K626" s="171"/>
    </row>
    <row r="627" spans="1:11" ht="12.75">
      <c r="A627" s="168" t="e">
        <f t="shared" si="0"/>
        <v>#REF!</v>
      </c>
      <c r="B627" s="175"/>
      <c r="C627" s="176"/>
      <c r="D627" s="175"/>
      <c r="E627" s="169"/>
      <c r="F627" s="170"/>
      <c r="G627" s="170"/>
      <c r="H627" s="170"/>
      <c r="I627" s="171"/>
      <c r="J627" s="171"/>
      <c r="K627" s="171"/>
    </row>
    <row r="628" spans="1:11" ht="12.75">
      <c r="A628" s="168" t="e">
        <f t="shared" si="0"/>
        <v>#REF!</v>
      </c>
      <c r="B628" s="175"/>
      <c r="C628" s="176"/>
      <c r="D628" s="175"/>
      <c r="E628" s="169"/>
      <c r="F628" s="170"/>
      <c r="G628" s="170"/>
      <c r="H628" s="170"/>
      <c r="I628" s="171"/>
      <c r="J628" s="171"/>
      <c r="K628" s="171"/>
    </row>
    <row r="629" spans="1:11" ht="12.75">
      <c r="A629" s="168" t="e">
        <f t="shared" si="0"/>
        <v>#REF!</v>
      </c>
      <c r="B629" s="175"/>
      <c r="C629" s="176"/>
      <c r="D629" s="175"/>
      <c r="E629" s="169"/>
      <c r="F629" s="170"/>
      <c r="G629" s="170"/>
      <c r="H629" s="170"/>
      <c r="I629" s="171"/>
      <c r="J629" s="171"/>
      <c r="K629" s="171"/>
    </row>
    <row r="630" spans="1:11" ht="12.75">
      <c r="A630" s="168" t="e">
        <f t="shared" si="0"/>
        <v>#REF!</v>
      </c>
      <c r="B630" s="175"/>
      <c r="C630" s="176"/>
      <c r="D630" s="175"/>
      <c r="E630" s="169"/>
      <c r="F630" s="170"/>
      <c r="G630" s="170"/>
      <c r="H630" s="170"/>
      <c r="I630" s="171"/>
      <c r="J630" s="171"/>
      <c r="K630" s="171"/>
    </row>
    <row r="631" spans="1:11" ht="12.75">
      <c r="A631" s="168" t="e">
        <f t="shared" si="0"/>
        <v>#REF!</v>
      </c>
      <c r="B631" s="175"/>
      <c r="C631" s="176"/>
      <c r="D631" s="175"/>
      <c r="E631" s="169"/>
      <c r="F631" s="170"/>
      <c r="G631" s="170"/>
      <c r="H631" s="170"/>
      <c r="I631" s="171"/>
      <c r="J631" s="171"/>
      <c r="K631" s="171"/>
    </row>
    <row r="632" spans="1:11" ht="12.75">
      <c r="A632" s="168" t="e">
        <f t="shared" si="0"/>
        <v>#REF!</v>
      </c>
      <c r="B632" s="175"/>
      <c r="C632" s="176"/>
      <c r="D632" s="175"/>
      <c r="E632" s="169"/>
      <c r="F632" s="170"/>
      <c r="G632" s="170"/>
      <c r="H632" s="170"/>
      <c r="I632" s="171"/>
      <c r="J632" s="171"/>
      <c r="K632" s="171"/>
    </row>
    <row r="633" spans="1:11" ht="12.75">
      <c r="A633" s="168" t="e">
        <f t="shared" si="0"/>
        <v>#REF!</v>
      </c>
      <c r="B633" s="175"/>
      <c r="C633" s="176"/>
      <c r="D633" s="175"/>
      <c r="E633" s="169"/>
      <c r="F633" s="170"/>
      <c r="G633" s="170"/>
      <c r="H633" s="170"/>
      <c r="I633" s="171"/>
      <c r="J633" s="171"/>
      <c r="K633" s="171"/>
    </row>
    <row r="634" spans="1:11" ht="12.75">
      <c r="A634" s="168" t="e">
        <f t="shared" si="0"/>
        <v>#REF!</v>
      </c>
      <c r="B634" s="175"/>
      <c r="C634" s="176"/>
      <c r="D634" s="175"/>
      <c r="E634" s="169"/>
      <c r="F634" s="170"/>
      <c r="G634" s="170"/>
      <c r="H634" s="170"/>
      <c r="I634" s="171"/>
      <c r="J634" s="171"/>
      <c r="K634" s="171"/>
    </row>
    <row r="635" spans="1:11" ht="12.75">
      <c r="A635" s="168" t="e">
        <f t="shared" si="0"/>
        <v>#REF!</v>
      </c>
      <c r="B635" s="175"/>
      <c r="C635" s="176"/>
      <c r="D635" s="175"/>
      <c r="E635" s="169"/>
      <c r="F635" s="170"/>
      <c r="G635" s="170"/>
      <c r="H635" s="170"/>
      <c r="I635" s="171"/>
      <c r="J635" s="171"/>
      <c r="K635" s="171"/>
    </row>
    <row r="636" spans="1:11" ht="12.75">
      <c r="A636" s="168" t="e">
        <f t="shared" si="0"/>
        <v>#REF!</v>
      </c>
      <c r="B636" s="175"/>
      <c r="C636" s="176"/>
      <c r="D636" s="175"/>
      <c r="E636" s="169"/>
      <c r="F636" s="170"/>
      <c r="G636" s="170"/>
      <c r="H636" s="170"/>
      <c r="I636" s="171"/>
      <c r="J636" s="171"/>
      <c r="K636" s="171"/>
    </row>
    <row r="637" spans="1:11" ht="12.75">
      <c r="A637" s="168" t="e">
        <f t="shared" si="0"/>
        <v>#REF!</v>
      </c>
      <c r="B637" s="175"/>
      <c r="C637" s="176"/>
      <c r="D637" s="175"/>
      <c r="E637" s="169"/>
      <c r="F637" s="170"/>
      <c r="G637" s="170"/>
      <c r="H637" s="170"/>
      <c r="I637" s="171"/>
      <c r="J637" s="171"/>
      <c r="K637" s="171"/>
    </row>
    <row r="638" spans="1:11" ht="12.75">
      <c r="A638" s="168" t="e">
        <f t="shared" si="0"/>
        <v>#REF!</v>
      </c>
      <c r="B638" s="175"/>
      <c r="C638" s="176"/>
      <c r="D638" s="175"/>
      <c r="E638" s="169"/>
      <c r="F638" s="170"/>
      <c r="G638" s="170"/>
      <c r="H638" s="170"/>
      <c r="I638" s="171"/>
      <c r="J638" s="171"/>
      <c r="K638" s="171"/>
    </row>
    <row r="639" spans="1:11" ht="12.75">
      <c r="A639" s="168" t="e">
        <f t="shared" si="0"/>
        <v>#REF!</v>
      </c>
      <c r="B639" s="175"/>
      <c r="C639" s="176"/>
      <c r="D639" s="175"/>
      <c r="E639" s="169"/>
      <c r="F639" s="170"/>
      <c r="G639" s="170"/>
      <c r="H639" s="170"/>
      <c r="I639" s="171"/>
      <c r="J639" s="171"/>
      <c r="K639" s="171"/>
    </row>
    <row r="640" spans="1:11" ht="12.75">
      <c r="A640" s="168" t="e">
        <f t="shared" si="0"/>
        <v>#REF!</v>
      </c>
      <c r="B640" s="175"/>
      <c r="C640" s="176"/>
      <c r="D640" s="175"/>
      <c r="E640" s="169"/>
      <c r="F640" s="170"/>
      <c r="G640" s="170"/>
      <c r="H640" s="170"/>
      <c r="I640" s="171"/>
      <c r="J640" s="171"/>
      <c r="K640" s="171"/>
    </row>
    <row r="641" spans="1:11" ht="12.75">
      <c r="A641" s="168" t="e">
        <f t="shared" si="0"/>
        <v>#REF!</v>
      </c>
      <c r="B641" s="175"/>
      <c r="C641" s="176"/>
      <c r="D641" s="175"/>
      <c r="E641" s="169"/>
      <c r="F641" s="170"/>
      <c r="G641" s="170"/>
      <c r="H641" s="170"/>
      <c r="I641" s="171"/>
      <c r="J641" s="171"/>
      <c r="K641" s="171"/>
    </row>
    <row r="642" spans="1:11" ht="12.75">
      <c r="A642" s="168" t="e">
        <f t="shared" si="0"/>
        <v>#REF!</v>
      </c>
      <c r="B642" s="175"/>
      <c r="C642" s="176"/>
      <c r="D642" s="175"/>
      <c r="E642" s="169"/>
      <c r="F642" s="170"/>
      <c r="G642" s="170"/>
      <c r="H642" s="170"/>
      <c r="I642" s="171"/>
      <c r="J642" s="171"/>
      <c r="K642" s="171"/>
    </row>
    <row r="643" spans="1:11" ht="12.75">
      <c r="A643" s="168" t="e">
        <f t="shared" si="0"/>
        <v>#REF!</v>
      </c>
      <c r="B643" s="175"/>
      <c r="C643" s="176"/>
      <c r="D643" s="175"/>
      <c r="E643" s="169"/>
      <c r="F643" s="170"/>
      <c r="G643" s="170"/>
      <c r="H643" s="170"/>
      <c r="I643" s="171"/>
      <c r="J643" s="171"/>
      <c r="K643" s="171"/>
    </row>
    <row r="644" spans="1:11" ht="12.75">
      <c r="A644" s="168" t="e">
        <f t="shared" si="0"/>
        <v>#REF!</v>
      </c>
      <c r="B644" s="175"/>
      <c r="C644" s="176"/>
      <c r="D644" s="175"/>
      <c r="E644" s="169"/>
      <c r="F644" s="170"/>
      <c r="G644" s="170"/>
      <c r="H644" s="170"/>
      <c r="I644" s="171"/>
      <c r="J644" s="171"/>
      <c r="K644" s="171"/>
    </row>
    <row r="645" spans="1:11" ht="12.75">
      <c r="A645" s="168" t="e">
        <f t="shared" si="0"/>
        <v>#REF!</v>
      </c>
      <c r="B645" s="175"/>
      <c r="C645" s="176"/>
      <c r="D645" s="175"/>
      <c r="E645" s="169"/>
      <c r="F645" s="170"/>
      <c r="G645" s="170"/>
      <c r="H645" s="170"/>
      <c r="I645" s="171"/>
      <c r="J645" s="171"/>
      <c r="K645" s="171"/>
    </row>
    <row r="646" spans="1:11" ht="12.75">
      <c r="A646" s="168" t="e">
        <f t="shared" si="0"/>
        <v>#REF!</v>
      </c>
      <c r="B646" s="175"/>
      <c r="C646" s="176"/>
      <c r="D646" s="175"/>
      <c r="E646" s="169"/>
      <c r="F646" s="170"/>
      <c r="G646" s="170"/>
      <c r="H646" s="170"/>
      <c r="I646" s="171"/>
      <c r="J646" s="171"/>
      <c r="K646" s="171"/>
    </row>
    <row r="647" spans="1:11" ht="12.75">
      <c r="A647" s="168" t="e">
        <f t="shared" si="0"/>
        <v>#REF!</v>
      </c>
      <c r="B647" s="175"/>
      <c r="C647" s="176"/>
      <c r="D647" s="175"/>
      <c r="E647" s="169"/>
      <c r="F647" s="170"/>
      <c r="G647" s="170"/>
      <c r="H647" s="170"/>
      <c r="I647" s="171"/>
      <c r="J647" s="171"/>
      <c r="K647" s="171"/>
    </row>
    <row r="648" spans="1:11" ht="12.75">
      <c r="A648" s="168" t="e">
        <f t="shared" si="0"/>
        <v>#REF!</v>
      </c>
      <c r="B648" s="175"/>
      <c r="C648" s="176"/>
      <c r="D648" s="175"/>
      <c r="E648" s="169"/>
      <c r="F648" s="170"/>
      <c r="G648" s="170"/>
      <c r="H648" s="170"/>
      <c r="I648" s="171"/>
      <c r="J648" s="171"/>
      <c r="K648" s="171"/>
    </row>
    <row r="649" spans="1:11" ht="12.75">
      <c r="A649" s="168" t="e">
        <f t="shared" si="0"/>
        <v>#REF!</v>
      </c>
      <c r="B649" s="175"/>
      <c r="C649" s="176"/>
      <c r="D649" s="175"/>
      <c r="E649" s="169"/>
      <c r="F649" s="170"/>
      <c r="G649" s="170"/>
      <c r="H649" s="170"/>
      <c r="I649" s="171"/>
      <c r="J649" s="171"/>
      <c r="K649" s="171"/>
    </row>
    <row r="650" spans="1:11" ht="12.75">
      <c r="A650" s="168" t="e">
        <f t="shared" si="0"/>
        <v>#REF!</v>
      </c>
      <c r="B650" s="175"/>
      <c r="C650" s="176"/>
      <c r="D650" s="175"/>
      <c r="E650" s="169"/>
      <c r="F650" s="170"/>
      <c r="G650" s="170"/>
      <c r="H650" s="170"/>
      <c r="I650" s="171"/>
      <c r="J650" s="171"/>
      <c r="K650" s="171"/>
    </row>
    <row r="651" spans="1:11" ht="12.75">
      <c r="A651" s="168" t="e">
        <f t="shared" si="0"/>
        <v>#REF!</v>
      </c>
      <c r="B651" s="175"/>
      <c r="C651" s="176"/>
      <c r="D651" s="175"/>
      <c r="E651" s="169"/>
      <c r="F651" s="170"/>
      <c r="G651" s="170"/>
      <c r="H651" s="170"/>
      <c r="I651" s="171"/>
      <c r="J651" s="171"/>
      <c r="K651" s="171"/>
    </row>
    <row r="652" spans="1:11" ht="12.75">
      <c r="A652" s="168" t="e">
        <f t="shared" si="0"/>
        <v>#REF!</v>
      </c>
      <c r="B652" s="175"/>
      <c r="C652" s="176"/>
      <c r="D652" s="175"/>
      <c r="E652" s="169"/>
      <c r="F652" s="170"/>
      <c r="G652" s="170"/>
      <c r="H652" s="170"/>
      <c r="I652" s="171"/>
      <c r="J652" s="171"/>
      <c r="K652" s="171"/>
    </row>
    <row r="653" spans="1:11" ht="12.75">
      <c r="A653" s="168" t="e">
        <f t="shared" si="0"/>
        <v>#REF!</v>
      </c>
      <c r="B653" s="175"/>
      <c r="C653" s="176"/>
      <c r="D653" s="175"/>
      <c r="E653" s="169"/>
      <c r="F653" s="170"/>
      <c r="G653" s="170"/>
      <c r="H653" s="170"/>
      <c r="I653" s="171"/>
      <c r="J653" s="171"/>
      <c r="K653" s="171"/>
    </row>
    <row r="654" spans="1:11" ht="12.75">
      <c r="A654" s="168" t="e">
        <f t="shared" si="0"/>
        <v>#REF!</v>
      </c>
      <c r="B654" s="175"/>
      <c r="C654" s="176"/>
      <c r="D654" s="175"/>
      <c r="E654" s="169"/>
      <c r="F654" s="170"/>
      <c r="G654" s="170"/>
      <c r="H654" s="170"/>
      <c r="I654" s="171"/>
      <c r="J654" s="171"/>
      <c r="K654" s="171"/>
    </row>
    <row r="655" spans="1:11" ht="12.75">
      <c r="A655" s="168" t="e">
        <f t="shared" si="0"/>
        <v>#REF!</v>
      </c>
      <c r="B655" s="175"/>
      <c r="C655" s="176"/>
      <c r="D655" s="175"/>
      <c r="E655" s="169"/>
      <c r="F655" s="170"/>
      <c r="G655" s="170"/>
      <c r="H655" s="170"/>
      <c r="I655" s="171"/>
      <c r="J655" s="171"/>
      <c r="K655" s="171"/>
    </row>
    <row r="656" spans="1:11" ht="12.75">
      <c r="A656" s="168" t="e">
        <f t="shared" si="0"/>
        <v>#REF!</v>
      </c>
      <c r="B656" s="175"/>
      <c r="C656" s="176"/>
      <c r="D656" s="175"/>
      <c r="E656" s="169"/>
      <c r="F656" s="170"/>
      <c r="G656" s="170"/>
      <c r="H656" s="170"/>
      <c r="I656" s="171"/>
      <c r="J656" s="171"/>
      <c r="K656" s="171"/>
    </row>
    <row r="657" spans="1:11" ht="12.75">
      <c r="A657" s="168" t="e">
        <f t="shared" si="0"/>
        <v>#REF!</v>
      </c>
      <c r="B657" s="175"/>
      <c r="C657" s="176"/>
      <c r="D657" s="175"/>
      <c r="E657" s="169"/>
      <c r="F657" s="170"/>
      <c r="G657" s="170"/>
      <c r="H657" s="170"/>
      <c r="I657" s="171"/>
      <c r="J657" s="171"/>
      <c r="K657" s="171"/>
    </row>
    <row r="658" spans="1:11" ht="12.75">
      <c r="A658" s="168" t="e">
        <f t="shared" si="0"/>
        <v>#REF!</v>
      </c>
      <c r="B658" s="175"/>
      <c r="C658" s="176"/>
      <c r="D658" s="175"/>
      <c r="E658" s="169"/>
      <c r="F658" s="170"/>
      <c r="G658" s="170"/>
      <c r="H658" s="170"/>
      <c r="I658" s="171"/>
      <c r="J658" s="171"/>
      <c r="K658" s="171"/>
    </row>
    <row r="659" spans="1:11" ht="12.75">
      <c r="A659" s="168" t="e">
        <f t="shared" si="0"/>
        <v>#REF!</v>
      </c>
      <c r="B659" s="175"/>
      <c r="C659" s="176"/>
      <c r="D659" s="175"/>
      <c r="E659" s="169"/>
      <c r="F659" s="170"/>
      <c r="G659" s="170"/>
      <c r="H659" s="170"/>
      <c r="I659" s="171"/>
      <c r="J659" s="171"/>
      <c r="K659" s="171"/>
    </row>
    <row r="660" spans="1:11" ht="12.75">
      <c r="A660" s="168" t="e">
        <f t="shared" si="0"/>
        <v>#REF!</v>
      </c>
      <c r="B660" s="175"/>
      <c r="C660" s="176"/>
      <c r="D660" s="175"/>
      <c r="E660" s="169"/>
      <c r="F660" s="170"/>
      <c r="G660" s="170"/>
      <c r="H660" s="170"/>
      <c r="I660" s="171"/>
      <c r="J660" s="171"/>
      <c r="K660" s="171"/>
    </row>
    <row r="661" spans="1:11" ht="12.75">
      <c r="A661" s="168" t="e">
        <f t="shared" si="0"/>
        <v>#REF!</v>
      </c>
      <c r="B661" s="175"/>
      <c r="C661" s="176"/>
      <c r="D661" s="175"/>
      <c r="E661" s="169"/>
      <c r="F661" s="170"/>
      <c r="G661" s="170"/>
      <c r="H661" s="170"/>
      <c r="I661" s="171"/>
      <c r="J661" s="171"/>
      <c r="K661" s="171"/>
    </row>
    <row r="662" spans="1:11" ht="12.75">
      <c r="A662" s="168" t="e">
        <f t="shared" si="0"/>
        <v>#REF!</v>
      </c>
      <c r="B662" s="175"/>
      <c r="C662" s="176"/>
      <c r="D662" s="175"/>
      <c r="E662" s="169"/>
      <c r="F662" s="170"/>
      <c r="G662" s="170"/>
      <c r="H662" s="170"/>
      <c r="I662" s="171"/>
      <c r="J662" s="171"/>
      <c r="K662" s="171"/>
    </row>
    <row r="663" spans="1:11" ht="12.75">
      <c r="A663" s="168" t="e">
        <f t="shared" si="0"/>
        <v>#REF!</v>
      </c>
      <c r="B663" s="175"/>
      <c r="C663" s="176"/>
      <c r="D663" s="175"/>
      <c r="E663" s="169"/>
      <c r="F663" s="170"/>
      <c r="G663" s="170"/>
      <c r="H663" s="170"/>
      <c r="I663" s="171"/>
      <c r="J663" s="171"/>
      <c r="K663" s="171"/>
    </row>
    <row r="664" spans="1:11" ht="12.75">
      <c r="A664" s="168" t="e">
        <f t="shared" si="0"/>
        <v>#REF!</v>
      </c>
      <c r="B664" s="175"/>
      <c r="C664" s="176"/>
      <c r="D664" s="175"/>
      <c r="E664" s="169"/>
      <c r="F664" s="170"/>
      <c r="G664" s="170"/>
      <c r="H664" s="170"/>
      <c r="I664" s="171"/>
      <c r="J664" s="171"/>
      <c r="K664" s="171"/>
    </row>
    <row r="665" spans="1:11" ht="12.75">
      <c r="A665" s="168" t="e">
        <f t="shared" si="0"/>
        <v>#REF!</v>
      </c>
      <c r="B665" s="175"/>
      <c r="C665" s="176"/>
      <c r="D665" s="175"/>
      <c r="E665" s="169"/>
      <c r="F665" s="170"/>
      <c r="G665" s="170"/>
      <c r="H665" s="170"/>
      <c r="I665" s="171"/>
      <c r="J665" s="171"/>
      <c r="K665" s="171"/>
    </row>
    <row r="666" spans="1:11" ht="12.75">
      <c r="A666" s="168" t="e">
        <f t="shared" si="0"/>
        <v>#REF!</v>
      </c>
      <c r="B666" s="175"/>
      <c r="C666" s="176"/>
      <c r="D666" s="175"/>
      <c r="E666" s="169"/>
      <c r="F666" s="170"/>
      <c r="G666" s="170"/>
      <c r="H666" s="170"/>
      <c r="I666" s="171"/>
      <c r="J666" s="171"/>
      <c r="K666" s="171"/>
    </row>
    <row r="667" spans="1:11" ht="12.75">
      <c r="A667" s="168" t="e">
        <f t="shared" si="0"/>
        <v>#REF!</v>
      </c>
      <c r="B667" s="175"/>
      <c r="C667" s="176"/>
      <c r="D667" s="175"/>
      <c r="E667" s="169"/>
      <c r="F667" s="170"/>
      <c r="G667" s="170"/>
      <c r="H667" s="170"/>
      <c r="I667" s="171"/>
      <c r="J667" s="171"/>
      <c r="K667" s="171"/>
    </row>
    <row r="668" spans="1:11" ht="12.75">
      <c r="A668" s="168" t="e">
        <f t="shared" si="0"/>
        <v>#REF!</v>
      </c>
      <c r="B668" s="175"/>
      <c r="C668" s="176"/>
      <c r="D668" s="175"/>
      <c r="E668" s="169"/>
      <c r="F668" s="170"/>
      <c r="G668" s="170"/>
      <c r="H668" s="170"/>
      <c r="I668" s="171"/>
      <c r="J668" s="171"/>
      <c r="K668" s="171"/>
    </row>
    <row r="669" spans="1:11" ht="12.75">
      <c r="A669" s="168" t="e">
        <f t="shared" si="0"/>
        <v>#REF!</v>
      </c>
      <c r="B669" s="175"/>
      <c r="C669" s="176"/>
      <c r="D669" s="175"/>
      <c r="E669" s="169"/>
      <c r="F669" s="170"/>
      <c r="G669" s="170"/>
      <c r="H669" s="170"/>
      <c r="I669" s="171"/>
      <c r="J669" s="171"/>
      <c r="K669" s="171"/>
    </row>
    <row r="670" spans="1:11" ht="12.75">
      <c r="A670" s="168" t="e">
        <f t="shared" si="0"/>
        <v>#REF!</v>
      </c>
      <c r="B670" s="175"/>
      <c r="C670" s="176"/>
      <c r="D670" s="175"/>
      <c r="E670" s="169"/>
      <c r="F670" s="170"/>
      <c r="G670" s="170"/>
      <c r="H670" s="170"/>
      <c r="I670" s="171"/>
      <c r="J670" s="171"/>
      <c r="K670" s="171"/>
    </row>
    <row r="671" spans="1:11" ht="12.75">
      <c r="A671" s="168" t="e">
        <f t="shared" si="0"/>
        <v>#REF!</v>
      </c>
      <c r="B671" s="175"/>
      <c r="C671" s="176"/>
      <c r="D671" s="175"/>
      <c r="E671" s="169"/>
      <c r="F671" s="170"/>
      <c r="G671" s="170"/>
      <c r="H671" s="170"/>
      <c r="I671" s="171"/>
      <c r="J671" s="171"/>
      <c r="K671" s="171"/>
    </row>
    <row r="672" spans="1:11" ht="12.75">
      <c r="A672" s="168" t="e">
        <f t="shared" si="0"/>
        <v>#REF!</v>
      </c>
      <c r="B672" s="175"/>
      <c r="C672" s="176"/>
      <c r="D672" s="175"/>
      <c r="E672" s="169"/>
      <c r="F672" s="170"/>
      <c r="G672" s="170"/>
      <c r="H672" s="170"/>
      <c r="I672" s="171"/>
      <c r="J672" s="171"/>
      <c r="K672" s="171"/>
    </row>
    <row r="673" spans="1:11" ht="12.75">
      <c r="A673" s="168" t="e">
        <f t="shared" si="0"/>
        <v>#REF!</v>
      </c>
      <c r="B673" s="175"/>
      <c r="C673" s="176"/>
      <c r="D673" s="175"/>
      <c r="E673" s="169"/>
      <c r="F673" s="170"/>
      <c r="G673" s="170"/>
      <c r="H673" s="170"/>
      <c r="I673" s="171"/>
      <c r="J673" s="171"/>
      <c r="K673" s="171"/>
    </row>
    <row r="674" spans="1:11" ht="12.75">
      <c r="A674" s="168" t="e">
        <f t="shared" si="0"/>
        <v>#REF!</v>
      </c>
      <c r="B674" s="175"/>
      <c r="C674" s="176"/>
      <c r="D674" s="175"/>
      <c r="E674" s="169"/>
      <c r="F674" s="170"/>
      <c r="G674" s="170"/>
      <c r="H674" s="170"/>
      <c r="I674" s="171"/>
      <c r="J674" s="171"/>
      <c r="K674" s="171"/>
    </row>
    <row r="675" spans="1:11" ht="12.75">
      <c r="A675" s="168" t="e">
        <f t="shared" si="0"/>
        <v>#REF!</v>
      </c>
      <c r="B675" s="175"/>
      <c r="C675" s="176"/>
      <c r="D675" s="175"/>
      <c r="E675" s="169"/>
      <c r="F675" s="170"/>
      <c r="G675" s="170"/>
      <c r="H675" s="170"/>
      <c r="I675" s="171"/>
      <c r="J675" s="171"/>
      <c r="K675" s="171"/>
    </row>
    <row r="676" spans="1:11" ht="12.75">
      <c r="A676" s="168" t="e">
        <f t="shared" si="0"/>
        <v>#REF!</v>
      </c>
      <c r="B676" s="175"/>
      <c r="C676" s="176"/>
      <c r="D676" s="175"/>
      <c r="E676" s="169"/>
      <c r="F676" s="170"/>
      <c r="G676" s="170"/>
      <c r="H676" s="170"/>
      <c r="I676" s="171"/>
      <c r="J676" s="171"/>
      <c r="K676" s="171"/>
    </row>
    <row r="677" spans="1:11" ht="12.75">
      <c r="A677" s="168" t="e">
        <f t="shared" si="0"/>
        <v>#REF!</v>
      </c>
      <c r="B677" s="175"/>
      <c r="C677" s="176"/>
      <c r="D677" s="175"/>
      <c r="E677" s="169"/>
      <c r="F677" s="170"/>
      <c r="G677" s="170"/>
      <c r="H677" s="170"/>
      <c r="I677" s="171"/>
      <c r="J677" s="171"/>
      <c r="K677" s="171"/>
    </row>
    <row r="678" spans="1:11" ht="12.75">
      <c r="A678" s="168" t="e">
        <f t="shared" si="0"/>
        <v>#REF!</v>
      </c>
      <c r="B678" s="175"/>
      <c r="C678" s="176"/>
      <c r="D678" s="175"/>
      <c r="E678" s="169"/>
      <c r="F678" s="170"/>
      <c r="G678" s="170"/>
      <c r="H678" s="170"/>
      <c r="I678" s="171"/>
      <c r="J678" s="171"/>
      <c r="K678" s="171"/>
    </row>
    <row r="679" spans="1:11" ht="12.75">
      <c r="A679" s="168" t="e">
        <f t="shared" si="0"/>
        <v>#REF!</v>
      </c>
      <c r="B679" s="175"/>
      <c r="C679" s="176"/>
      <c r="D679" s="175"/>
      <c r="E679" s="169"/>
      <c r="F679" s="170"/>
      <c r="G679" s="170"/>
      <c r="H679" s="170"/>
      <c r="I679" s="171"/>
      <c r="J679" s="171"/>
      <c r="K679" s="171"/>
    </row>
    <row r="680" spans="1:11" ht="12.75">
      <c r="A680" s="168" t="e">
        <f t="shared" si="0"/>
        <v>#REF!</v>
      </c>
      <c r="B680" s="175"/>
      <c r="C680" s="176"/>
      <c r="D680" s="175"/>
      <c r="E680" s="169"/>
      <c r="F680" s="170"/>
      <c r="G680" s="170"/>
      <c r="H680" s="170"/>
      <c r="I680" s="171"/>
      <c r="J680" s="171"/>
      <c r="K680" s="171"/>
    </row>
    <row r="681" spans="1:11" ht="12.75">
      <c r="A681" s="168" t="e">
        <f t="shared" si="0"/>
        <v>#REF!</v>
      </c>
      <c r="B681" s="175"/>
      <c r="C681" s="176"/>
      <c r="D681" s="175"/>
      <c r="E681" s="169"/>
      <c r="F681" s="170"/>
      <c r="G681" s="170"/>
      <c r="H681" s="170"/>
      <c r="I681" s="171"/>
      <c r="J681" s="171"/>
      <c r="K681" s="171"/>
    </row>
    <row r="682" spans="1:11" ht="12.75">
      <c r="A682" s="168" t="e">
        <f t="shared" si="0"/>
        <v>#REF!</v>
      </c>
      <c r="B682" s="175"/>
      <c r="C682" s="176"/>
      <c r="D682" s="175"/>
      <c r="E682" s="169"/>
      <c r="F682" s="170"/>
      <c r="G682" s="170"/>
      <c r="H682" s="170"/>
      <c r="I682" s="171"/>
      <c r="J682" s="171"/>
      <c r="K682" s="171"/>
    </row>
    <row r="683" spans="1:11" ht="12.75">
      <c r="A683" s="168" t="e">
        <f t="shared" si="0"/>
        <v>#REF!</v>
      </c>
      <c r="B683" s="175"/>
      <c r="C683" s="176"/>
      <c r="D683" s="175"/>
      <c r="E683" s="169"/>
      <c r="F683" s="170"/>
      <c r="G683" s="170"/>
      <c r="H683" s="170"/>
      <c r="I683" s="171"/>
      <c r="J683" s="171"/>
      <c r="K683" s="171"/>
    </row>
    <row r="684" spans="1:11" ht="12.75">
      <c r="A684" s="168" t="e">
        <f t="shared" si="0"/>
        <v>#REF!</v>
      </c>
      <c r="B684" s="175"/>
      <c r="C684" s="176"/>
      <c r="D684" s="175"/>
      <c r="E684" s="169"/>
      <c r="F684" s="170"/>
      <c r="G684" s="170"/>
      <c r="H684" s="170"/>
      <c r="I684" s="171"/>
      <c r="J684" s="171"/>
      <c r="K684" s="171"/>
    </row>
    <row r="685" spans="1:11" ht="12.75">
      <c r="A685" s="168" t="e">
        <f t="shared" si="0"/>
        <v>#REF!</v>
      </c>
      <c r="B685" s="175"/>
      <c r="C685" s="176"/>
      <c r="D685" s="175"/>
      <c r="E685" s="169"/>
      <c r="F685" s="170"/>
      <c r="G685" s="170"/>
      <c r="H685" s="170"/>
      <c r="I685" s="171"/>
      <c r="J685" s="171"/>
      <c r="K685" s="171"/>
    </row>
    <row r="686" spans="1:11" ht="12.75">
      <c r="A686" s="168" t="e">
        <f t="shared" si="0"/>
        <v>#REF!</v>
      </c>
      <c r="B686" s="175"/>
      <c r="C686" s="176"/>
      <c r="D686" s="175"/>
      <c r="E686" s="169"/>
      <c r="F686" s="170"/>
      <c r="G686" s="170"/>
      <c r="H686" s="170"/>
      <c r="I686" s="171"/>
      <c r="J686" s="171"/>
      <c r="K686" s="171"/>
    </row>
    <row r="687" spans="1:11" ht="12.75">
      <c r="A687" s="168" t="e">
        <f t="shared" si="0"/>
        <v>#REF!</v>
      </c>
      <c r="B687" s="175"/>
      <c r="C687" s="176"/>
      <c r="D687" s="175"/>
      <c r="E687" s="169"/>
      <c r="F687" s="170"/>
      <c r="G687" s="170"/>
      <c r="H687" s="170"/>
      <c r="I687" s="171"/>
      <c r="J687" s="171"/>
      <c r="K687" s="171"/>
    </row>
    <row r="688" spans="1:11" ht="12.75">
      <c r="A688" s="168" t="e">
        <f t="shared" si="0"/>
        <v>#REF!</v>
      </c>
      <c r="B688" s="175"/>
      <c r="C688" s="176"/>
      <c r="D688" s="175"/>
      <c r="E688" s="169"/>
      <c r="F688" s="170"/>
      <c r="G688" s="170"/>
      <c r="H688" s="170"/>
      <c r="I688" s="171"/>
      <c r="J688" s="171"/>
      <c r="K688" s="171"/>
    </row>
    <row r="689" spans="1:11" ht="12.75">
      <c r="A689" s="168" t="e">
        <f t="shared" si="0"/>
        <v>#REF!</v>
      </c>
      <c r="B689" s="175"/>
      <c r="C689" s="176"/>
      <c r="D689" s="175"/>
      <c r="E689" s="169"/>
      <c r="F689" s="170"/>
      <c r="G689" s="170"/>
      <c r="H689" s="170"/>
      <c r="I689" s="171"/>
      <c r="J689" s="171"/>
      <c r="K689" s="171"/>
    </row>
    <row r="690" spans="1:11" ht="12.75">
      <c r="A690" s="168" t="e">
        <f t="shared" si="0"/>
        <v>#REF!</v>
      </c>
      <c r="B690" s="175"/>
      <c r="C690" s="176"/>
      <c r="D690" s="175"/>
      <c r="E690" s="169"/>
      <c r="F690" s="170"/>
      <c r="G690" s="170"/>
      <c r="H690" s="170"/>
      <c r="I690" s="171"/>
      <c r="J690" s="171"/>
      <c r="K690" s="171"/>
    </row>
    <row r="691" spans="1:11" ht="12.75">
      <c r="A691" s="168" t="e">
        <f t="shared" si="0"/>
        <v>#REF!</v>
      </c>
      <c r="B691" s="175"/>
      <c r="C691" s="176"/>
      <c r="D691" s="175"/>
      <c r="E691" s="169"/>
      <c r="F691" s="170"/>
      <c r="G691" s="170"/>
      <c r="H691" s="170"/>
      <c r="I691" s="171"/>
      <c r="J691" s="171"/>
      <c r="K691" s="171"/>
    </row>
    <row r="692" spans="1:11" ht="12.75">
      <c r="A692" s="168" t="e">
        <f t="shared" si="0"/>
        <v>#REF!</v>
      </c>
      <c r="B692" s="175"/>
      <c r="C692" s="176"/>
      <c r="D692" s="175"/>
      <c r="E692" s="169"/>
      <c r="F692" s="170"/>
      <c r="G692" s="170"/>
      <c r="H692" s="170"/>
      <c r="I692" s="171"/>
      <c r="J692" s="171"/>
      <c r="K692" s="171"/>
    </row>
    <row r="693" spans="1:11" ht="12.75">
      <c r="A693" s="168" t="e">
        <f t="shared" si="0"/>
        <v>#REF!</v>
      </c>
      <c r="B693" s="175"/>
      <c r="C693" s="176"/>
      <c r="D693" s="175"/>
      <c r="E693" s="169"/>
      <c r="F693" s="170"/>
      <c r="G693" s="170"/>
      <c r="H693" s="170"/>
      <c r="I693" s="171"/>
      <c r="J693" s="171"/>
      <c r="K693" s="171"/>
    </row>
    <row r="694" spans="1:11" ht="12.75">
      <c r="A694" s="168" t="e">
        <f t="shared" si="0"/>
        <v>#REF!</v>
      </c>
      <c r="B694" s="175"/>
      <c r="C694" s="176"/>
      <c r="D694" s="175"/>
      <c r="E694" s="169"/>
      <c r="F694" s="170"/>
      <c r="G694" s="170"/>
      <c r="H694" s="170"/>
      <c r="I694" s="171"/>
      <c r="J694" s="171"/>
      <c r="K694" s="171"/>
    </row>
    <row r="695" spans="1:11" ht="12.75">
      <c r="A695" s="168" t="e">
        <f t="shared" si="0"/>
        <v>#REF!</v>
      </c>
      <c r="B695" s="175"/>
      <c r="C695" s="176"/>
      <c r="D695" s="175"/>
      <c r="E695" s="169"/>
      <c r="F695" s="170"/>
      <c r="G695" s="170"/>
      <c r="H695" s="170"/>
      <c r="I695" s="171"/>
      <c r="J695" s="171"/>
      <c r="K695" s="171"/>
    </row>
    <row r="696" spans="1:11" ht="12.75">
      <c r="A696" s="168" t="e">
        <f t="shared" si="0"/>
        <v>#REF!</v>
      </c>
      <c r="B696" s="175"/>
      <c r="C696" s="176"/>
      <c r="D696" s="175"/>
      <c r="E696" s="169"/>
      <c r="F696" s="170"/>
      <c r="G696" s="170"/>
      <c r="H696" s="170"/>
      <c r="I696" s="171"/>
      <c r="J696" s="171"/>
      <c r="K696" s="171"/>
    </row>
    <row r="697" spans="1:11" ht="12.75">
      <c r="A697" s="168" t="e">
        <f t="shared" si="0"/>
        <v>#REF!</v>
      </c>
      <c r="B697" s="175"/>
      <c r="C697" s="176"/>
      <c r="D697" s="175"/>
      <c r="E697" s="169"/>
      <c r="F697" s="170"/>
      <c r="G697" s="170"/>
      <c r="H697" s="170"/>
      <c r="I697" s="171"/>
      <c r="J697" s="171"/>
      <c r="K697" s="171"/>
    </row>
    <row r="698" spans="1:11" ht="12.75">
      <c r="A698" s="168" t="e">
        <f t="shared" si="0"/>
        <v>#REF!</v>
      </c>
      <c r="B698" s="175"/>
      <c r="C698" s="176"/>
      <c r="D698" s="175"/>
      <c r="E698" s="169"/>
      <c r="F698" s="170"/>
      <c r="G698" s="170"/>
      <c r="H698" s="170"/>
      <c r="I698" s="171"/>
      <c r="J698" s="171"/>
      <c r="K698" s="171"/>
    </row>
    <row r="699" spans="1:11" ht="12.75">
      <c r="A699" s="168" t="e">
        <f t="shared" si="0"/>
        <v>#REF!</v>
      </c>
      <c r="B699" s="175"/>
      <c r="C699" s="176"/>
      <c r="D699" s="175"/>
      <c r="E699" s="169"/>
      <c r="F699" s="170"/>
      <c r="G699" s="170"/>
      <c r="H699" s="170"/>
      <c r="I699" s="171"/>
      <c r="J699" s="171"/>
      <c r="K699" s="171"/>
    </row>
    <row r="700" spans="1:11" ht="12.75">
      <c r="A700" s="168" t="e">
        <f t="shared" si="0"/>
        <v>#REF!</v>
      </c>
      <c r="B700" s="175"/>
      <c r="C700" s="176"/>
      <c r="D700" s="175"/>
      <c r="E700" s="169"/>
      <c r="F700" s="170"/>
      <c r="G700" s="170"/>
      <c r="H700" s="170"/>
      <c r="I700" s="171"/>
      <c r="J700" s="171"/>
      <c r="K700" s="171"/>
    </row>
    <row r="701" spans="1:11" ht="12.75">
      <c r="A701" s="168" t="e">
        <f t="shared" si="0"/>
        <v>#REF!</v>
      </c>
      <c r="B701" s="175"/>
      <c r="C701" s="176"/>
      <c r="D701" s="175"/>
      <c r="E701" s="169"/>
      <c r="F701" s="170"/>
      <c r="G701" s="170"/>
      <c r="H701" s="170"/>
      <c r="I701" s="171"/>
      <c r="J701" s="171"/>
      <c r="K701" s="171"/>
    </row>
    <row r="702" spans="1:11" ht="12.75">
      <c r="A702" s="168" t="e">
        <f t="shared" si="0"/>
        <v>#REF!</v>
      </c>
      <c r="B702" s="175"/>
      <c r="C702" s="176"/>
      <c r="D702" s="175"/>
      <c r="E702" s="169"/>
      <c r="F702" s="170"/>
      <c r="G702" s="170"/>
      <c r="H702" s="170"/>
      <c r="I702" s="171"/>
      <c r="J702" s="171"/>
      <c r="K702" s="171"/>
    </row>
    <row r="703" spans="1:11" ht="12.75">
      <c r="A703" s="168" t="e">
        <f t="shared" si="0"/>
        <v>#REF!</v>
      </c>
      <c r="B703" s="175"/>
      <c r="C703" s="176"/>
      <c r="D703" s="175"/>
      <c r="E703" s="169"/>
      <c r="F703" s="170"/>
      <c r="G703" s="170"/>
      <c r="H703" s="170"/>
      <c r="I703" s="171"/>
      <c r="J703" s="171"/>
      <c r="K703" s="171"/>
    </row>
    <row r="704" spans="1:11" ht="12.75">
      <c r="A704" s="168" t="e">
        <f t="shared" si="0"/>
        <v>#REF!</v>
      </c>
      <c r="B704" s="175"/>
      <c r="C704" s="176"/>
      <c r="D704" s="175"/>
      <c r="E704" s="169"/>
      <c r="F704" s="170"/>
      <c r="G704" s="170"/>
      <c r="H704" s="170"/>
      <c r="I704" s="171"/>
      <c r="J704" s="171"/>
      <c r="K704" s="171"/>
    </row>
    <row r="705" spans="1:11" ht="12.75">
      <c r="A705" s="168" t="e">
        <f t="shared" si="0"/>
        <v>#REF!</v>
      </c>
      <c r="B705" s="175"/>
      <c r="C705" s="176"/>
      <c r="D705" s="175"/>
      <c r="E705" s="169"/>
      <c r="F705" s="170"/>
      <c r="G705" s="170"/>
      <c r="H705" s="170"/>
      <c r="I705" s="171"/>
      <c r="J705" s="171"/>
      <c r="K705" s="171"/>
    </row>
    <row r="706" spans="1:11" ht="12.75">
      <c r="A706" s="168" t="e">
        <f t="shared" si="0"/>
        <v>#REF!</v>
      </c>
      <c r="B706" s="175"/>
      <c r="C706" s="176"/>
      <c r="D706" s="175"/>
      <c r="E706" s="169"/>
      <c r="F706" s="170"/>
      <c r="G706" s="170"/>
      <c r="H706" s="170"/>
      <c r="I706" s="171"/>
      <c r="J706" s="171"/>
      <c r="K706" s="171"/>
    </row>
    <row r="707" spans="1:11" ht="12.75">
      <c r="A707" s="168" t="e">
        <f t="shared" si="0"/>
        <v>#REF!</v>
      </c>
      <c r="B707" s="175"/>
      <c r="C707" s="176"/>
      <c r="D707" s="175"/>
      <c r="E707" s="169"/>
      <c r="F707" s="170"/>
      <c r="G707" s="170"/>
      <c r="H707" s="170"/>
      <c r="I707" s="171"/>
      <c r="J707" s="171"/>
      <c r="K707" s="171"/>
    </row>
    <row r="708" spans="1:11" ht="12.75">
      <c r="A708" s="168" t="e">
        <f t="shared" si="0"/>
        <v>#REF!</v>
      </c>
      <c r="B708" s="175"/>
      <c r="C708" s="176"/>
      <c r="D708" s="175"/>
      <c r="E708" s="169"/>
      <c r="F708" s="170"/>
      <c r="G708" s="170"/>
      <c r="H708" s="170"/>
      <c r="I708" s="171"/>
      <c r="J708" s="171"/>
      <c r="K708" s="171"/>
    </row>
    <row r="709" spans="1:11" ht="12.75">
      <c r="A709" s="168" t="e">
        <f t="shared" si="0"/>
        <v>#REF!</v>
      </c>
      <c r="B709" s="175"/>
      <c r="C709" s="176"/>
      <c r="D709" s="175"/>
      <c r="E709" s="169"/>
      <c r="F709" s="170"/>
      <c r="G709" s="170"/>
      <c r="H709" s="170"/>
      <c r="I709" s="171"/>
      <c r="J709" s="171"/>
      <c r="K709" s="171"/>
    </row>
    <row r="710" spans="1:11" ht="12.75">
      <c r="A710" s="168" t="e">
        <f t="shared" si="0"/>
        <v>#REF!</v>
      </c>
      <c r="B710" s="175"/>
      <c r="C710" s="176"/>
      <c r="D710" s="175"/>
      <c r="E710" s="169"/>
      <c r="F710" s="170"/>
      <c r="G710" s="170"/>
      <c r="H710" s="170"/>
      <c r="I710" s="171"/>
      <c r="J710" s="171"/>
      <c r="K710" s="171"/>
    </row>
    <row r="711" spans="1:11" ht="12.75">
      <c r="A711" s="168" t="e">
        <f t="shared" si="0"/>
        <v>#REF!</v>
      </c>
      <c r="B711" s="175"/>
      <c r="C711" s="176"/>
      <c r="D711" s="175"/>
      <c r="E711" s="169"/>
      <c r="F711" s="170"/>
      <c r="G711" s="170"/>
      <c r="H711" s="170"/>
      <c r="I711" s="171"/>
      <c r="J711" s="171"/>
      <c r="K711" s="171"/>
    </row>
    <row r="712" spans="1:11" ht="12.75">
      <c r="A712" s="168" t="e">
        <f t="shared" si="0"/>
        <v>#REF!</v>
      </c>
      <c r="B712" s="175"/>
      <c r="C712" s="176"/>
      <c r="D712" s="175"/>
      <c r="E712" s="169"/>
      <c r="F712" s="170"/>
      <c r="G712" s="170"/>
      <c r="H712" s="170"/>
      <c r="I712" s="171"/>
      <c r="J712" s="171"/>
      <c r="K712" s="171"/>
    </row>
    <row r="713" spans="1:11" ht="12.75">
      <c r="A713" s="168" t="e">
        <f t="shared" si="0"/>
        <v>#REF!</v>
      </c>
      <c r="B713" s="175"/>
      <c r="C713" s="176"/>
      <c r="D713" s="175"/>
      <c r="E713" s="169"/>
      <c r="F713" s="170"/>
      <c r="G713" s="170"/>
      <c r="H713" s="170"/>
      <c r="I713" s="171"/>
      <c r="J713" s="171"/>
      <c r="K713" s="171"/>
    </row>
    <row r="714" spans="1:11" ht="12.75">
      <c r="A714" s="168" t="e">
        <f t="shared" si="0"/>
        <v>#REF!</v>
      </c>
      <c r="B714" s="175"/>
      <c r="C714" s="176"/>
      <c r="D714" s="175"/>
      <c r="E714" s="169"/>
      <c r="F714" s="170"/>
      <c r="G714" s="170"/>
      <c r="H714" s="170"/>
      <c r="I714" s="171"/>
      <c r="J714" s="171"/>
      <c r="K714" s="171"/>
    </row>
    <row r="715" spans="1:11" ht="12.75">
      <c r="A715" s="168" t="e">
        <f t="shared" si="0"/>
        <v>#REF!</v>
      </c>
      <c r="B715" s="175"/>
      <c r="C715" s="176"/>
      <c r="D715" s="175"/>
      <c r="E715" s="169"/>
      <c r="F715" s="170"/>
      <c r="G715" s="170"/>
      <c r="H715" s="170"/>
      <c r="I715" s="171"/>
      <c r="J715" s="171"/>
      <c r="K715" s="171"/>
    </row>
    <row r="716" spans="1:11" ht="12.75">
      <c r="A716" s="168" t="e">
        <f t="shared" si="0"/>
        <v>#REF!</v>
      </c>
      <c r="B716" s="175"/>
      <c r="C716" s="176"/>
      <c r="D716" s="175"/>
      <c r="E716" s="169"/>
      <c r="F716" s="170"/>
      <c r="G716" s="170"/>
      <c r="H716" s="170"/>
      <c r="I716" s="171"/>
      <c r="J716" s="171"/>
      <c r="K716" s="171"/>
    </row>
    <row r="717" spans="1:11" ht="12.75">
      <c r="A717" s="168" t="e">
        <f t="shared" si="0"/>
        <v>#REF!</v>
      </c>
      <c r="B717" s="175"/>
      <c r="C717" s="176"/>
      <c r="D717" s="175"/>
      <c r="E717" s="169"/>
      <c r="F717" s="170"/>
      <c r="G717" s="170"/>
      <c r="H717" s="170"/>
      <c r="I717" s="171"/>
      <c r="J717" s="171"/>
      <c r="K717" s="171"/>
    </row>
    <row r="718" spans="1:11" ht="12.75">
      <c r="A718" s="168" t="e">
        <f t="shared" si="0"/>
        <v>#REF!</v>
      </c>
      <c r="B718" s="175"/>
      <c r="C718" s="176"/>
      <c r="D718" s="175"/>
      <c r="E718" s="169"/>
      <c r="F718" s="170"/>
      <c r="G718" s="170"/>
      <c r="H718" s="170"/>
      <c r="I718" s="171"/>
      <c r="J718" s="171"/>
      <c r="K718" s="171"/>
    </row>
    <row r="719" spans="1:11" ht="12.75">
      <c r="A719" s="168" t="e">
        <f t="shared" si="0"/>
        <v>#REF!</v>
      </c>
      <c r="B719" s="175"/>
      <c r="C719" s="176"/>
      <c r="D719" s="175"/>
      <c r="E719" s="169"/>
      <c r="F719" s="170"/>
      <c r="G719" s="170"/>
      <c r="H719" s="170"/>
      <c r="I719" s="171"/>
      <c r="J719" s="171"/>
      <c r="K719" s="171"/>
    </row>
    <row r="720" spans="1:11" ht="12.75">
      <c r="A720" s="168" t="e">
        <f t="shared" si="0"/>
        <v>#REF!</v>
      </c>
      <c r="B720" s="175"/>
      <c r="C720" s="176"/>
      <c r="D720" s="175"/>
      <c r="E720" s="169"/>
      <c r="F720" s="170"/>
      <c r="G720" s="170"/>
      <c r="H720" s="170"/>
      <c r="I720" s="171"/>
      <c r="J720" s="171"/>
      <c r="K720" s="171"/>
    </row>
    <row r="721" spans="1:11" ht="12.75">
      <c r="A721" s="168" t="e">
        <f t="shared" si="0"/>
        <v>#REF!</v>
      </c>
      <c r="B721" s="175"/>
      <c r="C721" s="176"/>
      <c r="D721" s="175"/>
      <c r="E721" s="169"/>
      <c r="F721" s="170"/>
      <c r="G721" s="170"/>
      <c r="H721" s="170"/>
      <c r="I721" s="171"/>
      <c r="J721" s="171"/>
      <c r="K721" s="171"/>
    </row>
    <row r="722" spans="1:11" ht="12.75">
      <c r="A722" s="168" t="e">
        <f t="shared" si="0"/>
        <v>#REF!</v>
      </c>
      <c r="B722" s="175"/>
      <c r="C722" s="176"/>
      <c r="D722" s="175"/>
      <c r="E722" s="169"/>
      <c r="F722" s="170"/>
      <c r="G722" s="170"/>
      <c r="H722" s="170"/>
      <c r="I722" s="171"/>
      <c r="J722" s="171"/>
      <c r="K722" s="171"/>
    </row>
    <row r="723" spans="1:11" ht="12.75">
      <c r="A723" s="168" t="e">
        <f t="shared" si="0"/>
        <v>#REF!</v>
      </c>
      <c r="B723" s="175"/>
      <c r="C723" s="176"/>
      <c r="D723" s="175"/>
      <c r="E723" s="169"/>
      <c r="F723" s="170"/>
      <c r="G723" s="170"/>
      <c r="H723" s="170"/>
      <c r="I723" s="171"/>
      <c r="J723" s="171"/>
      <c r="K723" s="171"/>
    </row>
    <row r="724" spans="1:11" ht="12.75">
      <c r="A724" s="168" t="e">
        <f t="shared" si="0"/>
        <v>#REF!</v>
      </c>
      <c r="B724" s="175"/>
      <c r="C724" s="176"/>
      <c r="D724" s="175"/>
      <c r="E724" s="169"/>
      <c r="F724" s="170"/>
      <c r="G724" s="170"/>
      <c r="H724" s="170"/>
      <c r="I724" s="171"/>
      <c r="J724" s="171"/>
      <c r="K724" s="171"/>
    </row>
    <row r="725" spans="1:11" ht="12.75">
      <c r="A725" s="168" t="e">
        <f t="shared" si="0"/>
        <v>#REF!</v>
      </c>
      <c r="B725" s="175"/>
      <c r="C725" s="176"/>
      <c r="D725" s="175"/>
      <c r="E725" s="169"/>
      <c r="F725" s="170"/>
      <c r="G725" s="170"/>
      <c r="H725" s="170"/>
      <c r="I725" s="171"/>
      <c r="J725" s="171"/>
      <c r="K725" s="171"/>
    </row>
    <row r="726" spans="1:11" ht="12.75">
      <c r="A726" s="168" t="e">
        <f t="shared" si="0"/>
        <v>#REF!</v>
      </c>
      <c r="B726" s="175"/>
      <c r="C726" s="176"/>
      <c r="D726" s="175"/>
      <c r="E726" s="169"/>
      <c r="F726" s="170"/>
      <c r="G726" s="170"/>
      <c r="H726" s="170"/>
      <c r="I726" s="171"/>
      <c r="J726" s="171"/>
      <c r="K726" s="171"/>
    </row>
    <row r="727" spans="1:11" ht="12.75">
      <c r="A727" s="168" t="e">
        <f t="shared" si="0"/>
        <v>#REF!</v>
      </c>
      <c r="B727" s="175"/>
      <c r="C727" s="176"/>
      <c r="D727" s="175"/>
      <c r="E727" s="169"/>
      <c r="F727" s="170"/>
      <c r="G727" s="170"/>
      <c r="H727" s="170"/>
      <c r="I727" s="171"/>
      <c r="J727" s="171"/>
      <c r="K727" s="171"/>
    </row>
    <row r="728" spans="1:11" ht="12.75">
      <c r="A728" s="168" t="e">
        <f t="shared" si="0"/>
        <v>#REF!</v>
      </c>
      <c r="B728" s="175"/>
      <c r="C728" s="176"/>
      <c r="D728" s="175"/>
      <c r="E728" s="169"/>
      <c r="F728" s="170"/>
      <c r="G728" s="170"/>
      <c r="H728" s="170"/>
      <c r="I728" s="171"/>
      <c r="J728" s="171"/>
      <c r="K728" s="171"/>
    </row>
    <row r="729" spans="1:11" ht="12.75">
      <c r="A729" s="168" t="e">
        <f t="shared" si="0"/>
        <v>#REF!</v>
      </c>
      <c r="B729" s="175"/>
      <c r="C729" s="176"/>
      <c r="D729" s="175"/>
      <c r="E729" s="169"/>
      <c r="F729" s="170"/>
      <c r="G729" s="170"/>
      <c r="H729" s="170"/>
      <c r="I729" s="171"/>
      <c r="J729" s="171"/>
      <c r="K729" s="171"/>
    </row>
    <row r="730" spans="1:11" ht="12.75">
      <c r="A730" s="168" t="e">
        <f t="shared" si="0"/>
        <v>#REF!</v>
      </c>
      <c r="B730" s="175"/>
      <c r="C730" s="176"/>
      <c r="D730" s="175"/>
      <c r="E730" s="169"/>
      <c r="F730" s="170"/>
      <c r="G730" s="170"/>
      <c r="H730" s="170"/>
      <c r="I730" s="171"/>
      <c r="J730" s="171"/>
      <c r="K730" s="171"/>
    </row>
    <row r="731" spans="1:11" ht="12.75">
      <c r="A731" s="168" t="e">
        <f t="shared" si="0"/>
        <v>#REF!</v>
      </c>
      <c r="B731" s="175"/>
      <c r="C731" s="176"/>
      <c r="D731" s="175"/>
      <c r="E731" s="169"/>
      <c r="F731" s="170"/>
      <c r="G731" s="170"/>
      <c r="H731" s="170"/>
      <c r="I731" s="171"/>
      <c r="J731" s="171"/>
      <c r="K731" s="171"/>
    </row>
    <row r="732" spans="1:11" ht="12.75">
      <c r="A732" s="168" t="e">
        <f t="shared" si="0"/>
        <v>#REF!</v>
      </c>
      <c r="B732" s="175"/>
      <c r="C732" s="176"/>
      <c r="D732" s="175"/>
      <c r="E732" s="169"/>
      <c r="F732" s="170"/>
      <c r="G732" s="170"/>
      <c r="H732" s="170"/>
      <c r="I732" s="171"/>
      <c r="J732" s="171"/>
      <c r="K732" s="171"/>
    </row>
    <row r="733" spans="1:11" ht="12.75">
      <c r="A733" s="168" t="e">
        <f t="shared" si="0"/>
        <v>#REF!</v>
      </c>
      <c r="B733" s="175"/>
      <c r="C733" s="176"/>
      <c r="D733" s="175"/>
      <c r="E733" s="169"/>
      <c r="F733" s="170"/>
      <c r="G733" s="170"/>
      <c r="H733" s="170"/>
      <c r="I733" s="171"/>
      <c r="J733" s="171"/>
      <c r="K733" s="171"/>
    </row>
    <row r="734" spans="1:11" ht="12.75">
      <c r="A734" s="168" t="e">
        <f t="shared" si="0"/>
        <v>#REF!</v>
      </c>
      <c r="B734" s="175"/>
      <c r="C734" s="176"/>
      <c r="D734" s="175"/>
      <c r="E734" s="169"/>
      <c r="F734" s="170"/>
      <c r="G734" s="170"/>
      <c r="H734" s="170"/>
      <c r="I734" s="171"/>
      <c r="J734" s="171"/>
      <c r="K734" s="171"/>
    </row>
    <row r="735" spans="1:11" ht="12.75">
      <c r="A735" s="168" t="e">
        <f t="shared" si="0"/>
        <v>#REF!</v>
      </c>
      <c r="B735" s="175"/>
      <c r="C735" s="176"/>
      <c r="D735" s="175"/>
      <c r="E735" s="169"/>
      <c r="F735" s="170"/>
      <c r="G735" s="170"/>
      <c r="H735" s="170"/>
      <c r="I735" s="171"/>
      <c r="J735" s="171"/>
      <c r="K735" s="171"/>
    </row>
    <row r="736" spans="1:11" ht="12.75">
      <c r="A736" s="168" t="e">
        <f t="shared" si="0"/>
        <v>#REF!</v>
      </c>
      <c r="B736" s="175"/>
      <c r="C736" s="176"/>
      <c r="D736" s="175"/>
      <c r="E736" s="169"/>
      <c r="F736" s="170"/>
      <c r="G736" s="170"/>
      <c r="H736" s="170"/>
      <c r="I736" s="171"/>
      <c r="J736" s="171"/>
      <c r="K736" s="171"/>
    </row>
    <row r="737" spans="1:11" ht="12.75">
      <c r="A737" s="168" t="e">
        <f t="shared" si="0"/>
        <v>#REF!</v>
      </c>
      <c r="B737" s="175"/>
      <c r="C737" s="176"/>
      <c r="D737" s="175"/>
      <c r="E737" s="169"/>
      <c r="F737" s="170"/>
      <c r="G737" s="170"/>
      <c r="H737" s="170"/>
      <c r="I737" s="171"/>
      <c r="J737" s="171"/>
      <c r="K737" s="171"/>
    </row>
    <row r="738" spans="1:11" ht="12.75">
      <c r="A738" s="168" t="e">
        <f t="shared" si="0"/>
        <v>#REF!</v>
      </c>
      <c r="B738" s="175"/>
      <c r="C738" s="176"/>
      <c r="D738" s="175"/>
      <c r="E738" s="169"/>
      <c r="F738" s="170"/>
      <c r="G738" s="170"/>
      <c r="H738" s="170"/>
      <c r="I738" s="171"/>
      <c r="J738" s="171"/>
      <c r="K738" s="171"/>
    </row>
    <row r="739" spans="1:11" ht="12.75">
      <c r="A739" s="168" t="e">
        <f t="shared" si="0"/>
        <v>#REF!</v>
      </c>
      <c r="B739" s="175"/>
      <c r="C739" s="176"/>
      <c r="D739" s="175"/>
      <c r="E739" s="169"/>
      <c r="F739" s="170"/>
      <c r="G739" s="170"/>
      <c r="H739" s="170"/>
      <c r="I739" s="171"/>
      <c r="J739" s="171"/>
      <c r="K739" s="171"/>
    </row>
    <row r="740" spans="1:11" ht="12.75">
      <c r="A740" s="168" t="e">
        <f t="shared" si="0"/>
        <v>#REF!</v>
      </c>
      <c r="B740" s="175"/>
      <c r="C740" s="176"/>
      <c r="D740" s="175"/>
      <c r="E740" s="169"/>
      <c r="F740" s="170"/>
      <c r="G740" s="170"/>
      <c r="H740" s="170"/>
      <c r="I740" s="171"/>
      <c r="J740" s="171"/>
      <c r="K740" s="171"/>
    </row>
    <row r="741" spans="1:11" ht="12.75">
      <c r="A741" s="168" t="e">
        <f t="shared" si="0"/>
        <v>#REF!</v>
      </c>
      <c r="B741" s="175"/>
      <c r="C741" s="176"/>
      <c r="D741" s="175"/>
      <c r="E741" s="169"/>
      <c r="F741" s="170"/>
      <c r="G741" s="170"/>
      <c r="H741" s="170"/>
      <c r="I741" s="171"/>
      <c r="J741" s="171"/>
      <c r="K741" s="171"/>
    </row>
    <row r="742" spans="1:11" ht="12.75">
      <c r="A742" s="168" t="e">
        <f t="shared" si="0"/>
        <v>#REF!</v>
      </c>
      <c r="B742" s="175"/>
      <c r="C742" s="176"/>
      <c r="D742" s="175"/>
      <c r="E742" s="169"/>
      <c r="F742" s="170"/>
      <c r="G742" s="170"/>
      <c r="H742" s="170"/>
      <c r="I742" s="171"/>
      <c r="J742" s="171"/>
      <c r="K742" s="171"/>
    </row>
    <row r="743" spans="1:11" ht="12.75">
      <c r="A743" s="168" t="e">
        <f t="shared" si="0"/>
        <v>#REF!</v>
      </c>
      <c r="B743" s="175"/>
      <c r="C743" s="176"/>
      <c r="D743" s="175"/>
      <c r="E743" s="169"/>
      <c r="F743" s="170"/>
      <c r="G743" s="170"/>
      <c r="H743" s="170"/>
      <c r="I743" s="171"/>
      <c r="J743" s="171"/>
      <c r="K743" s="171"/>
    </row>
    <row r="744" spans="1:11" ht="12.75">
      <c r="A744" s="168" t="e">
        <f t="shared" si="0"/>
        <v>#REF!</v>
      </c>
      <c r="B744" s="175"/>
      <c r="C744" s="176"/>
      <c r="D744" s="175"/>
      <c r="E744" s="169"/>
      <c r="F744" s="170"/>
      <c r="G744" s="170"/>
      <c r="H744" s="170"/>
      <c r="I744" s="171"/>
      <c r="J744" s="171"/>
      <c r="K744" s="171"/>
    </row>
    <row r="745" spans="1:11" ht="12.75">
      <c r="A745" s="168" t="e">
        <f t="shared" si="0"/>
        <v>#REF!</v>
      </c>
      <c r="B745" s="175"/>
      <c r="C745" s="176"/>
      <c r="D745" s="175"/>
      <c r="E745" s="169"/>
      <c r="F745" s="170"/>
      <c r="G745" s="170"/>
      <c r="H745" s="170"/>
      <c r="I745" s="171"/>
      <c r="J745" s="171"/>
      <c r="K745" s="171"/>
    </row>
    <row r="746" spans="1:11" ht="12.75">
      <c r="A746" s="168" t="e">
        <f t="shared" si="0"/>
        <v>#REF!</v>
      </c>
      <c r="B746" s="175"/>
      <c r="C746" s="176"/>
      <c r="D746" s="175"/>
      <c r="E746" s="169"/>
      <c r="F746" s="170"/>
      <c r="G746" s="170"/>
      <c r="H746" s="170"/>
      <c r="I746" s="171"/>
      <c r="J746" s="171"/>
      <c r="K746" s="171"/>
    </row>
    <row r="747" spans="1:11" ht="12.75">
      <c r="A747" s="168" t="e">
        <f t="shared" si="0"/>
        <v>#REF!</v>
      </c>
      <c r="B747" s="175"/>
      <c r="C747" s="176"/>
      <c r="D747" s="175"/>
      <c r="E747" s="169"/>
      <c r="F747" s="170"/>
      <c r="G747" s="170"/>
      <c r="H747" s="170"/>
      <c r="I747" s="171"/>
      <c r="J747" s="171"/>
      <c r="K747" s="171"/>
    </row>
    <row r="748" spans="1:11" ht="12.75">
      <c r="A748" s="168" t="e">
        <f t="shared" si="0"/>
        <v>#REF!</v>
      </c>
      <c r="B748" s="175"/>
      <c r="C748" s="176"/>
      <c r="D748" s="175"/>
      <c r="E748" s="169"/>
      <c r="F748" s="170"/>
      <c r="G748" s="170"/>
      <c r="H748" s="170"/>
      <c r="I748" s="171"/>
      <c r="J748" s="171"/>
      <c r="K748" s="171"/>
    </row>
    <row r="749" spans="1:11" ht="12.75">
      <c r="A749" s="168" t="e">
        <f t="shared" si="0"/>
        <v>#REF!</v>
      </c>
      <c r="B749" s="175"/>
      <c r="C749" s="176"/>
      <c r="D749" s="175"/>
      <c r="E749" s="169"/>
      <c r="F749" s="170"/>
      <c r="G749" s="170"/>
      <c r="H749" s="170"/>
      <c r="I749" s="171"/>
      <c r="J749" s="171"/>
      <c r="K749" s="171"/>
    </row>
    <row r="750" spans="1:11" ht="12.75">
      <c r="A750" s="168" t="e">
        <f t="shared" si="0"/>
        <v>#REF!</v>
      </c>
      <c r="B750" s="175"/>
      <c r="C750" s="176"/>
      <c r="D750" s="175"/>
      <c r="E750" s="169"/>
      <c r="F750" s="170"/>
      <c r="G750" s="170"/>
      <c r="H750" s="170"/>
      <c r="I750" s="171"/>
      <c r="J750" s="171"/>
      <c r="K750" s="171"/>
    </row>
    <row r="751" spans="1:11" ht="12.75">
      <c r="A751" s="168" t="e">
        <f t="shared" si="0"/>
        <v>#REF!</v>
      </c>
      <c r="B751" s="175"/>
      <c r="C751" s="176"/>
      <c r="D751" s="175"/>
      <c r="E751" s="169"/>
      <c r="F751" s="170"/>
      <c r="G751" s="170"/>
      <c r="H751" s="170"/>
      <c r="I751" s="171"/>
      <c r="J751" s="171"/>
      <c r="K751" s="171"/>
    </row>
    <row r="752" spans="1:11" ht="12.75">
      <c r="A752" s="168" t="e">
        <f t="shared" si="0"/>
        <v>#REF!</v>
      </c>
      <c r="B752" s="175"/>
      <c r="C752" s="176"/>
      <c r="D752" s="175"/>
      <c r="E752" s="169"/>
      <c r="F752" s="170"/>
      <c r="G752" s="170"/>
      <c r="H752" s="170"/>
      <c r="I752" s="171"/>
      <c r="J752" s="171"/>
      <c r="K752" s="171"/>
    </row>
    <row r="753" spans="1:11" ht="12.75">
      <c r="A753" s="168" t="e">
        <f t="shared" si="0"/>
        <v>#REF!</v>
      </c>
      <c r="B753" s="175"/>
      <c r="C753" s="176"/>
      <c r="D753" s="175"/>
      <c r="E753" s="169"/>
      <c r="F753" s="170"/>
      <c r="G753" s="170"/>
      <c r="H753" s="170"/>
      <c r="I753" s="171"/>
      <c r="J753" s="171"/>
      <c r="K753" s="171"/>
    </row>
    <row r="754" spans="1:11" ht="12.75">
      <c r="A754" s="168" t="e">
        <f t="shared" si="0"/>
        <v>#REF!</v>
      </c>
      <c r="B754" s="175"/>
      <c r="C754" s="176"/>
      <c r="D754" s="175"/>
      <c r="E754" s="169"/>
      <c r="F754" s="170"/>
      <c r="G754" s="170"/>
      <c r="H754" s="170"/>
      <c r="I754" s="171"/>
      <c r="J754" s="171"/>
      <c r="K754" s="171"/>
    </row>
    <row r="755" spans="1:11" ht="12.75">
      <c r="A755" s="168" t="e">
        <f t="shared" si="0"/>
        <v>#REF!</v>
      </c>
      <c r="B755" s="175"/>
      <c r="C755" s="176"/>
      <c r="D755" s="175"/>
      <c r="E755" s="169"/>
      <c r="F755" s="170"/>
      <c r="G755" s="170"/>
      <c r="H755" s="170"/>
      <c r="I755" s="171"/>
      <c r="J755" s="171"/>
      <c r="K755" s="171"/>
    </row>
    <row r="756" spans="1:11" ht="12.75">
      <c r="A756" s="168" t="e">
        <f t="shared" si="0"/>
        <v>#REF!</v>
      </c>
      <c r="B756" s="175"/>
      <c r="C756" s="176"/>
      <c r="D756" s="175"/>
      <c r="E756" s="169"/>
      <c r="F756" s="170"/>
      <c r="G756" s="170"/>
      <c r="H756" s="170"/>
      <c r="I756" s="171"/>
      <c r="J756" s="171"/>
      <c r="K756" s="171"/>
    </row>
    <row r="757" spans="1:11" ht="12.75">
      <c r="A757" s="168" t="e">
        <f t="shared" si="0"/>
        <v>#REF!</v>
      </c>
      <c r="B757" s="175"/>
      <c r="C757" s="176"/>
      <c r="D757" s="175"/>
      <c r="E757" s="169"/>
      <c r="F757" s="170"/>
      <c r="G757" s="170"/>
      <c r="H757" s="170"/>
      <c r="I757" s="171"/>
      <c r="J757" s="171"/>
      <c r="K757" s="171"/>
    </row>
    <row r="758" spans="1:11" ht="12.75">
      <c r="A758" s="168" t="e">
        <f t="shared" si="0"/>
        <v>#REF!</v>
      </c>
      <c r="B758" s="175"/>
      <c r="C758" s="176"/>
      <c r="D758" s="175"/>
      <c r="E758" s="169"/>
      <c r="F758" s="170"/>
      <c r="G758" s="170"/>
      <c r="H758" s="170"/>
      <c r="I758" s="171"/>
      <c r="J758" s="171"/>
      <c r="K758" s="171"/>
    </row>
    <row r="759" spans="1:11" ht="12.75">
      <c r="A759" s="168" t="e">
        <f t="shared" si="0"/>
        <v>#REF!</v>
      </c>
      <c r="B759" s="175"/>
      <c r="C759" s="176"/>
      <c r="D759" s="175"/>
      <c r="E759" s="169"/>
      <c r="F759" s="170"/>
      <c r="G759" s="170"/>
      <c r="H759" s="170"/>
      <c r="I759" s="171"/>
      <c r="J759" s="171"/>
      <c r="K759" s="171"/>
    </row>
    <row r="760" spans="1:11" ht="12.75">
      <c r="A760" s="168" t="e">
        <f t="shared" si="0"/>
        <v>#REF!</v>
      </c>
      <c r="B760" s="175"/>
      <c r="C760" s="176"/>
      <c r="D760" s="175"/>
      <c r="E760" s="169"/>
      <c r="F760" s="170"/>
      <c r="G760" s="170"/>
      <c r="H760" s="170"/>
      <c r="I760" s="171"/>
      <c r="J760" s="171"/>
      <c r="K760" s="171"/>
    </row>
    <row r="761" spans="1:11" ht="12.75">
      <c r="A761" s="168" t="e">
        <f t="shared" si="0"/>
        <v>#REF!</v>
      </c>
      <c r="B761" s="175"/>
      <c r="C761" s="176"/>
      <c r="D761" s="175"/>
      <c r="E761" s="169"/>
      <c r="F761" s="170"/>
      <c r="G761" s="170"/>
      <c r="H761" s="170"/>
      <c r="I761" s="171"/>
      <c r="J761" s="171"/>
      <c r="K761" s="171"/>
    </row>
    <row r="762" spans="1:11" ht="12.75">
      <c r="A762" s="168" t="e">
        <f t="shared" si="0"/>
        <v>#REF!</v>
      </c>
      <c r="B762" s="175"/>
      <c r="C762" s="176"/>
      <c r="D762" s="175"/>
      <c r="E762" s="169"/>
      <c r="F762" s="170"/>
      <c r="G762" s="170"/>
      <c r="H762" s="170"/>
      <c r="I762" s="171"/>
      <c r="J762" s="171"/>
      <c r="K762" s="171"/>
    </row>
    <row r="763" spans="1:11" ht="12.75">
      <c r="A763" s="168" t="e">
        <f t="shared" si="0"/>
        <v>#REF!</v>
      </c>
      <c r="B763" s="175"/>
      <c r="C763" s="176"/>
      <c r="D763" s="175"/>
      <c r="E763" s="169"/>
      <c r="F763" s="170"/>
      <c r="G763" s="170"/>
      <c r="H763" s="170"/>
      <c r="I763" s="171"/>
      <c r="J763" s="171"/>
      <c r="K763" s="171"/>
    </row>
    <row r="764" spans="1:11" ht="12.75">
      <c r="A764" s="168" t="e">
        <f t="shared" si="0"/>
        <v>#REF!</v>
      </c>
      <c r="B764" s="175"/>
      <c r="C764" s="176"/>
      <c r="D764" s="175"/>
      <c r="E764" s="169"/>
      <c r="F764" s="170"/>
      <c r="G764" s="170"/>
      <c r="H764" s="170"/>
      <c r="I764" s="171"/>
      <c r="J764" s="171"/>
      <c r="K764" s="171"/>
    </row>
    <row r="765" spans="1:11" ht="12.75">
      <c r="A765" s="168" t="e">
        <f t="shared" si="0"/>
        <v>#REF!</v>
      </c>
      <c r="B765" s="175"/>
      <c r="C765" s="176"/>
      <c r="D765" s="175"/>
      <c r="E765" s="169"/>
      <c r="F765" s="170"/>
      <c r="G765" s="170"/>
      <c r="H765" s="170"/>
      <c r="I765" s="171"/>
      <c r="J765" s="171"/>
      <c r="K765" s="171"/>
    </row>
    <row r="766" spans="1:11" ht="12.75">
      <c r="A766" s="168" t="e">
        <f t="shared" si="0"/>
        <v>#REF!</v>
      </c>
      <c r="B766" s="175"/>
      <c r="C766" s="176"/>
      <c r="D766" s="175"/>
      <c r="E766" s="169"/>
      <c r="F766" s="170"/>
      <c r="G766" s="170"/>
      <c r="H766" s="170"/>
      <c r="I766" s="171"/>
      <c r="J766" s="171"/>
      <c r="K766" s="171"/>
    </row>
    <row r="767" spans="1:11" ht="12.75">
      <c r="A767" s="168" t="e">
        <f t="shared" si="0"/>
        <v>#REF!</v>
      </c>
      <c r="B767" s="175"/>
      <c r="C767" s="176"/>
      <c r="D767" s="175"/>
      <c r="E767" s="169"/>
      <c r="F767" s="170"/>
      <c r="G767" s="170"/>
      <c r="H767" s="170"/>
      <c r="I767" s="171"/>
      <c r="J767" s="171"/>
      <c r="K767" s="171"/>
    </row>
    <row r="768" spans="1:11" ht="12.75">
      <c r="A768" s="168" t="e">
        <f t="shared" si="0"/>
        <v>#REF!</v>
      </c>
      <c r="B768" s="175"/>
      <c r="C768" s="176"/>
      <c r="D768" s="175"/>
      <c r="E768" s="169"/>
      <c r="F768" s="170"/>
      <c r="G768" s="170"/>
      <c r="H768" s="170"/>
      <c r="I768" s="171"/>
      <c r="J768" s="171"/>
      <c r="K768" s="171"/>
    </row>
    <row r="769" spans="1:11" ht="12.75">
      <c r="A769" s="168" t="e">
        <f t="shared" si="0"/>
        <v>#REF!</v>
      </c>
      <c r="B769" s="175"/>
      <c r="C769" s="176"/>
      <c r="D769" s="175"/>
      <c r="E769" s="169"/>
      <c r="F769" s="170"/>
      <c r="G769" s="170"/>
      <c r="H769" s="170"/>
      <c r="I769" s="171"/>
      <c r="J769" s="171"/>
      <c r="K769" s="171"/>
    </row>
    <row r="770" spans="1:11" ht="12.75">
      <c r="A770" s="168" t="e">
        <f t="shared" si="0"/>
        <v>#REF!</v>
      </c>
      <c r="B770" s="175"/>
      <c r="C770" s="176"/>
      <c r="D770" s="175"/>
      <c r="E770" s="169"/>
      <c r="F770" s="170"/>
      <c r="G770" s="170"/>
      <c r="H770" s="170"/>
      <c r="I770" s="171"/>
      <c r="J770" s="171"/>
      <c r="K770" s="171"/>
    </row>
    <row r="771" spans="1:11" ht="12.75">
      <c r="A771" s="168" t="e">
        <f t="shared" si="0"/>
        <v>#REF!</v>
      </c>
      <c r="B771" s="175"/>
      <c r="C771" s="176"/>
      <c r="D771" s="175"/>
      <c r="E771" s="169"/>
      <c r="F771" s="170"/>
      <c r="G771" s="170"/>
      <c r="H771" s="170"/>
      <c r="I771" s="171"/>
      <c r="J771" s="171"/>
      <c r="K771" s="171"/>
    </row>
    <row r="772" spans="1:11" ht="12.75">
      <c r="A772" s="168" t="e">
        <f t="shared" si="0"/>
        <v>#REF!</v>
      </c>
      <c r="B772" s="175"/>
      <c r="C772" s="176"/>
      <c r="D772" s="175"/>
      <c r="E772" s="169"/>
      <c r="F772" s="170"/>
      <c r="G772" s="170"/>
      <c r="H772" s="170"/>
      <c r="I772" s="171"/>
      <c r="J772" s="171"/>
      <c r="K772" s="171"/>
    </row>
    <row r="773" spans="1:11" ht="12.75">
      <c r="A773" s="168" t="e">
        <f t="shared" si="0"/>
        <v>#REF!</v>
      </c>
      <c r="B773" s="175"/>
      <c r="C773" s="176"/>
      <c r="D773" s="175"/>
      <c r="E773" s="169"/>
      <c r="F773" s="170"/>
      <c r="G773" s="170"/>
      <c r="H773" s="170"/>
      <c r="I773" s="171"/>
      <c r="J773" s="171"/>
      <c r="K773" s="171"/>
    </row>
    <row r="774" spans="1:11" ht="12.75">
      <c r="A774" s="168" t="e">
        <f t="shared" si="0"/>
        <v>#REF!</v>
      </c>
      <c r="B774" s="175"/>
      <c r="C774" s="176"/>
      <c r="D774" s="175"/>
      <c r="E774" s="169"/>
      <c r="F774" s="170"/>
      <c r="G774" s="170"/>
      <c r="H774" s="170"/>
      <c r="I774" s="171"/>
      <c r="J774" s="171"/>
      <c r="K774" s="171"/>
    </row>
    <row r="775" spans="1:11" ht="12.75">
      <c r="A775" s="168" t="e">
        <f t="shared" si="0"/>
        <v>#REF!</v>
      </c>
      <c r="B775" s="175"/>
      <c r="C775" s="176"/>
      <c r="D775" s="175"/>
      <c r="E775" s="169"/>
      <c r="F775" s="170"/>
      <c r="G775" s="170"/>
      <c r="H775" s="170"/>
      <c r="I775" s="171"/>
      <c r="J775" s="171"/>
      <c r="K775" s="171"/>
    </row>
    <row r="776" spans="1:11" ht="12.75">
      <c r="A776" s="168" t="e">
        <f t="shared" si="0"/>
        <v>#REF!</v>
      </c>
      <c r="B776" s="175"/>
      <c r="C776" s="176"/>
      <c r="D776" s="175"/>
      <c r="E776" s="169"/>
      <c r="F776" s="170"/>
      <c r="G776" s="170"/>
      <c r="H776" s="170"/>
      <c r="I776" s="171"/>
      <c r="J776" s="171"/>
      <c r="K776" s="171"/>
    </row>
    <row r="777" spans="1:11" ht="12.75">
      <c r="A777" s="168" t="e">
        <f t="shared" si="0"/>
        <v>#REF!</v>
      </c>
      <c r="B777" s="175"/>
      <c r="C777" s="176"/>
      <c r="D777" s="175"/>
      <c r="E777" s="169"/>
      <c r="F777" s="170"/>
      <c r="G777" s="170"/>
      <c r="H777" s="170"/>
      <c r="I777" s="171"/>
      <c r="J777" s="171"/>
      <c r="K777" s="171"/>
    </row>
    <row r="778" spans="1:11" ht="12.75">
      <c r="A778" s="168" t="e">
        <f t="shared" si="0"/>
        <v>#REF!</v>
      </c>
      <c r="B778" s="175"/>
      <c r="C778" s="176"/>
      <c r="D778" s="175"/>
      <c r="E778" s="169"/>
      <c r="F778" s="170"/>
      <c r="G778" s="170"/>
      <c r="H778" s="170"/>
      <c r="I778" s="171"/>
      <c r="J778" s="171"/>
      <c r="K778" s="171"/>
    </row>
    <row r="779" spans="1:11" ht="12.75">
      <c r="A779" s="168" t="e">
        <f t="shared" si="0"/>
        <v>#REF!</v>
      </c>
      <c r="B779" s="175"/>
      <c r="C779" s="176"/>
      <c r="D779" s="175"/>
      <c r="E779" s="169"/>
      <c r="F779" s="170"/>
      <c r="G779" s="170"/>
      <c r="H779" s="170"/>
      <c r="I779" s="171"/>
      <c r="J779" s="171"/>
      <c r="K779" s="171"/>
    </row>
    <row r="780" spans="1:11" ht="12.75">
      <c r="A780" s="168" t="e">
        <f t="shared" si="0"/>
        <v>#REF!</v>
      </c>
      <c r="B780" s="175"/>
      <c r="C780" s="176"/>
      <c r="D780" s="175"/>
      <c r="E780" s="169"/>
      <c r="F780" s="170"/>
      <c r="G780" s="170"/>
      <c r="H780" s="170"/>
      <c r="I780" s="171"/>
      <c r="J780" s="171"/>
      <c r="K780" s="171"/>
    </row>
    <row r="781" spans="1:11" ht="12.75">
      <c r="A781" s="168" t="e">
        <f t="shared" si="0"/>
        <v>#REF!</v>
      </c>
      <c r="B781" s="175"/>
      <c r="C781" s="176"/>
      <c r="D781" s="175"/>
      <c r="E781" s="169"/>
      <c r="F781" s="170"/>
      <c r="G781" s="170"/>
      <c r="H781" s="170"/>
      <c r="I781" s="171"/>
      <c r="J781" s="171"/>
      <c r="K781" s="171"/>
    </row>
    <row r="782" spans="1:11" ht="12.75">
      <c r="A782" s="168" t="e">
        <f t="shared" si="0"/>
        <v>#REF!</v>
      </c>
      <c r="B782" s="175"/>
      <c r="C782" s="176"/>
      <c r="D782" s="175"/>
      <c r="E782" s="169"/>
      <c r="F782" s="170"/>
      <c r="G782" s="170"/>
      <c r="H782" s="170"/>
      <c r="I782" s="171"/>
      <c r="J782" s="171"/>
      <c r="K782" s="171"/>
    </row>
    <row r="783" spans="1:11" ht="12.75">
      <c r="A783" s="168" t="e">
        <f t="shared" si="0"/>
        <v>#REF!</v>
      </c>
      <c r="B783" s="175"/>
      <c r="C783" s="176"/>
      <c r="D783" s="175"/>
      <c r="E783" s="169"/>
      <c r="F783" s="170"/>
      <c r="G783" s="170"/>
      <c r="H783" s="170"/>
      <c r="I783" s="171"/>
      <c r="J783" s="171"/>
      <c r="K783" s="171"/>
    </row>
    <row r="784" spans="1:11" ht="12.75">
      <c r="A784" s="168" t="e">
        <f t="shared" si="0"/>
        <v>#REF!</v>
      </c>
      <c r="B784" s="175"/>
      <c r="C784" s="176"/>
      <c r="D784" s="175"/>
      <c r="E784" s="169"/>
      <c r="F784" s="170"/>
      <c r="G784" s="170"/>
      <c r="H784" s="170"/>
      <c r="I784" s="171"/>
      <c r="J784" s="171"/>
      <c r="K784" s="171"/>
    </row>
    <row r="785" spans="1:11" ht="12.75">
      <c r="A785" s="168" t="e">
        <f t="shared" si="0"/>
        <v>#REF!</v>
      </c>
      <c r="B785" s="175"/>
      <c r="C785" s="176"/>
      <c r="D785" s="175"/>
      <c r="E785" s="169"/>
      <c r="F785" s="170"/>
      <c r="G785" s="170"/>
      <c r="H785" s="170"/>
      <c r="I785" s="171"/>
      <c r="J785" s="171"/>
      <c r="K785" s="171"/>
    </row>
    <row r="786" spans="1:11" ht="12.75">
      <c r="A786" s="168" t="e">
        <f t="shared" si="0"/>
        <v>#REF!</v>
      </c>
      <c r="B786" s="175"/>
      <c r="C786" s="176"/>
      <c r="D786" s="175"/>
      <c r="E786" s="169"/>
      <c r="F786" s="170"/>
      <c r="G786" s="170"/>
      <c r="H786" s="170"/>
      <c r="I786" s="171"/>
      <c r="J786" s="171"/>
      <c r="K786" s="171"/>
    </row>
    <row r="787" spans="1:11" ht="12.75">
      <c r="A787" s="168" t="e">
        <f t="shared" si="0"/>
        <v>#REF!</v>
      </c>
      <c r="B787" s="175"/>
      <c r="C787" s="176"/>
      <c r="D787" s="175"/>
      <c r="E787" s="169"/>
      <c r="F787" s="170"/>
      <c r="G787" s="170"/>
      <c r="H787" s="170"/>
      <c r="I787" s="171"/>
      <c r="J787" s="171"/>
      <c r="K787" s="171"/>
    </row>
    <row r="788" spans="1:11" ht="12.75">
      <c r="A788" s="168" t="e">
        <f t="shared" si="0"/>
        <v>#REF!</v>
      </c>
      <c r="B788" s="175"/>
      <c r="C788" s="176"/>
      <c r="D788" s="175"/>
      <c r="E788" s="169"/>
      <c r="F788" s="170"/>
      <c r="G788" s="170"/>
      <c r="H788" s="170"/>
      <c r="I788" s="171"/>
      <c r="J788" s="171"/>
      <c r="K788" s="171"/>
    </row>
    <row r="789" spans="1:11" ht="12.75">
      <c r="A789" s="168" t="e">
        <f t="shared" si="0"/>
        <v>#REF!</v>
      </c>
      <c r="B789" s="175"/>
      <c r="C789" s="176"/>
      <c r="D789" s="175"/>
      <c r="E789" s="169"/>
      <c r="F789" s="170"/>
      <c r="G789" s="170"/>
      <c r="H789" s="170"/>
      <c r="I789" s="171"/>
      <c r="J789" s="171"/>
      <c r="K789" s="171"/>
    </row>
    <row r="790" spans="1:11" ht="12.75">
      <c r="A790" s="168" t="e">
        <f t="shared" si="0"/>
        <v>#REF!</v>
      </c>
      <c r="B790" s="175"/>
      <c r="C790" s="176"/>
      <c r="D790" s="175"/>
      <c r="E790" s="169"/>
      <c r="F790" s="170"/>
      <c r="G790" s="170"/>
      <c r="H790" s="170"/>
      <c r="I790" s="171"/>
      <c r="J790" s="171"/>
      <c r="K790" s="171"/>
    </row>
    <row r="791" spans="1:11" ht="12.75">
      <c r="A791" s="168" t="e">
        <f t="shared" si="0"/>
        <v>#REF!</v>
      </c>
      <c r="B791" s="175"/>
      <c r="C791" s="176"/>
      <c r="D791" s="175"/>
      <c r="E791" s="169"/>
      <c r="F791" s="170"/>
      <c r="G791" s="170"/>
      <c r="H791" s="170"/>
      <c r="I791" s="171"/>
      <c r="J791" s="171"/>
      <c r="K791" s="171"/>
    </row>
    <row r="792" spans="1:11" ht="12.75">
      <c r="A792" s="168" t="e">
        <f t="shared" si="0"/>
        <v>#REF!</v>
      </c>
      <c r="B792" s="175"/>
      <c r="C792" s="176"/>
      <c r="D792" s="175"/>
      <c r="E792" s="169"/>
      <c r="F792" s="170"/>
      <c r="G792" s="170"/>
      <c r="H792" s="170"/>
      <c r="I792" s="171"/>
      <c r="J792" s="171"/>
      <c r="K792" s="171"/>
    </row>
    <row r="793" spans="1:11" ht="12.75">
      <c r="A793" s="168" t="e">
        <f t="shared" si="0"/>
        <v>#REF!</v>
      </c>
      <c r="B793" s="175"/>
      <c r="C793" s="176"/>
      <c r="D793" s="175"/>
      <c r="E793" s="169"/>
      <c r="F793" s="170"/>
      <c r="G793" s="170"/>
      <c r="H793" s="170"/>
      <c r="I793" s="171"/>
      <c r="J793" s="171"/>
      <c r="K793" s="171"/>
    </row>
    <row r="794" spans="1:11" ht="12.75">
      <c r="A794" s="168" t="e">
        <f t="shared" si="0"/>
        <v>#REF!</v>
      </c>
      <c r="B794" s="175"/>
      <c r="C794" s="176"/>
      <c r="D794" s="175"/>
      <c r="E794" s="169"/>
      <c r="F794" s="170"/>
      <c r="G794" s="170"/>
      <c r="H794" s="170"/>
      <c r="I794" s="171"/>
      <c r="J794" s="171"/>
      <c r="K794" s="171"/>
    </row>
    <row r="795" spans="1:11" ht="12.75">
      <c r="A795" s="168" t="e">
        <f t="shared" si="0"/>
        <v>#REF!</v>
      </c>
      <c r="B795" s="175"/>
      <c r="C795" s="176"/>
      <c r="D795" s="175"/>
      <c r="E795" s="169"/>
      <c r="F795" s="170"/>
      <c r="G795" s="170"/>
      <c r="H795" s="170"/>
      <c r="I795" s="171"/>
      <c r="J795" s="171"/>
      <c r="K795" s="171"/>
    </row>
    <row r="796" spans="1:11" ht="12.75">
      <c r="A796" s="168" t="e">
        <f t="shared" si="0"/>
        <v>#REF!</v>
      </c>
      <c r="B796" s="175"/>
      <c r="C796" s="176"/>
      <c r="D796" s="175"/>
      <c r="E796" s="169"/>
      <c r="F796" s="170"/>
      <c r="G796" s="170"/>
      <c r="H796" s="170"/>
      <c r="I796" s="171"/>
      <c r="J796" s="171"/>
      <c r="K796" s="171"/>
    </row>
    <row r="797" spans="1:11" ht="12.75">
      <c r="A797" s="168" t="e">
        <f t="shared" si="0"/>
        <v>#REF!</v>
      </c>
      <c r="B797" s="175"/>
      <c r="C797" s="176"/>
      <c r="D797" s="175"/>
      <c r="E797" s="169"/>
      <c r="F797" s="170"/>
      <c r="G797" s="170"/>
      <c r="H797" s="170"/>
      <c r="I797" s="171"/>
      <c r="J797" s="171"/>
      <c r="K797" s="171"/>
    </row>
    <row r="798" spans="1:11" ht="12.75">
      <c r="A798" s="168" t="e">
        <f t="shared" si="0"/>
        <v>#REF!</v>
      </c>
      <c r="B798" s="175"/>
      <c r="C798" s="176"/>
      <c r="D798" s="175"/>
      <c r="E798" s="169"/>
      <c r="F798" s="170"/>
      <c r="G798" s="170"/>
      <c r="H798" s="170"/>
      <c r="I798" s="171"/>
      <c r="J798" s="171"/>
      <c r="K798" s="171"/>
    </row>
    <row r="799" spans="1:11" ht="12.75">
      <c r="A799" s="168" t="e">
        <f t="shared" si="0"/>
        <v>#REF!</v>
      </c>
      <c r="B799" s="175"/>
      <c r="C799" s="176"/>
      <c r="D799" s="175"/>
      <c r="E799" s="169"/>
      <c r="F799" s="170"/>
      <c r="G799" s="170"/>
      <c r="H799" s="170"/>
      <c r="I799" s="171"/>
      <c r="J799" s="171"/>
      <c r="K799" s="171"/>
    </row>
    <row r="800" spans="1:11" ht="12.75">
      <c r="A800" s="168" t="e">
        <f t="shared" si="0"/>
        <v>#REF!</v>
      </c>
      <c r="B800" s="175"/>
      <c r="C800" s="176"/>
      <c r="D800" s="175"/>
      <c r="E800" s="169"/>
      <c r="F800" s="170"/>
      <c r="G800" s="170"/>
      <c r="H800" s="170"/>
      <c r="I800" s="171"/>
      <c r="J800" s="171"/>
      <c r="K800" s="171"/>
    </row>
    <row r="801" spans="1:11" ht="12.75">
      <c r="A801" s="168" t="e">
        <f t="shared" si="0"/>
        <v>#REF!</v>
      </c>
      <c r="B801" s="175"/>
      <c r="C801" s="176"/>
      <c r="D801" s="175"/>
      <c r="E801" s="169"/>
      <c r="F801" s="170"/>
      <c r="G801" s="170"/>
      <c r="H801" s="170"/>
      <c r="I801" s="171"/>
      <c r="J801" s="171"/>
      <c r="K801" s="171"/>
    </row>
    <row r="802" spans="1:11" ht="12.75">
      <c r="A802" s="168" t="e">
        <f t="shared" si="0"/>
        <v>#REF!</v>
      </c>
      <c r="B802" s="175"/>
      <c r="C802" s="176"/>
      <c r="D802" s="175"/>
      <c r="E802" s="169"/>
      <c r="F802" s="170"/>
      <c r="G802" s="170"/>
      <c r="H802" s="170"/>
      <c r="I802" s="171"/>
      <c r="J802" s="171"/>
      <c r="K802" s="171"/>
    </row>
    <row r="803" spans="1:11" ht="12.75">
      <c r="A803" s="168" t="e">
        <f t="shared" si="0"/>
        <v>#REF!</v>
      </c>
      <c r="B803" s="175"/>
      <c r="C803" s="176"/>
      <c r="D803" s="175"/>
      <c r="E803" s="169"/>
      <c r="F803" s="170"/>
      <c r="G803" s="170"/>
      <c r="H803" s="170"/>
      <c r="I803" s="171"/>
      <c r="J803" s="171"/>
      <c r="K803" s="171"/>
    </row>
    <row r="804" spans="1:11" ht="12.75">
      <c r="A804" s="168" t="e">
        <f t="shared" si="0"/>
        <v>#REF!</v>
      </c>
      <c r="B804" s="175"/>
      <c r="C804" s="176"/>
      <c r="D804" s="175"/>
      <c r="E804" s="169"/>
      <c r="F804" s="170"/>
      <c r="G804" s="170"/>
      <c r="H804" s="170"/>
      <c r="I804" s="171"/>
      <c r="J804" s="171"/>
      <c r="K804" s="171"/>
    </row>
    <row r="805" spans="1:11" ht="12.75">
      <c r="A805" s="168" t="e">
        <f t="shared" si="0"/>
        <v>#REF!</v>
      </c>
      <c r="B805" s="175"/>
      <c r="C805" s="176"/>
      <c r="D805" s="175"/>
      <c r="E805" s="169"/>
      <c r="F805" s="170"/>
      <c r="G805" s="170"/>
      <c r="H805" s="170"/>
      <c r="I805" s="171"/>
      <c r="J805" s="171"/>
      <c r="K805" s="171"/>
    </row>
    <row r="806" spans="1:11" ht="12.75">
      <c r="A806" s="168" t="e">
        <f t="shared" si="0"/>
        <v>#REF!</v>
      </c>
      <c r="B806" s="175"/>
      <c r="C806" s="176"/>
      <c r="D806" s="175"/>
      <c r="E806" s="169"/>
      <c r="F806" s="170"/>
      <c r="G806" s="170"/>
      <c r="H806" s="170"/>
      <c r="I806" s="171"/>
      <c r="J806" s="171"/>
      <c r="K806" s="171"/>
    </row>
    <row r="807" spans="1:11" ht="12.75">
      <c r="A807" s="168" t="e">
        <f t="shared" si="0"/>
        <v>#REF!</v>
      </c>
      <c r="B807" s="175"/>
      <c r="C807" s="176"/>
      <c r="D807" s="175"/>
      <c r="E807" s="169"/>
      <c r="F807" s="170"/>
      <c r="G807" s="170"/>
      <c r="H807" s="170"/>
      <c r="I807" s="171"/>
      <c r="J807" s="171"/>
      <c r="K807" s="171"/>
    </row>
    <row r="808" spans="1:11" ht="12.75">
      <c r="A808" s="168" t="e">
        <f t="shared" si="0"/>
        <v>#REF!</v>
      </c>
      <c r="B808" s="175"/>
      <c r="C808" s="176"/>
      <c r="D808" s="175"/>
      <c r="E808" s="169"/>
      <c r="F808" s="170"/>
      <c r="G808" s="170"/>
      <c r="H808" s="170"/>
      <c r="I808" s="171"/>
      <c r="J808" s="171"/>
      <c r="K808" s="171"/>
    </row>
    <row r="809" spans="1:11" ht="12.75">
      <c r="A809" s="168" t="e">
        <f t="shared" si="0"/>
        <v>#REF!</v>
      </c>
      <c r="B809" s="175"/>
      <c r="C809" s="176"/>
      <c r="D809" s="175"/>
      <c r="E809" s="169"/>
      <c r="F809" s="170"/>
      <c r="G809" s="170"/>
      <c r="H809" s="170"/>
      <c r="I809" s="171"/>
      <c r="J809" s="171"/>
      <c r="K809" s="171"/>
    </row>
    <row r="810" spans="1:11" ht="12.75">
      <c r="A810" s="168" t="e">
        <f t="shared" si="0"/>
        <v>#REF!</v>
      </c>
      <c r="B810" s="175"/>
      <c r="C810" s="176"/>
      <c r="D810" s="175"/>
      <c r="E810" s="169"/>
      <c r="F810" s="170"/>
      <c r="G810" s="170"/>
      <c r="H810" s="170"/>
      <c r="I810" s="171"/>
      <c r="J810" s="171"/>
      <c r="K810" s="171"/>
    </row>
    <row r="811" spans="1:11" ht="12.75">
      <c r="A811" s="168" t="e">
        <f t="shared" si="0"/>
        <v>#REF!</v>
      </c>
      <c r="B811" s="175"/>
      <c r="C811" s="176"/>
      <c r="D811" s="175"/>
      <c r="E811" s="169"/>
      <c r="F811" s="170"/>
      <c r="G811" s="170"/>
      <c r="H811" s="170"/>
      <c r="I811" s="171"/>
      <c r="J811" s="171"/>
      <c r="K811" s="171"/>
    </row>
    <row r="812" spans="1:11" ht="12.75">
      <c r="A812" s="168" t="e">
        <f t="shared" si="0"/>
        <v>#REF!</v>
      </c>
      <c r="B812" s="175"/>
      <c r="C812" s="176"/>
      <c r="D812" s="175"/>
      <c r="E812" s="169"/>
      <c r="F812" s="170"/>
      <c r="G812" s="170"/>
      <c r="H812" s="170"/>
      <c r="I812" s="171"/>
      <c r="J812" s="171"/>
      <c r="K812" s="171"/>
    </row>
    <row r="813" spans="1:11" ht="12.75">
      <c r="A813" s="168" t="e">
        <f t="shared" si="0"/>
        <v>#REF!</v>
      </c>
      <c r="B813" s="175"/>
      <c r="C813" s="176"/>
      <c r="D813" s="175"/>
      <c r="E813" s="169"/>
      <c r="F813" s="170"/>
      <c r="G813" s="170"/>
      <c r="H813" s="170"/>
      <c r="I813" s="171"/>
      <c r="J813" s="171"/>
      <c r="K813" s="171"/>
    </row>
    <row r="814" spans="1:11" ht="12.75">
      <c r="A814" s="168" t="e">
        <f t="shared" si="0"/>
        <v>#REF!</v>
      </c>
      <c r="B814" s="175"/>
      <c r="C814" s="176"/>
      <c r="D814" s="175"/>
      <c r="E814" s="169"/>
      <c r="F814" s="170"/>
      <c r="G814" s="170"/>
      <c r="H814" s="170"/>
      <c r="I814" s="171"/>
      <c r="J814" s="171"/>
      <c r="K814" s="171"/>
    </row>
    <row r="815" spans="1:11" ht="12.75">
      <c r="A815" s="168" t="e">
        <f t="shared" si="0"/>
        <v>#REF!</v>
      </c>
      <c r="B815" s="175"/>
      <c r="C815" s="176"/>
      <c r="D815" s="175"/>
      <c r="E815" s="169"/>
      <c r="F815" s="170"/>
      <c r="G815" s="170"/>
      <c r="H815" s="170"/>
      <c r="I815" s="171"/>
      <c r="J815" s="171"/>
      <c r="K815" s="171"/>
    </row>
    <row r="816" spans="1:11" ht="12.75">
      <c r="A816" s="168" t="e">
        <f t="shared" si="0"/>
        <v>#REF!</v>
      </c>
      <c r="B816" s="175"/>
      <c r="C816" s="176"/>
      <c r="D816" s="175"/>
      <c r="E816" s="169"/>
      <c r="F816" s="170"/>
      <c r="G816" s="170"/>
      <c r="H816" s="170"/>
      <c r="I816" s="171"/>
      <c r="J816" s="171"/>
      <c r="K816" s="171"/>
    </row>
    <row r="817" spans="1:11" ht="12.75">
      <c r="A817" s="168" t="e">
        <f t="shared" si="0"/>
        <v>#REF!</v>
      </c>
      <c r="B817" s="175"/>
      <c r="C817" s="176"/>
      <c r="D817" s="175"/>
      <c r="E817" s="169"/>
      <c r="F817" s="170"/>
      <c r="G817" s="170"/>
      <c r="H817" s="170"/>
      <c r="I817" s="171"/>
      <c r="J817" s="171"/>
      <c r="K817" s="171"/>
    </row>
    <row r="818" spans="1:11" ht="12.75">
      <c r="A818" s="168" t="e">
        <f t="shared" si="0"/>
        <v>#REF!</v>
      </c>
      <c r="B818" s="175"/>
      <c r="C818" s="176"/>
      <c r="D818" s="175"/>
      <c r="E818" s="169"/>
      <c r="F818" s="170"/>
      <c r="G818" s="170"/>
      <c r="H818" s="170"/>
      <c r="I818" s="171"/>
      <c r="J818" s="171"/>
      <c r="K818" s="171"/>
    </row>
    <row r="819" spans="1:11" ht="12.75">
      <c r="A819" s="168" t="e">
        <f t="shared" si="0"/>
        <v>#REF!</v>
      </c>
      <c r="B819" s="175"/>
      <c r="C819" s="176"/>
      <c r="D819" s="175"/>
      <c r="E819" s="169"/>
      <c r="F819" s="170"/>
      <c r="G819" s="170"/>
      <c r="H819" s="170"/>
      <c r="I819" s="171"/>
      <c r="J819" s="171"/>
      <c r="K819" s="171"/>
    </row>
    <row r="820" spans="1:11" ht="12.75">
      <c r="A820" s="168" t="e">
        <f t="shared" si="0"/>
        <v>#REF!</v>
      </c>
      <c r="B820" s="175"/>
      <c r="C820" s="176"/>
      <c r="D820" s="175"/>
      <c r="E820" s="169"/>
      <c r="F820" s="170"/>
      <c r="G820" s="170"/>
      <c r="H820" s="170"/>
      <c r="I820" s="171"/>
      <c r="J820" s="171"/>
      <c r="K820" s="171"/>
    </row>
    <row r="821" spans="1:11" ht="12.75">
      <c r="A821" s="168" t="e">
        <f t="shared" si="0"/>
        <v>#REF!</v>
      </c>
      <c r="B821" s="175"/>
      <c r="C821" s="176"/>
      <c r="D821" s="175"/>
      <c r="E821" s="169"/>
      <c r="F821" s="170"/>
      <c r="G821" s="170"/>
      <c r="H821" s="170"/>
      <c r="I821" s="171"/>
      <c r="J821" s="171"/>
      <c r="K821" s="171"/>
    </row>
    <row r="822" spans="1:11" ht="12.75">
      <c r="A822" s="168" t="e">
        <f t="shared" si="0"/>
        <v>#REF!</v>
      </c>
      <c r="B822" s="175"/>
      <c r="C822" s="176"/>
      <c r="D822" s="175"/>
      <c r="E822" s="169"/>
      <c r="F822" s="170"/>
      <c r="G822" s="170"/>
      <c r="H822" s="170"/>
      <c r="I822" s="171"/>
      <c r="J822" s="171"/>
      <c r="K822" s="171"/>
    </row>
    <row r="823" spans="1:11" ht="12.75">
      <c r="A823" s="168" t="e">
        <f t="shared" si="0"/>
        <v>#REF!</v>
      </c>
      <c r="B823" s="175"/>
      <c r="C823" s="176"/>
      <c r="D823" s="175"/>
      <c r="E823" s="169"/>
      <c r="F823" s="170"/>
      <c r="G823" s="170"/>
      <c r="H823" s="170"/>
      <c r="I823" s="171"/>
      <c r="J823" s="171"/>
      <c r="K823" s="171"/>
    </row>
    <row r="824" spans="1:11" ht="12.75">
      <c r="A824" s="168" t="e">
        <f t="shared" si="0"/>
        <v>#REF!</v>
      </c>
      <c r="B824" s="175"/>
      <c r="C824" s="176"/>
      <c r="D824" s="175"/>
      <c r="E824" s="169"/>
      <c r="F824" s="170"/>
      <c r="G824" s="170"/>
      <c r="H824" s="170"/>
      <c r="I824" s="171"/>
      <c r="J824" s="171"/>
      <c r="K824" s="171"/>
    </row>
    <row r="825" spans="1:11" ht="12.75">
      <c r="A825" s="168" t="e">
        <f t="shared" si="0"/>
        <v>#REF!</v>
      </c>
      <c r="B825" s="175"/>
      <c r="C825" s="176"/>
      <c r="D825" s="175"/>
      <c r="E825" s="169"/>
      <c r="F825" s="170"/>
      <c r="G825" s="170"/>
      <c r="H825" s="170"/>
      <c r="I825" s="171"/>
      <c r="J825" s="171"/>
      <c r="K825" s="171"/>
    </row>
    <row r="826" spans="1:11" ht="12.75">
      <c r="A826" s="168" t="e">
        <f t="shared" si="0"/>
        <v>#REF!</v>
      </c>
      <c r="B826" s="175"/>
      <c r="C826" s="176"/>
      <c r="D826" s="175"/>
      <c r="E826" s="169"/>
      <c r="F826" s="170"/>
      <c r="G826" s="170"/>
      <c r="H826" s="170"/>
      <c r="I826" s="171"/>
      <c r="J826" s="171"/>
      <c r="K826" s="171"/>
    </row>
    <row r="827" spans="1:11" ht="12.75">
      <c r="A827" s="168" t="e">
        <f t="shared" si="0"/>
        <v>#REF!</v>
      </c>
      <c r="B827" s="175"/>
      <c r="C827" s="176"/>
      <c r="D827" s="175"/>
      <c r="E827" s="169"/>
      <c r="F827" s="170"/>
      <c r="G827" s="170"/>
      <c r="H827" s="170"/>
      <c r="I827" s="171"/>
      <c r="J827" s="171"/>
      <c r="K827" s="171"/>
    </row>
    <row r="828" spans="1:11" ht="12.75">
      <c r="A828" s="168" t="e">
        <f t="shared" si="0"/>
        <v>#REF!</v>
      </c>
      <c r="B828" s="175"/>
      <c r="C828" s="176"/>
      <c r="D828" s="175"/>
      <c r="E828" s="169"/>
      <c r="F828" s="170"/>
      <c r="G828" s="170"/>
      <c r="H828" s="170"/>
      <c r="I828" s="171"/>
      <c r="J828" s="171"/>
      <c r="K828" s="171"/>
    </row>
    <row r="829" spans="1:11" ht="12.75">
      <c r="A829" s="168" t="e">
        <f t="shared" si="0"/>
        <v>#REF!</v>
      </c>
      <c r="B829" s="175"/>
      <c r="C829" s="176"/>
      <c r="D829" s="175"/>
      <c r="E829" s="169"/>
      <c r="F829" s="170"/>
      <c r="G829" s="170"/>
      <c r="H829" s="170"/>
      <c r="I829" s="171"/>
      <c r="J829" s="171"/>
      <c r="K829" s="171"/>
    </row>
    <row r="830" spans="1:11" ht="12.75">
      <c r="A830" s="168" t="e">
        <f t="shared" si="0"/>
        <v>#REF!</v>
      </c>
      <c r="B830" s="175"/>
      <c r="C830" s="176"/>
      <c r="D830" s="175"/>
      <c r="E830" s="169"/>
      <c r="F830" s="170"/>
      <c r="G830" s="170"/>
      <c r="H830" s="170"/>
      <c r="I830" s="171"/>
      <c r="J830" s="171"/>
      <c r="K830" s="171"/>
    </row>
    <row r="831" spans="1:11" ht="12.75">
      <c r="A831" s="168" t="e">
        <f t="shared" si="0"/>
        <v>#REF!</v>
      </c>
      <c r="B831" s="175"/>
      <c r="C831" s="176"/>
      <c r="D831" s="175"/>
      <c r="E831" s="169"/>
      <c r="F831" s="170"/>
      <c r="G831" s="170"/>
      <c r="H831" s="170"/>
      <c r="I831" s="171"/>
      <c r="J831" s="171"/>
      <c r="K831" s="171"/>
    </row>
    <row r="832" spans="1:11" ht="12.75">
      <c r="A832" s="168" t="e">
        <f t="shared" si="0"/>
        <v>#REF!</v>
      </c>
      <c r="B832" s="175"/>
      <c r="C832" s="176"/>
      <c r="D832" s="175"/>
      <c r="E832" s="169"/>
      <c r="F832" s="170"/>
      <c r="G832" s="170"/>
      <c r="H832" s="170"/>
      <c r="I832" s="171"/>
      <c r="J832" s="171"/>
      <c r="K832" s="171"/>
    </row>
    <row r="833" spans="1:11" ht="12.75">
      <c r="A833" s="168" t="e">
        <f t="shared" si="0"/>
        <v>#REF!</v>
      </c>
      <c r="B833" s="175"/>
      <c r="C833" s="176"/>
      <c r="D833" s="175"/>
      <c r="E833" s="169"/>
      <c r="F833" s="170"/>
      <c r="G833" s="170"/>
      <c r="H833" s="170"/>
      <c r="I833" s="171"/>
      <c r="J833" s="171"/>
      <c r="K833" s="171"/>
    </row>
    <row r="834" spans="1:11" ht="12.75">
      <c r="A834" s="168" t="e">
        <f t="shared" si="0"/>
        <v>#REF!</v>
      </c>
      <c r="B834" s="175"/>
      <c r="C834" s="176"/>
      <c r="D834" s="175"/>
      <c r="E834" s="169"/>
      <c r="F834" s="170"/>
      <c r="G834" s="170"/>
      <c r="H834" s="170"/>
      <c r="I834" s="171"/>
      <c r="J834" s="171"/>
      <c r="K834" s="171"/>
    </row>
    <row r="835" spans="1:11" ht="12.75">
      <c r="A835" s="168" t="e">
        <f t="shared" si="0"/>
        <v>#REF!</v>
      </c>
      <c r="B835" s="175"/>
      <c r="C835" s="176"/>
      <c r="D835" s="175"/>
      <c r="E835" s="169"/>
      <c r="F835" s="170"/>
      <c r="G835" s="170"/>
      <c r="H835" s="170"/>
      <c r="I835" s="171"/>
      <c r="J835" s="171"/>
      <c r="K835" s="171"/>
    </row>
    <row r="836" spans="1:11" ht="12.75">
      <c r="A836" s="168" t="e">
        <f t="shared" si="0"/>
        <v>#REF!</v>
      </c>
      <c r="B836" s="175"/>
      <c r="C836" s="176"/>
      <c r="D836" s="175"/>
      <c r="E836" s="169"/>
      <c r="F836" s="170"/>
      <c r="G836" s="170"/>
      <c r="H836" s="170"/>
      <c r="I836" s="171"/>
      <c r="J836" s="171"/>
      <c r="K836" s="171"/>
    </row>
    <row r="837" spans="1:11" ht="12.75">
      <c r="A837" s="168" t="e">
        <f t="shared" si="0"/>
        <v>#REF!</v>
      </c>
      <c r="B837" s="175"/>
      <c r="C837" s="176"/>
      <c r="D837" s="175"/>
      <c r="E837" s="169"/>
      <c r="F837" s="170"/>
      <c r="G837" s="170"/>
      <c r="H837" s="170"/>
      <c r="I837" s="171"/>
      <c r="J837" s="171"/>
      <c r="K837" s="171"/>
    </row>
    <row r="838" spans="1:11" ht="12.75">
      <c r="A838" s="168" t="e">
        <f t="shared" si="0"/>
        <v>#REF!</v>
      </c>
      <c r="B838" s="175"/>
      <c r="C838" s="176"/>
      <c r="D838" s="175"/>
      <c r="E838" s="169"/>
      <c r="F838" s="170"/>
      <c r="G838" s="170"/>
      <c r="H838" s="170"/>
      <c r="I838" s="171"/>
      <c r="J838" s="171"/>
      <c r="K838" s="171"/>
    </row>
    <row r="839" spans="1:11" ht="12.75">
      <c r="A839" s="168" t="e">
        <f t="shared" si="0"/>
        <v>#REF!</v>
      </c>
      <c r="B839" s="175"/>
      <c r="C839" s="176"/>
      <c r="D839" s="175"/>
      <c r="E839" s="169"/>
      <c r="F839" s="170"/>
      <c r="G839" s="170"/>
      <c r="H839" s="170"/>
      <c r="I839" s="171"/>
      <c r="J839" s="171"/>
      <c r="K839" s="171"/>
    </row>
    <row r="840" spans="1:11" ht="12.75">
      <c r="A840" s="168" t="e">
        <f t="shared" si="0"/>
        <v>#REF!</v>
      </c>
      <c r="B840" s="175"/>
      <c r="C840" s="176"/>
      <c r="D840" s="175"/>
      <c r="E840" s="169"/>
      <c r="F840" s="170"/>
      <c r="G840" s="170"/>
      <c r="H840" s="170"/>
      <c r="I840" s="171"/>
      <c r="J840" s="171"/>
      <c r="K840" s="171"/>
    </row>
    <row r="841" spans="1:11" ht="12.75">
      <c r="A841" s="168" t="e">
        <f t="shared" si="0"/>
        <v>#REF!</v>
      </c>
      <c r="B841" s="175"/>
      <c r="C841" s="176"/>
      <c r="D841" s="175"/>
      <c r="E841" s="169"/>
      <c r="F841" s="170"/>
      <c r="G841" s="170"/>
      <c r="H841" s="170"/>
      <c r="I841" s="171"/>
      <c r="J841" s="171"/>
      <c r="K841" s="171"/>
    </row>
    <row r="842" spans="1:11" ht="12.75">
      <c r="A842" s="168" t="e">
        <f t="shared" si="0"/>
        <v>#REF!</v>
      </c>
      <c r="B842" s="175"/>
      <c r="C842" s="176"/>
      <c r="D842" s="175"/>
      <c r="E842" s="169"/>
      <c r="F842" s="170"/>
      <c r="G842" s="170"/>
      <c r="H842" s="170"/>
      <c r="I842" s="171"/>
      <c r="J842" s="171"/>
      <c r="K842" s="171"/>
    </row>
    <row r="843" spans="1:11" ht="12.75">
      <c r="A843" s="168" t="e">
        <f t="shared" si="0"/>
        <v>#REF!</v>
      </c>
      <c r="B843" s="175"/>
      <c r="C843" s="176"/>
      <c r="D843" s="175"/>
      <c r="E843" s="169"/>
      <c r="F843" s="170"/>
      <c r="G843" s="170"/>
      <c r="H843" s="170"/>
      <c r="I843" s="171"/>
      <c r="J843" s="171"/>
      <c r="K843" s="171"/>
    </row>
    <row r="844" spans="1:11" ht="12.75">
      <c r="A844" s="168" t="e">
        <f t="shared" si="0"/>
        <v>#REF!</v>
      </c>
      <c r="B844" s="175"/>
      <c r="C844" s="176"/>
      <c r="D844" s="175"/>
      <c r="E844" s="169"/>
      <c r="F844" s="170"/>
      <c r="G844" s="170"/>
      <c r="H844" s="170"/>
      <c r="I844" s="171"/>
      <c r="J844" s="171"/>
      <c r="K844" s="171"/>
    </row>
    <row r="845" spans="1:11" ht="12.75">
      <c r="A845" s="168" t="e">
        <f t="shared" si="0"/>
        <v>#REF!</v>
      </c>
      <c r="B845" s="175"/>
      <c r="C845" s="176"/>
      <c r="D845" s="175"/>
      <c r="E845" s="169"/>
      <c r="F845" s="170"/>
      <c r="G845" s="170"/>
      <c r="H845" s="170"/>
      <c r="I845" s="171"/>
      <c r="J845" s="171"/>
      <c r="K845" s="171"/>
    </row>
    <row r="846" spans="1:11" ht="12.75">
      <c r="A846" s="168" t="e">
        <f t="shared" si="0"/>
        <v>#REF!</v>
      </c>
      <c r="B846" s="175"/>
      <c r="C846" s="176"/>
      <c r="D846" s="175"/>
      <c r="E846" s="169"/>
      <c r="F846" s="170"/>
      <c r="G846" s="170"/>
      <c r="H846" s="170"/>
      <c r="I846" s="171"/>
      <c r="J846" s="171"/>
      <c r="K846" s="171"/>
    </row>
    <row r="847" spans="1:11" ht="12.75">
      <c r="A847" s="168" t="e">
        <f t="shared" si="0"/>
        <v>#REF!</v>
      </c>
      <c r="B847" s="175"/>
      <c r="C847" s="176"/>
      <c r="D847" s="175"/>
      <c r="E847" s="169"/>
      <c r="F847" s="170"/>
      <c r="G847" s="170"/>
      <c r="H847" s="170"/>
      <c r="I847" s="171"/>
      <c r="J847" s="171"/>
      <c r="K847" s="171"/>
    </row>
    <row r="848" spans="1:11" ht="12.75">
      <c r="A848" s="168" t="e">
        <f t="shared" si="0"/>
        <v>#REF!</v>
      </c>
      <c r="B848" s="175"/>
      <c r="C848" s="176"/>
      <c r="D848" s="175"/>
      <c r="E848" s="169"/>
      <c r="F848" s="170"/>
      <c r="G848" s="170"/>
      <c r="H848" s="170"/>
      <c r="I848" s="171"/>
      <c r="J848" s="171"/>
      <c r="K848" s="171"/>
    </row>
    <row r="849" spans="1:11" ht="12.75">
      <c r="A849" s="168" t="e">
        <f t="shared" si="0"/>
        <v>#REF!</v>
      </c>
      <c r="B849" s="175"/>
      <c r="C849" s="176"/>
      <c r="D849" s="175"/>
      <c r="E849" s="169"/>
      <c r="F849" s="170"/>
      <c r="G849" s="170"/>
      <c r="H849" s="170"/>
      <c r="I849" s="171"/>
      <c r="J849" s="171"/>
      <c r="K849" s="171"/>
    </row>
    <row r="850" spans="1:11" ht="12.75">
      <c r="A850" s="168" t="e">
        <f t="shared" si="0"/>
        <v>#REF!</v>
      </c>
      <c r="B850" s="175"/>
      <c r="C850" s="176"/>
      <c r="D850" s="175"/>
      <c r="E850" s="169"/>
      <c r="F850" s="170"/>
      <c r="G850" s="170"/>
      <c r="H850" s="170"/>
      <c r="I850" s="171"/>
      <c r="J850" s="171"/>
      <c r="K850" s="171"/>
    </row>
    <row r="851" spans="1:11" ht="12.75">
      <c r="A851" s="168" t="e">
        <f t="shared" si="0"/>
        <v>#REF!</v>
      </c>
      <c r="B851" s="175"/>
      <c r="C851" s="176"/>
      <c r="D851" s="175"/>
      <c r="E851" s="169"/>
      <c r="F851" s="170"/>
      <c r="G851" s="170"/>
      <c r="H851" s="170"/>
      <c r="I851" s="171"/>
      <c r="J851" s="171"/>
      <c r="K851" s="171"/>
    </row>
    <row r="852" spans="1:11" ht="12.75">
      <c r="A852" s="168" t="e">
        <f t="shared" si="0"/>
        <v>#REF!</v>
      </c>
      <c r="B852" s="175"/>
      <c r="C852" s="176"/>
      <c r="D852" s="175"/>
      <c r="E852" s="169"/>
      <c r="F852" s="170"/>
      <c r="G852" s="170"/>
      <c r="H852" s="170"/>
      <c r="I852" s="171"/>
      <c r="J852" s="171"/>
      <c r="K852" s="171"/>
    </row>
    <row r="853" spans="1:11" ht="12.75">
      <c r="A853" s="168" t="e">
        <f t="shared" si="0"/>
        <v>#REF!</v>
      </c>
      <c r="B853" s="175"/>
      <c r="C853" s="176"/>
      <c r="D853" s="175"/>
      <c r="E853" s="169"/>
      <c r="F853" s="170"/>
      <c r="G853" s="170"/>
      <c r="H853" s="170"/>
      <c r="I853" s="171"/>
      <c r="J853" s="171"/>
      <c r="K853" s="171"/>
    </row>
    <row r="854" spans="1:11" ht="12.75">
      <c r="A854" s="168" t="e">
        <f t="shared" si="0"/>
        <v>#REF!</v>
      </c>
      <c r="B854" s="175"/>
      <c r="C854" s="176"/>
      <c r="D854" s="175"/>
      <c r="E854" s="169"/>
      <c r="F854" s="170"/>
      <c r="G854" s="170"/>
      <c r="H854" s="170"/>
      <c r="I854" s="171"/>
      <c r="J854" s="171"/>
      <c r="K854" s="171"/>
    </row>
    <row r="855" spans="1:11" ht="12.75">
      <c r="A855" s="168" t="e">
        <f t="shared" si="0"/>
        <v>#REF!</v>
      </c>
      <c r="B855" s="175"/>
      <c r="C855" s="176"/>
      <c r="D855" s="175"/>
      <c r="E855" s="169"/>
      <c r="F855" s="170"/>
      <c r="G855" s="170"/>
      <c r="H855" s="170"/>
      <c r="I855" s="171"/>
      <c r="J855" s="171"/>
      <c r="K855" s="171"/>
    </row>
    <row r="856" spans="1:11" ht="12.75">
      <c r="A856" s="168" t="e">
        <f t="shared" si="0"/>
        <v>#REF!</v>
      </c>
      <c r="B856" s="175"/>
      <c r="C856" s="176"/>
      <c r="D856" s="175"/>
      <c r="E856" s="169"/>
      <c r="F856" s="170"/>
      <c r="G856" s="170"/>
      <c r="H856" s="170"/>
      <c r="I856" s="171"/>
      <c r="J856" s="171"/>
      <c r="K856" s="171"/>
    </row>
    <row r="857" spans="1:11" ht="12.75">
      <c r="A857" s="168" t="e">
        <f t="shared" si="0"/>
        <v>#REF!</v>
      </c>
      <c r="B857" s="175"/>
      <c r="C857" s="176"/>
      <c r="D857" s="175"/>
      <c r="E857" s="169"/>
      <c r="F857" s="170"/>
      <c r="G857" s="170"/>
      <c r="H857" s="170"/>
      <c r="I857" s="171"/>
      <c r="J857" s="171"/>
      <c r="K857" s="171"/>
    </row>
    <row r="858" spans="1:11" ht="12.75">
      <c r="A858" s="168" t="e">
        <f t="shared" si="0"/>
        <v>#REF!</v>
      </c>
      <c r="B858" s="175"/>
      <c r="C858" s="176"/>
      <c r="D858" s="175"/>
      <c r="E858" s="169"/>
      <c r="F858" s="170"/>
      <c r="G858" s="170"/>
      <c r="H858" s="170"/>
      <c r="I858" s="171"/>
      <c r="J858" s="171"/>
      <c r="K858" s="171"/>
    </row>
    <row r="859" spans="1:11" ht="12.75">
      <c r="A859" s="168" t="e">
        <f t="shared" si="0"/>
        <v>#REF!</v>
      </c>
      <c r="B859" s="175"/>
      <c r="C859" s="176"/>
      <c r="D859" s="175"/>
      <c r="E859" s="169"/>
      <c r="F859" s="170"/>
      <c r="G859" s="170"/>
      <c r="H859" s="170"/>
      <c r="I859" s="171"/>
      <c r="J859" s="171"/>
      <c r="K859" s="171"/>
    </row>
    <row r="860" spans="1:11" ht="12.75">
      <c r="A860" s="168" t="e">
        <f t="shared" si="0"/>
        <v>#REF!</v>
      </c>
      <c r="B860" s="175"/>
      <c r="C860" s="176"/>
      <c r="D860" s="175"/>
      <c r="E860" s="169"/>
      <c r="F860" s="170"/>
      <c r="G860" s="170"/>
      <c r="H860" s="170"/>
      <c r="I860" s="171"/>
      <c r="J860" s="171"/>
      <c r="K860" s="171"/>
    </row>
    <row r="861" spans="1:11" ht="12.75">
      <c r="A861" s="168" t="e">
        <f t="shared" si="0"/>
        <v>#REF!</v>
      </c>
      <c r="B861" s="175"/>
      <c r="C861" s="176"/>
      <c r="D861" s="175"/>
      <c r="E861" s="169"/>
      <c r="F861" s="170"/>
      <c r="G861" s="170"/>
      <c r="H861" s="170"/>
      <c r="I861" s="171"/>
      <c r="J861" s="171"/>
      <c r="K861" s="171"/>
    </row>
    <row r="862" spans="1:11" ht="12.75">
      <c r="A862" s="168" t="e">
        <f t="shared" si="0"/>
        <v>#REF!</v>
      </c>
      <c r="B862" s="175"/>
      <c r="C862" s="176"/>
      <c r="D862" s="175"/>
      <c r="E862" s="169"/>
      <c r="F862" s="170"/>
      <c r="G862" s="170"/>
      <c r="H862" s="170"/>
      <c r="I862" s="171"/>
      <c r="J862" s="171"/>
      <c r="K862" s="171"/>
    </row>
    <row r="863" spans="1:11" ht="12.75">
      <c r="A863" s="168" t="e">
        <f t="shared" si="0"/>
        <v>#REF!</v>
      </c>
      <c r="B863" s="175"/>
      <c r="C863" s="176"/>
      <c r="D863" s="175"/>
      <c r="E863" s="169"/>
      <c r="F863" s="170"/>
      <c r="G863" s="170"/>
      <c r="H863" s="170"/>
      <c r="I863" s="171"/>
      <c r="J863" s="171"/>
      <c r="K863" s="171"/>
    </row>
    <row r="864" spans="1:11" ht="12.75">
      <c r="A864" s="168" t="e">
        <f t="shared" si="0"/>
        <v>#REF!</v>
      </c>
      <c r="B864" s="175"/>
      <c r="C864" s="176"/>
      <c r="D864" s="175"/>
      <c r="E864" s="169"/>
      <c r="F864" s="170"/>
      <c r="G864" s="170"/>
      <c r="H864" s="170"/>
      <c r="I864" s="171"/>
      <c r="J864" s="171"/>
      <c r="K864" s="171"/>
    </row>
    <row r="865" spans="1:11" ht="12.75">
      <c r="A865" s="168" t="e">
        <f t="shared" si="0"/>
        <v>#REF!</v>
      </c>
      <c r="B865" s="175"/>
      <c r="C865" s="176"/>
      <c r="D865" s="175"/>
      <c r="E865" s="169"/>
      <c r="F865" s="170"/>
      <c r="G865" s="170"/>
      <c r="H865" s="170"/>
      <c r="I865" s="171"/>
      <c r="J865" s="171"/>
      <c r="K865" s="171"/>
    </row>
    <row r="866" spans="1:11" ht="12.75">
      <c r="A866" s="168" t="e">
        <f t="shared" si="0"/>
        <v>#REF!</v>
      </c>
      <c r="B866" s="175"/>
      <c r="C866" s="176"/>
      <c r="D866" s="175"/>
      <c r="E866" s="169"/>
      <c r="F866" s="170"/>
      <c r="G866" s="170"/>
      <c r="H866" s="170"/>
      <c r="I866" s="171"/>
      <c r="J866" s="171"/>
      <c r="K866" s="171"/>
    </row>
    <row r="867" spans="1:11" ht="12.75">
      <c r="A867" s="168" t="e">
        <f t="shared" si="0"/>
        <v>#REF!</v>
      </c>
      <c r="B867" s="175"/>
      <c r="C867" s="176"/>
      <c r="D867" s="175"/>
      <c r="E867" s="169"/>
      <c r="F867" s="170"/>
      <c r="G867" s="170"/>
      <c r="H867" s="170"/>
      <c r="I867" s="171"/>
      <c r="J867" s="171"/>
      <c r="K867" s="171"/>
    </row>
    <row r="868" spans="1:11" ht="12.75">
      <c r="A868" s="168" t="e">
        <f t="shared" si="0"/>
        <v>#REF!</v>
      </c>
      <c r="B868" s="175"/>
      <c r="C868" s="176"/>
      <c r="D868" s="175"/>
      <c r="E868" s="169"/>
      <c r="F868" s="170"/>
      <c r="G868" s="170"/>
      <c r="H868" s="170"/>
      <c r="I868" s="171"/>
      <c r="J868" s="171"/>
      <c r="K868" s="171"/>
    </row>
    <row r="869" spans="1:11" ht="12.75">
      <c r="A869" s="168" t="e">
        <f t="shared" si="0"/>
        <v>#REF!</v>
      </c>
      <c r="B869" s="175"/>
      <c r="C869" s="176"/>
      <c r="D869" s="175"/>
      <c r="E869" s="169"/>
      <c r="F869" s="170"/>
      <c r="G869" s="170"/>
      <c r="H869" s="170"/>
      <c r="I869" s="171"/>
      <c r="J869" s="171"/>
      <c r="K869" s="171"/>
    </row>
    <row r="870" spans="1:11" ht="12.75">
      <c r="A870" s="168" t="e">
        <f t="shared" si="0"/>
        <v>#REF!</v>
      </c>
      <c r="B870" s="175"/>
      <c r="C870" s="176"/>
      <c r="D870" s="175"/>
      <c r="E870" s="169"/>
      <c r="F870" s="170"/>
      <c r="G870" s="170"/>
      <c r="H870" s="170"/>
      <c r="I870" s="171"/>
      <c r="J870" s="171"/>
      <c r="K870" s="171"/>
    </row>
    <row r="871" spans="1:11" ht="12.75">
      <c r="A871" s="168" t="e">
        <f t="shared" si="0"/>
        <v>#REF!</v>
      </c>
      <c r="B871" s="175"/>
      <c r="C871" s="176"/>
      <c r="D871" s="175"/>
      <c r="E871" s="169"/>
      <c r="F871" s="170"/>
      <c r="G871" s="170"/>
      <c r="H871" s="170"/>
      <c r="I871" s="171"/>
      <c r="J871" s="171"/>
      <c r="K871" s="171"/>
    </row>
    <row r="872" spans="1:11" ht="12.75">
      <c r="A872" s="168" t="e">
        <f t="shared" si="0"/>
        <v>#REF!</v>
      </c>
      <c r="B872" s="175"/>
      <c r="C872" s="176"/>
      <c r="D872" s="175"/>
      <c r="E872" s="169"/>
      <c r="F872" s="170"/>
      <c r="G872" s="170"/>
      <c r="H872" s="170"/>
      <c r="I872" s="171"/>
      <c r="J872" s="171"/>
      <c r="K872" s="171"/>
    </row>
    <row r="873" spans="1:11" ht="12.75">
      <c r="A873" s="168" t="e">
        <f t="shared" si="0"/>
        <v>#REF!</v>
      </c>
      <c r="B873" s="175"/>
      <c r="C873" s="176"/>
      <c r="D873" s="175"/>
      <c r="E873" s="169"/>
      <c r="F873" s="170"/>
      <c r="G873" s="170"/>
      <c r="H873" s="170"/>
      <c r="I873" s="171"/>
      <c r="J873" s="171"/>
      <c r="K873" s="171"/>
    </row>
    <row r="874" spans="1:11" ht="12.75">
      <c r="A874" s="168" t="e">
        <f t="shared" si="0"/>
        <v>#REF!</v>
      </c>
      <c r="B874" s="175"/>
      <c r="C874" s="176"/>
      <c r="D874" s="175"/>
      <c r="E874" s="169"/>
      <c r="F874" s="170"/>
      <c r="G874" s="170"/>
      <c r="H874" s="170"/>
      <c r="I874" s="171"/>
      <c r="J874" s="171"/>
      <c r="K874" s="171"/>
    </row>
    <row r="875" spans="1:11" ht="12.75">
      <c r="A875" s="168" t="e">
        <f t="shared" si="0"/>
        <v>#REF!</v>
      </c>
      <c r="B875" s="175"/>
      <c r="C875" s="176"/>
      <c r="D875" s="175"/>
      <c r="E875" s="169"/>
      <c r="F875" s="170"/>
      <c r="G875" s="170"/>
      <c r="H875" s="170"/>
      <c r="I875" s="171"/>
      <c r="J875" s="171"/>
      <c r="K875" s="171"/>
    </row>
    <row r="876" spans="1:11" ht="12.75">
      <c r="A876" s="168" t="e">
        <f t="shared" si="0"/>
        <v>#REF!</v>
      </c>
      <c r="B876" s="175"/>
      <c r="C876" s="176"/>
      <c r="D876" s="175"/>
      <c r="E876" s="169"/>
      <c r="F876" s="170"/>
      <c r="G876" s="170"/>
      <c r="H876" s="170"/>
      <c r="I876" s="171"/>
      <c r="J876" s="171"/>
      <c r="K876" s="171"/>
    </row>
    <row r="877" spans="1:11" ht="12.75">
      <c r="A877" s="168" t="e">
        <f t="shared" si="0"/>
        <v>#REF!</v>
      </c>
      <c r="B877" s="175"/>
      <c r="C877" s="176"/>
      <c r="D877" s="175"/>
      <c r="E877" s="169"/>
      <c r="F877" s="170"/>
      <c r="G877" s="170"/>
      <c r="H877" s="170"/>
      <c r="I877" s="171"/>
      <c r="J877" s="171"/>
      <c r="K877" s="171"/>
    </row>
    <row r="878" spans="1:11" ht="12.75">
      <c r="A878" s="168" t="e">
        <f t="shared" si="0"/>
        <v>#REF!</v>
      </c>
      <c r="B878" s="175"/>
      <c r="C878" s="176"/>
      <c r="D878" s="175"/>
      <c r="E878" s="169"/>
      <c r="F878" s="170"/>
      <c r="G878" s="170"/>
      <c r="H878" s="170"/>
      <c r="I878" s="171"/>
      <c r="J878" s="171"/>
      <c r="K878" s="171"/>
    </row>
    <row r="879" spans="1:11" ht="12.75">
      <c r="A879" s="168" t="e">
        <f t="shared" si="0"/>
        <v>#REF!</v>
      </c>
      <c r="B879" s="175"/>
      <c r="C879" s="176"/>
      <c r="D879" s="175"/>
      <c r="E879" s="169"/>
      <c r="F879" s="170"/>
      <c r="G879" s="170"/>
      <c r="H879" s="170"/>
      <c r="I879" s="171"/>
      <c r="J879" s="171"/>
      <c r="K879" s="171"/>
    </row>
    <row r="880" spans="1:11" ht="12.75">
      <c r="A880" s="168" t="e">
        <f t="shared" si="0"/>
        <v>#REF!</v>
      </c>
      <c r="B880" s="175"/>
      <c r="C880" s="176"/>
      <c r="D880" s="175"/>
      <c r="E880" s="169"/>
      <c r="F880" s="170"/>
      <c r="G880" s="170"/>
      <c r="H880" s="170"/>
      <c r="I880" s="171"/>
      <c r="J880" s="171"/>
      <c r="K880" s="171"/>
    </row>
    <row r="881" spans="1:11" ht="12.75">
      <c r="A881" s="168" t="e">
        <f t="shared" si="0"/>
        <v>#REF!</v>
      </c>
      <c r="B881" s="175"/>
      <c r="C881" s="176"/>
      <c r="D881" s="175"/>
      <c r="E881" s="169"/>
      <c r="F881" s="170"/>
      <c r="G881" s="170"/>
      <c r="H881" s="170"/>
      <c r="I881" s="171"/>
      <c r="J881" s="171"/>
      <c r="K881" s="171"/>
    </row>
    <row r="882" spans="1:11" ht="12.75">
      <c r="A882" s="168" t="e">
        <f t="shared" si="0"/>
        <v>#REF!</v>
      </c>
      <c r="B882" s="175"/>
      <c r="C882" s="176"/>
      <c r="D882" s="175"/>
      <c r="E882" s="169"/>
      <c r="F882" s="170"/>
      <c r="G882" s="170"/>
      <c r="H882" s="170"/>
      <c r="I882" s="171"/>
      <c r="J882" s="171"/>
      <c r="K882" s="171"/>
    </row>
    <row r="883" spans="1:11" ht="12.75">
      <c r="A883" s="168" t="e">
        <f t="shared" si="0"/>
        <v>#REF!</v>
      </c>
      <c r="B883" s="175"/>
      <c r="C883" s="176"/>
      <c r="D883" s="175"/>
      <c r="E883" s="169"/>
      <c r="F883" s="170"/>
      <c r="G883" s="170"/>
      <c r="H883" s="170"/>
      <c r="I883" s="171"/>
      <c r="J883" s="171"/>
      <c r="K883" s="171"/>
    </row>
    <row r="884" spans="1:11" ht="12.75">
      <c r="A884" s="168" t="e">
        <f t="shared" si="0"/>
        <v>#REF!</v>
      </c>
      <c r="B884" s="175"/>
      <c r="C884" s="176"/>
      <c r="D884" s="175"/>
      <c r="E884" s="169"/>
      <c r="F884" s="170"/>
      <c r="G884" s="170"/>
      <c r="H884" s="170"/>
      <c r="I884" s="171"/>
      <c r="J884" s="171"/>
      <c r="K884" s="171"/>
    </row>
    <row r="885" spans="1:11" ht="12.75">
      <c r="A885" s="168" t="e">
        <f t="shared" si="0"/>
        <v>#REF!</v>
      </c>
      <c r="B885" s="175"/>
      <c r="C885" s="176"/>
      <c r="D885" s="175"/>
      <c r="E885" s="169"/>
      <c r="F885" s="170"/>
      <c r="G885" s="170"/>
      <c r="H885" s="170"/>
      <c r="I885" s="171"/>
      <c r="J885" s="171"/>
      <c r="K885" s="171"/>
    </row>
    <row r="886" spans="1:11" ht="12.75">
      <c r="A886" s="168" t="e">
        <f t="shared" si="0"/>
        <v>#REF!</v>
      </c>
      <c r="B886" s="175"/>
      <c r="C886" s="176"/>
      <c r="D886" s="175"/>
      <c r="E886" s="169"/>
      <c r="F886" s="170"/>
      <c r="G886" s="170"/>
      <c r="H886" s="170"/>
      <c r="I886" s="171"/>
      <c r="J886" s="171"/>
      <c r="K886" s="171"/>
    </row>
    <row r="887" spans="1:11" ht="12.75">
      <c r="A887" s="168" t="e">
        <f t="shared" si="0"/>
        <v>#REF!</v>
      </c>
      <c r="B887" s="175"/>
      <c r="C887" s="176"/>
      <c r="D887" s="175"/>
      <c r="E887" s="169"/>
      <c r="F887" s="170"/>
      <c r="G887" s="170"/>
      <c r="H887" s="170"/>
      <c r="I887" s="171"/>
      <c r="J887" s="171"/>
      <c r="K887" s="171"/>
    </row>
    <row r="888" spans="1:11" ht="12.75">
      <c r="A888" s="168" t="e">
        <f t="shared" si="0"/>
        <v>#REF!</v>
      </c>
      <c r="B888" s="175"/>
      <c r="C888" s="176"/>
      <c r="D888" s="175"/>
      <c r="E888" s="169"/>
      <c r="F888" s="170"/>
      <c r="G888" s="170"/>
      <c r="H888" s="170"/>
      <c r="I888" s="171"/>
      <c r="J888" s="171"/>
      <c r="K888" s="171"/>
    </row>
    <row r="889" spans="1:11" ht="12.75">
      <c r="A889" s="168" t="e">
        <f t="shared" si="0"/>
        <v>#REF!</v>
      </c>
      <c r="B889" s="175"/>
      <c r="C889" s="176"/>
      <c r="D889" s="175"/>
      <c r="E889" s="169"/>
      <c r="F889" s="170"/>
      <c r="G889" s="170"/>
      <c r="H889" s="170"/>
      <c r="I889" s="171"/>
      <c r="J889" s="171"/>
      <c r="K889" s="171"/>
    </row>
    <row r="890" spans="1:11" ht="12.75">
      <c r="A890" s="168" t="e">
        <f t="shared" si="0"/>
        <v>#REF!</v>
      </c>
      <c r="B890" s="175"/>
      <c r="C890" s="176"/>
      <c r="D890" s="175"/>
      <c r="E890" s="169"/>
      <c r="F890" s="170"/>
      <c r="G890" s="170"/>
      <c r="H890" s="170"/>
      <c r="I890" s="171"/>
      <c r="J890" s="171"/>
      <c r="K890" s="171"/>
    </row>
    <row r="891" spans="1:11" ht="12.75">
      <c r="A891" s="168" t="e">
        <f t="shared" si="0"/>
        <v>#REF!</v>
      </c>
      <c r="B891" s="175"/>
      <c r="C891" s="176"/>
      <c r="D891" s="175"/>
      <c r="E891" s="169"/>
      <c r="F891" s="170"/>
      <c r="G891" s="170"/>
      <c r="H891" s="170"/>
      <c r="I891" s="171"/>
      <c r="J891" s="171"/>
      <c r="K891" s="171"/>
    </row>
    <row r="892" spans="1:11" ht="12.75">
      <c r="A892" s="168" t="e">
        <f t="shared" si="0"/>
        <v>#REF!</v>
      </c>
      <c r="B892" s="175"/>
      <c r="C892" s="176"/>
      <c r="D892" s="175"/>
      <c r="E892" s="169"/>
      <c r="F892" s="170"/>
      <c r="G892" s="170"/>
      <c r="H892" s="170"/>
      <c r="I892" s="171"/>
      <c r="J892" s="171"/>
      <c r="K892" s="171"/>
    </row>
    <row r="893" spans="1:11" ht="12.75">
      <c r="A893" s="168" t="e">
        <f t="shared" si="0"/>
        <v>#REF!</v>
      </c>
      <c r="B893" s="175"/>
      <c r="C893" s="176"/>
      <c r="D893" s="175"/>
      <c r="E893" s="169"/>
      <c r="F893" s="170"/>
      <c r="G893" s="170"/>
      <c r="H893" s="170"/>
      <c r="I893" s="171"/>
      <c r="J893" s="171"/>
      <c r="K893" s="171"/>
    </row>
    <row r="894" spans="1:11" ht="12.75">
      <c r="A894" s="168" t="e">
        <f t="shared" si="0"/>
        <v>#REF!</v>
      </c>
      <c r="B894" s="175"/>
      <c r="C894" s="176"/>
      <c r="D894" s="175"/>
      <c r="E894" s="169"/>
      <c r="F894" s="170"/>
      <c r="G894" s="170"/>
      <c r="H894" s="170"/>
      <c r="I894" s="171"/>
      <c r="J894" s="171"/>
      <c r="K894" s="171"/>
    </row>
    <row r="895" spans="1:11" ht="12.75">
      <c r="A895" s="168" t="e">
        <f t="shared" si="0"/>
        <v>#REF!</v>
      </c>
      <c r="B895" s="175"/>
      <c r="C895" s="176"/>
      <c r="D895" s="175"/>
      <c r="E895" s="169"/>
      <c r="F895" s="170"/>
      <c r="G895" s="170"/>
      <c r="H895" s="170"/>
      <c r="I895" s="171"/>
      <c r="J895" s="171"/>
      <c r="K895" s="171"/>
    </row>
    <row r="896" spans="1:11" ht="12.75">
      <c r="A896" s="168" t="e">
        <f t="shared" si="0"/>
        <v>#REF!</v>
      </c>
      <c r="B896" s="175"/>
      <c r="C896" s="176"/>
      <c r="D896" s="175"/>
      <c r="E896" s="169"/>
      <c r="F896" s="170"/>
      <c r="G896" s="170"/>
      <c r="H896" s="170"/>
      <c r="I896" s="171"/>
      <c r="J896" s="171"/>
      <c r="K896" s="171"/>
    </row>
    <row r="897" spans="1:11" ht="12.75">
      <c r="A897" s="168" t="e">
        <f t="shared" si="0"/>
        <v>#REF!</v>
      </c>
      <c r="B897" s="175"/>
      <c r="C897" s="176"/>
      <c r="D897" s="175"/>
      <c r="E897" s="169"/>
      <c r="F897" s="170"/>
      <c r="G897" s="170"/>
      <c r="H897" s="170"/>
      <c r="I897" s="171"/>
      <c r="J897" s="171"/>
      <c r="K897" s="171"/>
    </row>
    <row r="898" spans="1:11" ht="12.75">
      <c r="A898" s="168" t="e">
        <f t="shared" si="0"/>
        <v>#REF!</v>
      </c>
      <c r="B898" s="175"/>
      <c r="C898" s="176"/>
      <c r="D898" s="175"/>
      <c r="E898" s="169"/>
      <c r="F898" s="170"/>
      <c r="G898" s="170"/>
      <c r="H898" s="170"/>
      <c r="I898" s="171"/>
      <c r="J898" s="171"/>
      <c r="K898" s="171"/>
    </row>
    <row r="899" spans="1:11" ht="12.75">
      <c r="A899" s="168" t="e">
        <f t="shared" si="0"/>
        <v>#REF!</v>
      </c>
      <c r="B899" s="175"/>
      <c r="C899" s="176"/>
      <c r="D899" s="175"/>
      <c r="E899" s="169"/>
      <c r="F899" s="170"/>
      <c r="G899" s="170"/>
      <c r="H899" s="170"/>
      <c r="I899" s="171"/>
      <c r="J899" s="171"/>
      <c r="K899" s="171"/>
    </row>
    <row r="900" spans="1:11" ht="12.75">
      <c r="A900" s="168" t="e">
        <f t="shared" si="0"/>
        <v>#REF!</v>
      </c>
      <c r="B900" s="175"/>
      <c r="C900" s="176"/>
      <c r="D900" s="175"/>
      <c r="E900" s="169"/>
      <c r="F900" s="170"/>
      <c r="G900" s="170"/>
      <c r="H900" s="170"/>
      <c r="I900" s="171"/>
      <c r="J900" s="171"/>
      <c r="K900" s="171"/>
    </row>
    <row r="901" spans="1:11" ht="12.75">
      <c r="A901" s="168" t="e">
        <f t="shared" si="0"/>
        <v>#REF!</v>
      </c>
      <c r="B901" s="175"/>
      <c r="C901" s="176"/>
      <c r="D901" s="175"/>
      <c r="E901" s="169"/>
      <c r="F901" s="170"/>
      <c r="G901" s="170"/>
      <c r="H901" s="170"/>
      <c r="I901" s="171"/>
      <c r="J901" s="171"/>
      <c r="K901" s="171"/>
    </row>
    <row r="902" spans="1:11" ht="12.75">
      <c r="A902" s="168" t="e">
        <f t="shared" si="0"/>
        <v>#REF!</v>
      </c>
      <c r="B902" s="175"/>
      <c r="C902" s="176"/>
      <c r="D902" s="175"/>
      <c r="E902" s="169"/>
      <c r="F902" s="170"/>
      <c r="G902" s="170"/>
      <c r="H902" s="170"/>
      <c r="I902" s="171"/>
      <c r="J902" s="171"/>
      <c r="K902" s="171"/>
    </row>
    <row r="903" spans="1:11" ht="12.75">
      <c r="A903" s="168" t="e">
        <f t="shared" si="0"/>
        <v>#REF!</v>
      </c>
      <c r="B903" s="175"/>
      <c r="C903" s="176"/>
      <c r="D903" s="175"/>
      <c r="E903" s="169"/>
      <c r="F903" s="170"/>
      <c r="G903" s="170"/>
      <c r="H903" s="170"/>
      <c r="I903" s="171"/>
      <c r="J903" s="171"/>
      <c r="K903" s="171"/>
    </row>
    <row r="904" spans="1:11" ht="12.75">
      <c r="A904" s="168" t="e">
        <f t="shared" si="0"/>
        <v>#REF!</v>
      </c>
      <c r="B904" s="175"/>
      <c r="C904" s="176"/>
      <c r="D904" s="175"/>
      <c r="E904" s="169"/>
      <c r="F904" s="170"/>
      <c r="G904" s="170"/>
      <c r="H904" s="170"/>
      <c r="I904" s="171"/>
      <c r="J904" s="171"/>
      <c r="K904" s="171"/>
    </row>
    <row r="905" spans="1:11" ht="12.75">
      <c r="A905" s="168" t="e">
        <f t="shared" si="0"/>
        <v>#REF!</v>
      </c>
      <c r="B905" s="175"/>
      <c r="C905" s="176"/>
      <c r="D905" s="175"/>
      <c r="E905" s="169"/>
      <c r="F905" s="170"/>
      <c r="G905" s="170"/>
      <c r="H905" s="170"/>
      <c r="I905" s="171"/>
      <c r="J905" s="171"/>
      <c r="K905" s="171"/>
    </row>
    <row r="906" spans="1:11" ht="12.75">
      <c r="A906" s="168" t="e">
        <f t="shared" si="0"/>
        <v>#REF!</v>
      </c>
      <c r="B906" s="175"/>
      <c r="C906" s="176"/>
      <c r="D906" s="175"/>
      <c r="E906" s="169"/>
      <c r="F906" s="170"/>
      <c r="G906" s="170"/>
      <c r="H906" s="170"/>
      <c r="I906" s="171"/>
      <c r="J906" s="171"/>
      <c r="K906" s="171"/>
    </row>
    <row r="907" spans="1:11" ht="12.75">
      <c r="A907" s="168" t="e">
        <f t="shared" si="0"/>
        <v>#REF!</v>
      </c>
      <c r="B907" s="175"/>
      <c r="C907" s="176"/>
      <c r="D907" s="175"/>
      <c r="E907" s="169"/>
      <c r="F907" s="170"/>
      <c r="G907" s="170"/>
      <c r="H907" s="170"/>
      <c r="I907" s="171"/>
      <c r="J907" s="171"/>
      <c r="K907" s="171"/>
    </row>
    <row r="908" spans="1:11" ht="12.75">
      <c r="A908" s="168" t="e">
        <f t="shared" si="0"/>
        <v>#REF!</v>
      </c>
      <c r="B908" s="175"/>
      <c r="C908" s="176"/>
      <c r="D908" s="175"/>
      <c r="E908" s="169"/>
      <c r="F908" s="170"/>
      <c r="G908" s="170"/>
      <c r="H908" s="170"/>
      <c r="I908" s="171"/>
      <c r="J908" s="171"/>
      <c r="K908" s="171"/>
    </row>
    <row r="909" spans="1:11" ht="12.75">
      <c r="A909" s="168" t="e">
        <f t="shared" si="0"/>
        <v>#REF!</v>
      </c>
      <c r="B909" s="175"/>
      <c r="C909" s="176"/>
      <c r="D909" s="175"/>
      <c r="E909" s="169"/>
      <c r="F909" s="170"/>
      <c r="G909" s="170"/>
      <c r="H909" s="170"/>
      <c r="I909" s="171"/>
      <c r="J909" s="171"/>
      <c r="K909" s="171"/>
    </row>
    <row r="910" spans="1:11" ht="12.75">
      <c r="A910" s="168" t="e">
        <f t="shared" si="0"/>
        <v>#REF!</v>
      </c>
      <c r="B910" s="175"/>
      <c r="C910" s="176"/>
      <c r="D910" s="175"/>
      <c r="E910" s="169"/>
      <c r="F910" s="170"/>
      <c r="G910" s="170"/>
      <c r="H910" s="170"/>
      <c r="I910" s="171"/>
      <c r="J910" s="171"/>
      <c r="K910" s="171"/>
    </row>
    <row r="911" spans="1:11" ht="12.75">
      <c r="A911" s="168" t="e">
        <f t="shared" si="0"/>
        <v>#REF!</v>
      </c>
      <c r="B911" s="175"/>
      <c r="C911" s="176"/>
      <c r="D911" s="175"/>
      <c r="E911" s="169"/>
      <c r="F911" s="170"/>
      <c r="G911" s="170"/>
      <c r="H911" s="170"/>
      <c r="I911" s="171"/>
      <c r="J911" s="171"/>
      <c r="K911" s="171"/>
    </row>
    <row r="912" spans="1:11" ht="12.75">
      <c r="A912" s="168" t="e">
        <f t="shared" si="0"/>
        <v>#REF!</v>
      </c>
      <c r="B912" s="175"/>
      <c r="C912" s="176"/>
      <c r="D912" s="175"/>
      <c r="E912" s="169"/>
      <c r="F912" s="170"/>
      <c r="G912" s="170"/>
      <c r="H912" s="170"/>
      <c r="I912" s="171"/>
      <c r="J912" s="171"/>
      <c r="K912" s="171"/>
    </row>
    <row r="913" spans="1:11" ht="12.75">
      <c r="A913" s="168" t="e">
        <f t="shared" si="0"/>
        <v>#REF!</v>
      </c>
      <c r="B913" s="175"/>
      <c r="C913" s="176"/>
      <c r="D913" s="175"/>
      <c r="E913" s="169"/>
      <c r="F913" s="170"/>
      <c r="G913" s="170"/>
      <c r="H913" s="170"/>
      <c r="I913" s="171"/>
      <c r="J913" s="171"/>
      <c r="K913" s="171"/>
    </row>
    <row r="914" spans="1:11" ht="12.75">
      <c r="A914" s="168" t="e">
        <f t="shared" si="0"/>
        <v>#REF!</v>
      </c>
      <c r="B914" s="175"/>
      <c r="C914" s="176"/>
      <c r="D914" s="175"/>
      <c r="E914" s="169"/>
      <c r="F914" s="170"/>
      <c r="G914" s="170"/>
      <c r="H914" s="170"/>
      <c r="I914" s="171"/>
      <c r="J914" s="171"/>
      <c r="K914" s="171"/>
    </row>
    <row r="915" spans="1:11" ht="12.75">
      <c r="A915" s="168" t="e">
        <f t="shared" si="0"/>
        <v>#REF!</v>
      </c>
      <c r="B915" s="175"/>
      <c r="C915" s="176"/>
      <c r="D915" s="175"/>
      <c r="E915" s="169"/>
      <c r="F915" s="170"/>
      <c r="G915" s="170"/>
      <c r="H915" s="170"/>
      <c r="I915" s="171"/>
      <c r="J915" s="171"/>
      <c r="K915" s="171"/>
    </row>
    <row r="916" spans="1:11" ht="12.75">
      <c r="A916" s="168" t="e">
        <f t="shared" si="0"/>
        <v>#REF!</v>
      </c>
      <c r="B916" s="175"/>
      <c r="C916" s="176"/>
      <c r="D916" s="175"/>
      <c r="E916" s="169"/>
      <c r="F916" s="170"/>
      <c r="G916" s="170"/>
      <c r="H916" s="170"/>
      <c r="I916" s="171"/>
      <c r="J916" s="171"/>
      <c r="K916" s="171"/>
    </row>
    <row r="917" spans="1:11" ht="12.75">
      <c r="A917" s="168" t="e">
        <f t="shared" si="0"/>
        <v>#REF!</v>
      </c>
      <c r="B917" s="175"/>
      <c r="C917" s="176"/>
      <c r="D917" s="175"/>
      <c r="E917" s="169"/>
      <c r="F917" s="170"/>
      <c r="G917" s="170"/>
      <c r="H917" s="170"/>
      <c r="I917" s="171"/>
      <c r="J917" s="171"/>
      <c r="K917" s="171"/>
    </row>
    <row r="918" spans="1:11" ht="12.75">
      <c r="A918" s="168" t="e">
        <f t="shared" si="0"/>
        <v>#REF!</v>
      </c>
      <c r="B918" s="175"/>
      <c r="C918" s="176"/>
      <c r="D918" s="175"/>
      <c r="E918" s="169"/>
      <c r="F918" s="170"/>
      <c r="G918" s="170"/>
      <c r="H918" s="170"/>
      <c r="I918" s="171"/>
      <c r="J918" s="171"/>
      <c r="K918" s="171"/>
    </row>
    <row r="919" spans="1:11" ht="12.75">
      <c r="A919" s="168" t="e">
        <f t="shared" si="0"/>
        <v>#REF!</v>
      </c>
      <c r="B919" s="175"/>
      <c r="C919" s="176"/>
      <c r="D919" s="175"/>
      <c r="E919" s="169"/>
      <c r="F919" s="170"/>
      <c r="G919" s="170"/>
      <c r="H919" s="170"/>
      <c r="I919" s="171"/>
      <c r="J919" s="171"/>
      <c r="K919" s="171"/>
    </row>
    <row r="920" spans="1:11" ht="12.75">
      <c r="A920" s="168" t="e">
        <f t="shared" si="0"/>
        <v>#REF!</v>
      </c>
      <c r="B920" s="175"/>
      <c r="C920" s="176"/>
      <c r="D920" s="175"/>
      <c r="E920" s="169"/>
      <c r="F920" s="170"/>
      <c r="G920" s="170"/>
      <c r="H920" s="170"/>
      <c r="I920" s="171"/>
      <c r="J920" s="171"/>
      <c r="K920" s="171"/>
    </row>
    <row r="921" spans="1:11" ht="12.75">
      <c r="A921" s="168" t="e">
        <f t="shared" si="0"/>
        <v>#REF!</v>
      </c>
      <c r="B921" s="175"/>
      <c r="C921" s="176"/>
      <c r="D921" s="175"/>
      <c r="E921" s="169"/>
      <c r="F921" s="170"/>
      <c r="G921" s="170"/>
      <c r="H921" s="170"/>
      <c r="I921" s="171"/>
      <c r="J921" s="171"/>
      <c r="K921" s="171"/>
    </row>
    <row r="922" spans="1:11" ht="12.75">
      <c r="A922" s="168" t="e">
        <f t="shared" si="0"/>
        <v>#REF!</v>
      </c>
      <c r="B922" s="175"/>
      <c r="C922" s="176"/>
      <c r="D922" s="175"/>
      <c r="E922" s="169"/>
      <c r="F922" s="170"/>
      <c r="G922" s="170"/>
      <c r="H922" s="170"/>
      <c r="I922" s="171"/>
      <c r="J922" s="171"/>
      <c r="K922" s="171"/>
    </row>
    <row r="923" spans="1:11" ht="12.75">
      <c r="A923" s="168" t="e">
        <f t="shared" si="0"/>
        <v>#REF!</v>
      </c>
      <c r="B923" s="175"/>
      <c r="C923" s="176"/>
      <c r="D923" s="175"/>
      <c r="E923" s="169"/>
      <c r="F923" s="170"/>
      <c r="G923" s="170"/>
      <c r="H923" s="170"/>
      <c r="I923" s="171"/>
      <c r="J923" s="171"/>
      <c r="K923" s="171"/>
    </row>
    <row r="924" spans="1:11" ht="12.75">
      <c r="A924" s="168" t="e">
        <f t="shared" si="0"/>
        <v>#REF!</v>
      </c>
      <c r="B924" s="175"/>
      <c r="C924" s="176"/>
      <c r="D924" s="175"/>
      <c r="E924" s="169"/>
      <c r="F924" s="170"/>
      <c r="G924" s="170"/>
      <c r="H924" s="170"/>
      <c r="I924" s="171"/>
      <c r="J924" s="171"/>
      <c r="K924" s="171"/>
    </row>
    <row r="925" spans="1:11" ht="12.75">
      <c r="A925" s="168" t="e">
        <f t="shared" si="0"/>
        <v>#REF!</v>
      </c>
      <c r="B925" s="175"/>
      <c r="C925" s="176"/>
      <c r="D925" s="175"/>
      <c r="E925" s="169"/>
      <c r="F925" s="170"/>
      <c r="G925" s="170"/>
      <c r="H925" s="170"/>
      <c r="I925" s="171"/>
      <c r="J925" s="171"/>
      <c r="K925" s="171"/>
    </row>
    <row r="926" spans="1:11" ht="12.75">
      <c r="A926" s="168" t="e">
        <f t="shared" si="0"/>
        <v>#REF!</v>
      </c>
      <c r="B926" s="175"/>
      <c r="C926" s="176"/>
      <c r="D926" s="175"/>
      <c r="E926" s="169"/>
      <c r="F926" s="170"/>
      <c r="G926" s="170"/>
      <c r="H926" s="170"/>
      <c r="I926" s="171"/>
      <c r="J926" s="171"/>
      <c r="K926" s="171"/>
    </row>
    <row r="927" spans="1:11" ht="12.75">
      <c r="A927" s="168" t="e">
        <f t="shared" si="0"/>
        <v>#REF!</v>
      </c>
      <c r="B927" s="175"/>
      <c r="C927" s="176"/>
      <c r="D927" s="175"/>
      <c r="E927" s="169"/>
      <c r="F927" s="170"/>
      <c r="G927" s="170"/>
      <c r="H927" s="170"/>
      <c r="I927" s="171"/>
      <c r="J927" s="171"/>
      <c r="K927" s="171"/>
    </row>
    <row r="928" spans="1:11" ht="12.75">
      <c r="A928" s="168" t="e">
        <f t="shared" si="0"/>
        <v>#REF!</v>
      </c>
      <c r="B928" s="175"/>
      <c r="C928" s="176"/>
      <c r="D928" s="175"/>
      <c r="E928" s="169"/>
      <c r="F928" s="170"/>
      <c r="G928" s="170"/>
      <c r="H928" s="170"/>
      <c r="I928" s="171"/>
      <c r="J928" s="171"/>
      <c r="K928" s="171"/>
    </row>
    <row r="929" spans="1:11" ht="12.75">
      <c r="A929" s="168" t="e">
        <f t="shared" si="0"/>
        <v>#REF!</v>
      </c>
      <c r="B929" s="175"/>
      <c r="C929" s="176"/>
      <c r="D929" s="175"/>
      <c r="E929" s="169"/>
      <c r="F929" s="170"/>
      <c r="G929" s="170"/>
      <c r="H929" s="170"/>
      <c r="I929" s="171"/>
      <c r="J929" s="171"/>
      <c r="K929" s="171"/>
    </row>
    <row r="930" spans="1:11" ht="12.75">
      <c r="A930" s="168" t="e">
        <f t="shared" si="0"/>
        <v>#REF!</v>
      </c>
      <c r="B930" s="175"/>
      <c r="C930" s="176"/>
      <c r="D930" s="175"/>
      <c r="E930" s="169"/>
      <c r="F930" s="170"/>
      <c r="G930" s="170"/>
      <c r="H930" s="170"/>
      <c r="I930" s="171"/>
      <c r="J930" s="171"/>
      <c r="K930" s="171"/>
    </row>
    <row r="931" spans="1:11" ht="12.75">
      <c r="A931" s="168" t="e">
        <f t="shared" si="0"/>
        <v>#REF!</v>
      </c>
      <c r="B931" s="175"/>
      <c r="C931" s="176"/>
      <c r="D931" s="175"/>
      <c r="E931" s="169"/>
      <c r="F931" s="170"/>
      <c r="G931" s="170"/>
      <c r="H931" s="170"/>
      <c r="I931" s="171"/>
      <c r="J931" s="171"/>
      <c r="K931" s="171"/>
    </row>
    <row r="932" spans="1:11" ht="12.75">
      <c r="A932" s="168" t="e">
        <f t="shared" si="0"/>
        <v>#REF!</v>
      </c>
      <c r="B932" s="175"/>
      <c r="C932" s="176"/>
      <c r="D932" s="175"/>
      <c r="E932" s="169"/>
      <c r="F932" s="170"/>
      <c r="G932" s="170"/>
      <c r="H932" s="170"/>
      <c r="I932" s="171"/>
      <c r="J932" s="171"/>
      <c r="K932" s="171"/>
    </row>
    <row r="933" spans="1:11" ht="12.75">
      <c r="A933" s="168" t="e">
        <f t="shared" si="0"/>
        <v>#REF!</v>
      </c>
      <c r="B933" s="175"/>
      <c r="C933" s="176"/>
      <c r="D933" s="175"/>
      <c r="E933" s="169"/>
      <c r="F933" s="170"/>
      <c r="G933" s="170"/>
      <c r="H933" s="170"/>
      <c r="I933" s="171"/>
      <c r="J933" s="171"/>
      <c r="K933" s="171"/>
    </row>
    <row r="934" spans="1:11" ht="12.75">
      <c r="A934" s="168" t="e">
        <f t="shared" si="0"/>
        <v>#REF!</v>
      </c>
      <c r="B934" s="175"/>
      <c r="C934" s="176"/>
      <c r="D934" s="175"/>
      <c r="E934" s="169"/>
      <c r="F934" s="170"/>
      <c r="G934" s="170"/>
      <c r="H934" s="170"/>
      <c r="I934" s="171"/>
      <c r="J934" s="171"/>
      <c r="K934" s="171"/>
    </row>
    <row r="935" spans="1:11" ht="12.75">
      <c r="A935" s="168" t="e">
        <f t="shared" si="0"/>
        <v>#REF!</v>
      </c>
      <c r="B935" s="175"/>
      <c r="C935" s="176"/>
      <c r="D935" s="175"/>
      <c r="E935" s="169"/>
      <c r="F935" s="170"/>
      <c r="G935" s="170"/>
      <c r="H935" s="170"/>
      <c r="I935" s="171"/>
      <c r="J935" s="171"/>
      <c r="K935" s="171"/>
    </row>
    <row r="936" spans="1:11" ht="12.75">
      <c r="A936" s="168" t="e">
        <f t="shared" si="0"/>
        <v>#REF!</v>
      </c>
      <c r="B936" s="175"/>
      <c r="C936" s="176"/>
      <c r="D936" s="175"/>
      <c r="E936" s="169"/>
      <c r="F936" s="170"/>
      <c r="G936" s="170"/>
      <c r="H936" s="170"/>
      <c r="I936" s="171"/>
      <c r="J936" s="171"/>
      <c r="K936" s="171"/>
    </row>
    <row r="937" spans="1:11" ht="12.75">
      <c r="A937" s="168" t="e">
        <f t="shared" si="0"/>
        <v>#REF!</v>
      </c>
      <c r="B937" s="175"/>
      <c r="C937" s="176"/>
      <c r="D937" s="175"/>
      <c r="E937" s="169"/>
      <c r="F937" s="170"/>
      <c r="G937" s="170"/>
      <c r="H937" s="170"/>
      <c r="I937" s="171"/>
      <c r="J937" s="171"/>
      <c r="K937" s="171"/>
    </row>
    <row r="938" spans="1:11" ht="12.75">
      <c r="A938" s="168" t="e">
        <f t="shared" si="0"/>
        <v>#REF!</v>
      </c>
      <c r="B938" s="175"/>
      <c r="C938" s="176"/>
      <c r="D938" s="175"/>
      <c r="E938" s="169"/>
      <c r="F938" s="170"/>
      <c r="G938" s="170"/>
      <c r="H938" s="170"/>
      <c r="I938" s="171"/>
      <c r="J938" s="171"/>
      <c r="K938" s="171"/>
    </row>
    <row r="939" spans="1:11" ht="12.75">
      <c r="A939" s="168" t="e">
        <f t="shared" si="0"/>
        <v>#REF!</v>
      </c>
      <c r="B939" s="175"/>
      <c r="C939" s="176"/>
      <c r="D939" s="175"/>
      <c r="E939" s="169"/>
      <c r="F939" s="170"/>
      <c r="G939" s="170"/>
      <c r="H939" s="170"/>
      <c r="I939" s="171"/>
      <c r="J939" s="171"/>
      <c r="K939" s="171"/>
    </row>
    <row r="940" spans="1:11" ht="12.75">
      <c r="A940" s="168" t="e">
        <f t="shared" si="0"/>
        <v>#REF!</v>
      </c>
      <c r="B940" s="175"/>
      <c r="C940" s="176"/>
      <c r="D940" s="175"/>
      <c r="E940" s="169"/>
      <c r="F940" s="170"/>
      <c r="G940" s="170"/>
      <c r="H940" s="170"/>
      <c r="I940" s="171"/>
      <c r="J940" s="171"/>
      <c r="K940" s="171"/>
    </row>
    <row r="941" spans="1:11" ht="12.75">
      <c r="A941" s="168" t="e">
        <f t="shared" si="0"/>
        <v>#REF!</v>
      </c>
      <c r="B941" s="175"/>
      <c r="C941" s="176"/>
      <c r="D941" s="175"/>
      <c r="E941" s="169"/>
      <c r="F941" s="170"/>
      <c r="G941" s="170"/>
      <c r="H941" s="170"/>
      <c r="I941" s="171"/>
      <c r="J941" s="171"/>
      <c r="K941" s="171"/>
    </row>
    <row r="942" spans="1:11" ht="12.75">
      <c r="A942" s="168" t="e">
        <f t="shared" si="0"/>
        <v>#REF!</v>
      </c>
      <c r="B942" s="175"/>
      <c r="C942" s="176"/>
      <c r="D942" s="175"/>
      <c r="E942" s="169"/>
      <c r="F942" s="170"/>
      <c r="G942" s="170"/>
      <c r="H942" s="170"/>
      <c r="I942" s="171"/>
      <c r="J942" s="171"/>
      <c r="K942" s="171"/>
    </row>
    <row r="943" spans="1:11" ht="12.75">
      <c r="A943" s="168" t="e">
        <f t="shared" si="0"/>
        <v>#REF!</v>
      </c>
      <c r="B943" s="175"/>
      <c r="C943" s="176"/>
      <c r="D943" s="175"/>
      <c r="E943" s="169"/>
      <c r="F943" s="170"/>
      <c r="G943" s="170"/>
      <c r="H943" s="170"/>
      <c r="I943" s="171"/>
      <c r="J943" s="171"/>
      <c r="K943" s="171"/>
    </row>
    <row r="944" spans="1:11" ht="12.75">
      <c r="A944" s="168" t="e">
        <f t="shared" si="0"/>
        <v>#REF!</v>
      </c>
      <c r="B944" s="175"/>
      <c r="C944" s="176"/>
      <c r="D944" s="175"/>
      <c r="E944" s="169"/>
      <c r="F944" s="170"/>
      <c r="G944" s="170"/>
      <c r="H944" s="170"/>
      <c r="I944" s="171"/>
      <c r="J944" s="171"/>
      <c r="K944" s="171"/>
    </row>
    <row r="945" spans="1:11" ht="12.75">
      <c r="A945" s="168" t="e">
        <f t="shared" si="0"/>
        <v>#REF!</v>
      </c>
      <c r="B945" s="175"/>
      <c r="C945" s="176"/>
      <c r="D945" s="175"/>
      <c r="E945" s="169"/>
      <c r="F945" s="170"/>
      <c r="G945" s="170"/>
      <c r="H945" s="170"/>
      <c r="I945" s="171"/>
      <c r="J945" s="171"/>
      <c r="K945" s="171"/>
    </row>
    <row r="946" spans="1:11" ht="12.75">
      <c r="A946" s="168" t="e">
        <f t="shared" si="0"/>
        <v>#REF!</v>
      </c>
      <c r="B946" s="175"/>
      <c r="C946" s="176"/>
      <c r="D946" s="175"/>
      <c r="E946" s="169"/>
      <c r="F946" s="170"/>
      <c r="G946" s="170"/>
      <c r="H946" s="170"/>
      <c r="I946" s="171"/>
      <c r="J946" s="171"/>
      <c r="K946" s="171"/>
    </row>
    <row r="947" spans="1:11" ht="12.75">
      <c r="A947" s="168" t="e">
        <f t="shared" si="0"/>
        <v>#REF!</v>
      </c>
      <c r="B947" s="175"/>
      <c r="C947" s="176"/>
      <c r="D947" s="175"/>
      <c r="E947" s="169"/>
      <c r="F947" s="170"/>
      <c r="G947" s="170"/>
      <c r="H947" s="170"/>
      <c r="I947" s="171"/>
      <c r="J947" s="171"/>
      <c r="K947" s="171"/>
    </row>
    <row r="948" spans="1:11" ht="12.75">
      <c r="A948" s="168" t="e">
        <f t="shared" si="0"/>
        <v>#REF!</v>
      </c>
      <c r="B948" s="175"/>
      <c r="C948" s="176"/>
      <c r="D948" s="175"/>
      <c r="E948" s="169"/>
      <c r="F948" s="170"/>
      <c r="G948" s="170"/>
      <c r="H948" s="170"/>
      <c r="I948" s="171"/>
      <c r="J948" s="171"/>
      <c r="K948" s="171"/>
    </row>
    <row r="949" spans="1:11" ht="12.75">
      <c r="A949" s="168" t="e">
        <f t="shared" si="0"/>
        <v>#REF!</v>
      </c>
      <c r="B949" s="175"/>
      <c r="C949" s="176"/>
      <c r="D949" s="175"/>
      <c r="E949" s="169"/>
      <c r="F949" s="170"/>
      <c r="G949" s="170"/>
      <c r="H949" s="170"/>
      <c r="I949" s="171"/>
      <c r="J949" s="171"/>
      <c r="K949" s="171"/>
    </row>
    <row r="950" spans="1:11" ht="12.75">
      <c r="A950" s="168" t="e">
        <f t="shared" si="0"/>
        <v>#REF!</v>
      </c>
      <c r="B950" s="175"/>
      <c r="C950" s="176"/>
      <c r="D950" s="175"/>
      <c r="E950" s="169"/>
      <c r="F950" s="170"/>
      <c r="G950" s="170"/>
      <c r="H950" s="170"/>
      <c r="I950" s="171"/>
      <c r="J950" s="171"/>
      <c r="K950" s="171"/>
    </row>
    <row r="951" spans="1:11" ht="12.75">
      <c r="A951" s="168" t="e">
        <f t="shared" si="0"/>
        <v>#REF!</v>
      </c>
      <c r="B951" s="175"/>
      <c r="C951" s="176"/>
      <c r="D951" s="175"/>
      <c r="E951" s="169"/>
      <c r="F951" s="170"/>
      <c r="G951" s="170"/>
      <c r="H951" s="170"/>
      <c r="I951" s="171"/>
      <c r="J951" s="171"/>
      <c r="K951" s="171"/>
    </row>
    <row r="952" spans="1:11" ht="12.75">
      <c r="A952" s="168" t="e">
        <f t="shared" si="0"/>
        <v>#REF!</v>
      </c>
      <c r="B952" s="175"/>
      <c r="C952" s="176"/>
      <c r="D952" s="175"/>
      <c r="E952" s="169"/>
      <c r="F952" s="170"/>
      <c r="G952" s="170"/>
      <c r="H952" s="170"/>
      <c r="I952" s="171"/>
      <c r="J952" s="171"/>
      <c r="K952" s="171"/>
    </row>
    <row r="953" spans="1:11" ht="12.75">
      <c r="A953" s="168" t="e">
        <f t="shared" si="0"/>
        <v>#REF!</v>
      </c>
      <c r="B953" s="175"/>
      <c r="C953" s="176"/>
      <c r="D953" s="175"/>
      <c r="E953" s="169"/>
      <c r="F953" s="170"/>
      <c r="G953" s="170"/>
      <c r="H953" s="170"/>
      <c r="I953" s="171"/>
      <c r="J953" s="171"/>
      <c r="K953" s="171"/>
    </row>
    <row r="954" spans="1:11" ht="12.75">
      <c r="A954" s="168" t="e">
        <f t="shared" si="0"/>
        <v>#REF!</v>
      </c>
      <c r="B954" s="175"/>
      <c r="C954" s="176"/>
      <c r="D954" s="175"/>
      <c r="E954" s="169"/>
      <c r="F954" s="170"/>
      <c r="G954" s="170"/>
      <c r="H954" s="170"/>
      <c r="I954" s="171"/>
      <c r="J954" s="171"/>
      <c r="K954" s="171"/>
    </row>
    <row r="955" spans="1:11" ht="12.75">
      <c r="A955" s="168" t="e">
        <f t="shared" si="0"/>
        <v>#REF!</v>
      </c>
      <c r="B955" s="175"/>
      <c r="C955" s="176"/>
      <c r="D955" s="175"/>
      <c r="E955" s="169"/>
      <c r="F955" s="170"/>
      <c r="G955" s="170"/>
      <c r="H955" s="170"/>
      <c r="I955" s="171"/>
      <c r="J955" s="171"/>
      <c r="K955" s="171"/>
    </row>
    <row r="956" spans="1:11" ht="12.75">
      <c r="A956" s="168" t="e">
        <f t="shared" si="0"/>
        <v>#REF!</v>
      </c>
      <c r="B956" s="175"/>
      <c r="C956" s="176"/>
      <c r="D956" s="175"/>
      <c r="E956" s="169"/>
      <c r="F956" s="170"/>
      <c r="G956" s="170"/>
      <c r="H956" s="170"/>
      <c r="I956" s="171"/>
      <c r="J956" s="171"/>
      <c r="K956" s="171"/>
    </row>
    <row r="957" spans="1:11" ht="12.75">
      <c r="A957" s="168" t="e">
        <f t="shared" si="0"/>
        <v>#REF!</v>
      </c>
      <c r="B957" s="175"/>
      <c r="C957" s="176"/>
      <c r="D957" s="175"/>
      <c r="E957" s="169"/>
      <c r="F957" s="170"/>
      <c r="G957" s="170"/>
      <c r="H957" s="170"/>
      <c r="I957" s="171"/>
      <c r="J957" s="171"/>
      <c r="K957" s="171"/>
    </row>
    <row r="958" spans="1:11" ht="12.75">
      <c r="A958" s="168" t="e">
        <f t="shared" si="0"/>
        <v>#REF!</v>
      </c>
      <c r="B958" s="175"/>
      <c r="C958" s="176"/>
      <c r="D958" s="175"/>
      <c r="E958" s="169"/>
      <c r="F958" s="170"/>
      <c r="G958" s="170"/>
      <c r="H958" s="170"/>
      <c r="I958" s="171"/>
      <c r="J958" s="171"/>
      <c r="K958" s="171"/>
    </row>
    <row r="959" spans="1:11" ht="12.75">
      <c r="A959" s="168" t="e">
        <f t="shared" si="0"/>
        <v>#REF!</v>
      </c>
      <c r="B959" s="175"/>
      <c r="C959" s="176"/>
      <c r="D959" s="175"/>
      <c r="E959" s="169"/>
      <c r="F959" s="170"/>
      <c r="G959" s="170"/>
      <c r="H959" s="170"/>
      <c r="I959" s="171"/>
      <c r="J959" s="171"/>
      <c r="K959" s="171"/>
    </row>
    <row r="960" spans="1:11" ht="12.75">
      <c r="A960" s="168" t="e">
        <f t="shared" si="0"/>
        <v>#REF!</v>
      </c>
      <c r="B960" s="175"/>
      <c r="C960" s="176"/>
      <c r="D960" s="175"/>
      <c r="E960" s="169"/>
      <c r="F960" s="170"/>
      <c r="G960" s="170"/>
      <c r="H960" s="170"/>
      <c r="I960" s="171"/>
      <c r="J960" s="171"/>
      <c r="K960" s="171"/>
    </row>
    <row r="961" spans="1:11" ht="12.75">
      <c r="A961" s="168" t="e">
        <f t="shared" si="0"/>
        <v>#REF!</v>
      </c>
      <c r="B961" s="175"/>
      <c r="C961" s="176"/>
      <c r="D961" s="175"/>
      <c r="E961" s="169"/>
      <c r="F961" s="170"/>
      <c r="G961" s="170"/>
      <c r="H961" s="170"/>
      <c r="I961" s="171"/>
      <c r="J961" s="171"/>
      <c r="K961" s="171"/>
    </row>
    <row r="962" spans="1:11" ht="12.75">
      <c r="A962" s="168" t="e">
        <f t="shared" si="0"/>
        <v>#REF!</v>
      </c>
      <c r="B962" s="175"/>
      <c r="C962" s="176"/>
      <c r="D962" s="175"/>
      <c r="E962" s="169"/>
      <c r="F962" s="170"/>
      <c r="G962" s="170"/>
      <c r="H962" s="170"/>
      <c r="I962" s="171"/>
      <c r="J962" s="171"/>
      <c r="K962" s="171"/>
    </row>
    <row r="963" spans="1:11" ht="12.75">
      <c r="A963" s="168" t="e">
        <f t="shared" si="0"/>
        <v>#REF!</v>
      </c>
      <c r="B963" s="175"/>
      <c r="C963" s="176"/>
      <c r="D963" s="175"/>
      <c r="E963" s="169"/>
      <c r="F963" s="170"/>
      <c r="G963" s="170"/>
      <c r="H963" s="170"/>
      <c r="I963" s="171"/>
      <c r="J963" s="171"/>
      <c r="K963" s="171"/>
    </row>
    <row r="964" spans="1:11" ht="12.75">
      <c r="A964" s="168" t="e">
        <f t="shared" si="0"/>
        <v>#REF!</v>
      </c>
      <c r="B964" s="175"/>
      <c r="C964" s="176"/>
      <c r="D964" s="175"/>
      <c r="E964" s="169"/>
      <c r="F964" s="170"/>
      <c r="G964" s="170"/>
      <c r="H964" s="170"/>
      <c r="I964" s="171"/>
      <c r="J964" s="171"/>
      <c r="K964" s="171"/>
    </row>
    <row r="965" spans="1:11" ht="12.75">
      <c r="A965" s="168" t="e">
        <f t="shared" si="0"/>
        <v>#REF!</v>
      </c>
      <c r="B965" s="175"/>
      <c r="C965" s="176"/>
      <c r="D965" s="175"/>
      <c r="E965" s="169"/>
      <c r="F965" s="170"/>
      <c r="G965" s="170"/>
      <c r="H965" s="170"/>
      <c r="I965" s="171"/>
      <c r="J965" s="171"/>
      <c r="K965" s="171"/>
    </row>
    <row r="966" spans="1:11" ht="12.75">
      <c r="A966" s="168" t="e">
        <f t="shared" si="0"/>
        <v>#REF!</v>
      </c>
      <c r="B966" s="175"/>
      <c r="C966" s="176"/>
      <c r="D966" s="175"/>
      <c r="E966" s="169"/>
      <c r="F966" s="170"/>
      <c r="G966" s="170"/>
      <c r="H966" s="170"/>
      <c r="I966" s="171"/>
      <c r="J966" s="171"/>
      <c r="K966" s="171"/>
    </row>
    <row r="967" spans="1:11" ht="12.75">
      <c r="A967" s="168" t="e">
        <f t="shared" si="0"/>
        <v>#REF!</v>
      </c>
      <c r="B967" s="175"/>
      <c r="C967" s="176"/>
      <c r="D967" s="175"/>
      <c r="E967" s="169"/>
      <c r="F967" s="170"/>
      <c r="G967" s="170"/>
      <c r="H967" s="170"/>
      <c r="I967" s="171"/>
      <c r="J967" s="171"/>
      <c r="K967" s="171"/>
    </row>
    <row r="968" spans="1:11" ht="12.75">
      <c r="A968" s="168" t="e">
        <f t="shared" si="0"/>
        <v>#REF!</v>
      </c>
      <c r="B968" s="175"/>
      <c r="C968" s="176"/>
      <c r="D968" s="175"/>
      <c r="E968" s="169"/>
      <c r="F968" s="170"/>
      <c r="G968" s="170"/>
      <c r="H968" s="170"/>
      <c r="I968" s="171"/>
      <c r="J968" s="171"/>
      <c r="K968" s="171"/>
    </row>
    <row r="969" spans="1:11" ht="12.75">
      <c r="A969" s="168" t="e">
        <f t="shared" si="0"/>
        <v>#REF!</v>
      </c>
      <c r="B969" s="175"/>
      <c r="C969" s="176"/>
      <c r="D969" s="175"/>
      <c r="E969" s="169"/>
      <c r="F969" s="170"/>
      <c r="G969" s="170"/>
      <c r="H969" s="170"/>
      <c r="I969" s="171"/>
      <c r="J969" s="171"/>
      <c r="K969" s="171"/>
    </row>
    <row r="970" spans="1:11" ht="12.75">
      <c r="A970" s="168" t="e">
        <f t="shared" si="0"/>
        <v>#REF!</v>
      </c>
      <c r="B970" s="175"/>
      <c r="C970" s="176"/>
      <c r="D970" s="175"/>
      <c r="E970" s="169"/>
      <c r="F970" s="170"/>
      <c r="G970" s="170"/>
      <c r="H970" s="170"/>
      <c r="I970" s="171"/>
      <c r="J970" s="171"/>
      <c r="K970" s="171"/>
    </row>
    <row r="971" spans="1:11" ht="12.75">
      <c r="A971" s="168" t="e">
        <f t="shared" si="0"/>
        <v>#REF!</v>
      </c>
      <c r="B971" s="175"/>
      <c r="C971" s="176"/>
      <c r="D971" s="175"/>
      <c r="E971" s="169"/>
      <c r="F971" s="170"/>
      <c r="G971" s="170"/>
      <c r="H971" s="170"/>
      <c r="I971" s="171"/>
      <c r="J971" s="171"/>
      <c r="K971" s="171"/>
    </row>
    <row r="972" spans="1:11" ht="12.75">
      <c r="A972" s="168" t="e">
        <f t="shared" si="0"/>
        <v>#REF!</v>
      </c>
      <c r="B972" s="175"/>
      <c r="C972" s="176"/>
      <c r="D972" s="175"/>
      <c r="E972" s="169"/>
      <c r="F972" s="170"/>
      <c r="G972" s="170"/>
      <c r="H972" s="170"/>
      <c r="I972" s="171"/>
      <c r="J972" s="171"/>
      <c r="K972" s="171"/>
    </row>
    <row r="973" spans="1:11" ht="12.75">
      <c r="A973" s="168" t="e">
        <f t="shared" si="0"/>
        <v>#REF!</v>
      </c>
      <c r="B973" s="175"/>
      <c r="C973" s="176"/>
      <c r="D973" s="175"/>
      <c r="E973" s="169"/>
      <c r="F973" s="170"/>
      <c r="G973" s="170"/>
      <c r="H973" s="170"/>
      <c r="I973" s="171"/>
      <c r="J973" s="171"/>
      <c r="K973" s="171"/>
    </row>
    <row r="974" spans="1:11" ht="12.75">
      <c r="A974" s="168" t="e">
        <f t="shared" si="0"/>
        <v>#REF!</v>
      </c>
      <c r="B974" s="175"/>
      <c r="C974" s="176"/>
      <c r="D974" s="175"/>
      <c r="E974" s="169"/>
      <c r="F974" s="170"/>
      <c r="G974" s="170"/>
      <c r="H974" s="170"/>
      <c r="I974" s="171"/>
      <c r="J974" s="171"/>
      <c r="K974" s="171"/>
    </row>
    <row r="975" spans="1:11" ht="12.75">
      <c r="A975" s="168" t="e">
        <f t="shared" si="0"/>
        <v>#REF!</v>
      </c>
      <c r="B975" s="175"/>
      <c r="C975" s="176"/>
      <c r="D975" s="175"/>
      <c r="E975" s="169"/>
      <c r="F975" s="170"/>
      <c r="G975" s="170"/>
      <c r="H975" s="170"/>
      <c r="I975" s="171"/>
      <c r="J975" s="171"/>
      <c r="K975" s="171"/>
    </row>
    <row r="976" spans="1:11" ht="12.75">
      <c r="A976" s="168" t="e">
        <f t="shared" si="0"/>
        <v>#REF!</v>
      </c>
      <c r="B976" s="175"/>
      <c r="C976" s="176"/>
      <c r="D976" s="175"/>
      <c r="E976" s="169"/>
      <c r="F976" s="170"/>
      <c r="G976" s="170"/>
      <c r="H976" s="170"/>
      <c r="I976" s="171"/>
      <c r="J976" s="171"/>
      <c r="K976" s="171"/>
    </row>
    <row r="977" spans="1:11" ht="12.75">
      <c r="A977" s="168" t="e">
        <f t="shared" si="0"/>
        <v>#REF!</v>
      </c>
      <c r="B977" s="175"/>
      <c r="C977" s="176"/>
      <c r="D977" s="175"/>
      <c r="E977" s="169"/>
      <c r="F977" s="170"/>
      <c r="G977" s="170"/>
      <c r="H977" s="170"/>
      <c r="I977" s="171"/>
      <c r="J977" s="171"/>
      <c r="K977" s="171"/>
    </row>
    <row r="978" spans="1:11" ht="12.75">
      <c r="A978" s="168" t="e">
        <f t="shared" si="0"/>
        <v>#REF!</v>
      </c>
      <c r="B978" s="175"/>
      <c r="C978" s="176"/>
      <c r="D978" s="175"/>
      <c r="E978" s="169"/>
      <c r="F978" s="170"/>
      <c r="G978" s="170"/>
      <c r="H978" s="170"/>
      <c r="I978" s="171"/>
      <c r="J978" s="171"/>
      <c r="K978" s="171"/>
    </row>
    <row r="979" spans="1:11" ht="12.75">
      <c r="A979" s="168" t="e">
        <f t="shared" si="0"/>
        <v>#REF!</v>
      </c>
      <c r="B979" s="175"/>
      <c r="C979" s="176"/>
      <c r="D979" s="175"/>
      <c r="E979" s="169"/>
      <c r="F979" s="170"/>
      <c r="G979" s="170"/>
      <c r="H979" s="170"/>
      <c r="I979" s="171"/>
      <c r="J979" s="171"/>
      <c r="K979" s="171"/>
    </row>
    <row r="980" spans="1:11" ht="12.75">
      <c r="A980" s="168" t="e">
        <f t="shared" si="0"/>
        <v>#REF!</v>
      </c>
      <c r="B980" s="175"/>
      <c r="C980" s="176"/>
      <c r="D980" s="175"/>
      <c r="E980" s="169"/>
      <c r="F980" s="170"/>
      <c r="G980" s="170"/>
      <c r="H980" s="170"/>
      <c r="I980" s="171"/>
      <c r="J980" s="171"/>
      <c r="K980" s="171"/>
    </row>
    <row r="981" spans="1:11" ht="12.75">
      <c r="A981" s="168" t="e">
        <f t="shared" si="0"/>
        <v>#REF!</v>
      </c>
      <c r="B981" s="175"/>
      <c r="C981" s="176"/>
      <c r="D981" s="175"/>
      <c r="E981" s="169"/>
      <c r="F981" s="170"/>
      <c r="G981" s="170"/>
      <c r="H981" s="170"/>
      <c r="I981" s="171"/>
      <c r="J981" s="171"/>
      <c r="K981" s="171"/>
    </row>
    <row r="982" spans="1:11" ht="12.75">
      <c r="A982" s="168" t="e">
        <f t="shared" si="0"/>
        <v>#REF!</v>
      </c>
      <c r="B982" s="175"/>
      <c r="C982" s="176"/>
      <c r="D982" s="175"/>
      <c r="E982" s="169"/>
      <c r="F982" s="170"/>
      <c r="G982" s="170"/>
      <c r="H982" s="170"/>
      <c r="I982" s="171"/>
      <c r="J982" s="171"/>
      <c r="K982" s="171"/>
    </row>
    <row r="983" spans="1:11" ht="12.75">
      <c r="A983" s="168" t="e">
        <f t="shared" si="0"/>
        <v>#REF!</v>
      </c>
      <c r="B983" s="175"/>
      <c r="C983" s="176"/>
      <c r="D983" s="175"/>
      <c r="E983" s="169"/>
      <c r="F983" s="170"/>
      <c r="G983" s="170"/>
      <c r="H983" s="170"/>
      <c r="I983" s="171"/>
      <c r="J983" s="171"/>
      <c r="K983" s="171"/>
    </row>
    <row r="984" spans="1:11" ht="12.75">
      <c r="A984" s="168" t="e">
        <f t="shared" si="0"/>
        <v>#REF!</v>
      </c>
      <c r="B984" s="175"/>
      <c r="C984" s="176"/>
      <c r="D984" s="175"/>
      <c r="E984" s="169"/>
      <c r="F984" s="170"/>
      <c r="G984" s="170"/>
      <c r="H984" s="170"/>
      <c r="I984" s="171"/>
      <c r="J984" s="171"/>
      <c r="K984" s="171"/>
    </row>
    <row r="985" spans="1:11" ht="12.75">
      <c r="A985" s="168" t="e">
        <f t="shared" si="0"/>
        <v>#REF!</v>
      </c>
      <c r="B985" s="175"/>
      <c r="C985" s="176"/>
      <c r="D985" s="175"/>
      <c r="E985" s="169"/>
      <c r="F985" s="170"/>
      <c r="G985" s="170"/>
      <c r="H985" s="170"/>
      <c r="I985" s="171"/>
      <c r="J985" s="171"/>
      <c r="K985" s="171"/>
    </row>
    <row r="986" spans="1:11" ht="12.75">
      <c r="A986" s="168" t="e">
        <f t="shared" si="0"/>
        <v>#REF!</v>
      </c>
      <c r="B986" s="175"/>
      <c r="C986" s="176"/>
      <c r="D986" s="175"/>
      <c r="E986" s="169"/>
      <c r="F986" s="170"/>
      <c r="G986" s="170"/>
      <c r="H986" s="170"/>
      <c r="I986" s="171"/>
      <c r="J986" s="171"/>
      <c r="K986" s="171"/>
    </row>
  </sheetData>
  <conditionalFormatting sqref="E1 F1:H986 E3:E986">
    <cfRule type="cellIs" dxfId="3" priority="1" operator="equal">
      <formula>"ON"</formula>
    </cfRule>
  </conditionalFormatting>
  <conditionalFormatting sqref="E1 F1:H986 E3:E986">
    <cfRule type="cellIs" dxfId="2" priority="2" operator="equal">
      <formula>"OFF"</formula>
    </cfRule>
  </conditionalFormatting>
  <conditionalFormatting sqref="I82 I87:I88">
    <cfRule type="notContainsBlanks" dxfId="1" priority="3">
      <formula>LEN(TRIM(I82))&gt;0</formula>
    </cfRule>
  </conditionalFormatting>
  <conditionalFormatting sqref="I83">
    <cfRule type="notContainsBlanks" dxfId="0" priority="4">
      <formula>LEN(TRIM(I83))&gt;0</formula>
    </cfRule>
  </conditionalFormatting>
  <dataValidations count="2">
    <dataValidation type="list" allowBlank="1" showErrorMessage="1" sqref="F2:F986" xr:uid="{00000000-0002-0000-2000-000000000000}">
      <formula1>"ON,OFF,Need Repaired"</formula1>
    </dataValidation>
    <dataValidation type="list" allowBlank="1" showErrorMessage="1" sqref="G2:G986" xr:uid="{00000000-0002-0000-2000-000001000000}">
      <formula1>"YES,NO"</formula1>
    </dataValidation>
  </dataValidations>
  <hyperlinks>
    <hyperlink ref="H2" r:id="rId1" xr:uid="{00000000-0004-0000-2000-000000000000}"/>
    <hyperlink ref="H3" r:id="rId2" xr:uid="{00000000-0004-0000-2000-000001000000}"/>
    <hyperlink ref="H4" r:id="rId3" xr:uid="{00000000-0004-0000-2000-000002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B1:K1000"/>
  <sheetViews>
    <sheetView showGridLines="0" workbookViewId="0">
      <pane ySplit="10" topLeftCell="A11" activePane="bottomLeft" state="frozen"/>
      <selection pane="bottomLeft" activeCell="B12" sqref="B12"/>
    </sheetView>
  </sheetViews>
  <sheetFormatPr defaultColWidth="12.5703125" defaultRowHeight="15.75" customHeight="1"/>
  <cols>
    <col min="1" max="1" width="7.140625" customWidth="1"/>
    <col min="2" max="2" width="9.5703125" customWidth="1"/>
    <col min="3" max="3" width="25.42578125" customWidth="1"/>
    <col min="4" max="4" width="14.28515625" customWidth="1"/>
    <col min="5" max="5" width="35.5703125" customWidth="1"/>
    <col min="6" max="6" width="33.42578125" customWidth="1"/>
    <col min="7" max="7" width="14.85546875" customWidth="1"/>
    <col min="8" max="8" width="36.28515625" customWidth="1"/>
    <col min="9" max="9" width="18.5703125" customWidth="1"/>
    <col min="10" max="10" width="24.42578125" customWidth="1"/>
    <col min="11" max="11" width="21.7109375" customWidth="1"/>
  </cols>
  <sheetData>
    <row r="1" spans="2:11" ht="12.75"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2:11" ht="12.75"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2:11" ht="31.5" customHeight="1">
      <c r="B3" s="519" t="s">
        <v>1636</v>
      </c>
      <c r="C3" s="503"/>
      <c r="D3" s="479"/>
      <c r="E3" s="479"/>
      <c r="F3" s="479"/>
      <c r="G3" s="480"/>
      <c r="H3" s="481"/>
      <c r="I3" s="482" t="s">
        <v>1637</v>
      </c>
      <c r="J3" s="483">
        <f ca="1">TODAY()</f>
        <v>46285</v>
      </c>
      <c r="K3" s="483"/>
    </row>
    <row r="4" spans="2:11" ht="12.75">
      <c r="B4" s="479"/>
      <c r="C4" s="479"/>
      <c r="D4" s="479"/>
      <c r="E4" s="479"/>
      <c r="F4" s="479"/>
      <c r="G4" s="479"/>
      <c r="H4" s="479"/>
      <c r="I4" s="479"/>
      <c r="J4" s="479"/>
      <c r="K4" s="479"/>
    </row>
    <row r="5" spans="2:11">
      <c r="B5" s="479"/>
      <c r="C5" s="484" t="s">
        <v>1638</v>
      </c>
      <c r="D5" s="484" t="s">
        <v>1639</v>
      </c>
      <c r="E5" s="484" t="s">
        <v>1640</v>
      </c>
      <c r="F5" s="484" t="s">
        <v>1641</v>
      </c>
      <c r="G5" s="484" t="s">
        <v>6</v>
      </c>
      <c r="H5" s="484" t="s">
        <v>13</v>
      </c>
      <c r="I5" s="479"/>
      <c r="J5" s="479"/>
      <c r="K5" s="479"/>
    </row>
    <row r="6" spans="2:11" ht="24" customHeight="1">
      <c r="B6" s="485"/>
      <c r="C6" s="486" t="s">
        <v>1642</v>
      </c>
      <c r="D6" s="487" t="s">
        <v>1643</v>
      </c>
      <c r="E6" s="487" t="s">
        <v>1644</v>
      </c>
      <c r="F6" s="487" t="s">
        <v>1645</v>
      </c>
      <c r="G6" s="487" t="s">
        <v>254</v>
      </c>
      <c r="H6" s="487" t="s">
        <v>1646</v>
      </c>
      <c r="I6" s="488"/>
      <c r="J6" s="479"/>
      <c r="K6" s="479"/>
    </row>
    <row r="7" spans="2:11" ht="12.75">
      <c r="B7" s="479"/>
      <c r="C7" s="489"/>
      <c r="D7" s="490"/>
      <c r="E7" s="491"/>
      <c r="F7" s="490"/>
      <c r="G7" s="479"/>
      <c r="H7" s="479"/>
      <c r="I7" s="479"/>
      <c r="J7" s="479"/>
      <c r="K7" s="479"/>
    </row>
    <row r="8" spans="2:11" ht="12.75">
      <c r="B8" s="490"/>
      <c r="C8" s="490"/>
      <c r="D8" s="479"/>
      <c r="E8" s="479"/>
      <c r="F8" s="479"/>
      <c r="G8" s="479"/>
      <c r="H8" s="479"/>
      <c r="I8" s="479"/>
      <c r="J8" s="479"/>
      <c r="K8" s="479"/>
    </row>
    <row r="9" spans="2:11">
      <c r="B9" s="520"/>
      <c r="C9" s="503"/>
      <c r="D9" s="479"/>
      <c r="E9" s="479"/>
      <c r="F9" s="479"/>
      <c r="G9" s="479"/>
      <c r="H9" s="479"/>
      <c r="I9" s="479"/>
      <c r="J9" s="479"/>
      <c r="K9" s="479"/>
    </row>
    <row r="10" spans="2:11" ht="22.5" customHeight="1">
      <c r="B10" s="492" t="s">
        <v>0</v>
      </c>
      <c r="C10" s="492" t="s">
        <v>1638</v>
      </c>
      <c r="D10" s="492" t="s">
        <v>1639</v>
      </c>
      <c r="E10" s="492" t="s">
        <v>1640</v>
      </c>
      <c r="F10" s="492" t="s">
        <v>1641</v>
      </c>
      <c r="G10" s="492" t="s">
        <v>6</v>
      </c>
      <c r="H10" s="492" t="s">
        <v>13</v>
      </c>
      <c r="I10" s="492" t="s">
        <v>1647</v>
      </c>
      <c r="J10" s="492"/>
      <c r="K10" s="492"/>
    </row>
    <row r="11" spans="2:11" ht="12.75">
      <c r="B11" s="160" t="str">
        <f>IF(C11="","",1)</f>
        <v/>
      </c>
      <c r="C11" s="493"/>
      <c r="D11" s="493"/>
      <c r="E11" s="493"/>
      <c r="F11" s="493"/>
      <c r="G11" s="493"/>
      <c r="H11" s="493"/>
      <c r="I11" s="494"/>
      <c r="J11" s="493"/>
      <c r="K11" s="493"/>
    </row>
    <row r="12" spans="2:11" ht="12.75">
      <c r="B12" s="495" t="str">
        <f t="shared" ref="B12:B1000" si="0">IF(C12="","",B11+1)</f>
        <v/>
      </c>
      <c r="C12" s="493"/>
      <c r="D12" s="493"/>
      <c r="E12" s="493"/>
      <c r="F12" s="493"/>
      <c r="G12" s="493"/>
      <c r="H12" s="493"/>
      <c r="I12" s="494"/>
      <c r="J12" s="493"/>
      <c r="K12" s="493"/>
    </row>
    <row r="13" spans="2:11" ht="12.75">
      <c r="B13" s="495" t="str">
        <f t="shared" si="0"/>
        <v/>
      </c>
      <c r="C13" s="493"/>
      <c r="D13" s="493"/>
      <c r="E13" s="493"/>
      <c r="F13" s="493"/>
      <c r="G13" s="493"/>
      <c r="H13" s="493"/>
      <c r="I13" s="494"/>
      <c r="J13" s="493"/>
      <c r="K13" s="493"/>
    </row>
    <row r="14" spans="2:11" ht="12.75">
      <c r="B14" s="495" t="str">
        <f t="shared" si="0"/>
        <v/>
      </c>
      <c r="C14" s="493"/>
      <c r="D14" s="493"/>
      <c r="E14" s="493"/>
      <c r="F14" s="493"/>
      <c r="G14" s="493"/>
      <c r="H14" s="493"/>
      <c r="I14" s="494"/>
      <c r="J14" s="493"/>
      <c r="K14" s="493"/>
    </row>
    <row r="15" spans="2:11" ht="12.75">
      <c r="B15" s="495" t="str">
        <f t="shared" si="0"/>
        <v/>
      </c>
      <c r="C15" s="493"/>
      <c r="D15" s="493"/>
      <c r="E15" s="493"/>
      <c r="F15" s="493"/>
      <c r="G15" s="493"/>
      <c r="H15" s="493"/>
      <c r="I15" s="494"/>
      <c r="J15" s="493"/>
      <c r="K15" s="493"/>
    </row>
    <row r="16" spans="2:11" ht="12.75">
      <c r="B16" s="495" t="str">
        <f t="shared" si="0"/>
        <v/>
      </c>
      <c r="C16" s="493"/>
      <c r="D16" s="493"/>
      <c r="E16" s="493"/>
      <c r="F16" s="493"/>
      <c r="G16" s="493"/>
      <c r="H16" s="493"/>
      <c r="I16" s="494"/>
      <c r="J16" s="493"/>
      <c r="K16" s="493"/>
    </row>
    <row r="17" spans="2:11" ht="12.75">
      <c r="B17" s="495" t="str">
        <f t="shared" si="0"/>
        <v/>
      </c>
      <c r="C17" s="493"/>
      <c r="D17" s="493"/>
      <c r="E17" s="493"/>
      <c r="F17" s="493"/>
      <c r="G17" s="493"/>
      <c r="H17" s="493"/>
      <c r="I17" s="494"/>
      <c r="J17" s="493"/>
      <c r="K17" s="493"/>
    </row>
    <row r="18" spans="2:11" ht="12.75">
      <c r="B18" s="495" t="str">
        <f t="shared" si="0"/>
        <v/>
      </c>
      <c r="C18" s="493"/>
      <c r="D18" s="493"/>
      <c r="E18" s="493"/>
      <c r="F18" s="493"/>
      <c r="G18" s="493"/>
      <c r="H18" s="493"/>
      <c r="I18" s="494"/>
      <c r="J18" s="493"/>
      <c r="K18" s="493"/>
    </row>
    <row r="19" spans="2:11" ht="12.75">
      <c r="B19" s="495" t="str">
        <f t="shared" si="0"/>
        <v/>
      </c>
      <c r="C19" s="493"/>
      <c r="D19" s="493"/>
      <c r="E19" s="493"/>
      <c r="F19" s="493"/>
      <c r="G19" s="493"/>
      <c r="H19" s="493"/>
      <c r="I19" s="494"/>
      <c r="J19" s="493"/>
      <c r="K19" s="493"/>
    </row>
    <row r="20" spans="2:11" ht="12.75">
      <c r="B20" s="495" t="str">
        <f t="shared" si="0"/>
        <v/>
      </c>
      <c r="C20" s="493"/>
      <c r="D20" s="493"/>
      <c r="E20" s="493"/>
      <c r="F20" s="493"/>
      <c r="G20" s="493"/>
      <c r="H20" s="493"/>
      <c r="I20" s="494"/>
      <c r="J20" s="493"/>
      <c r="K20" s="493"/>
    </row>
    <row r="21" spans="2:11" ht="12.75">
      <c r="B21" s="495" t="str">
        <f t="shared" si="0"/>
        <v/>
      </c>
      <c r="C21" s="493"/>
      <c r="D21" s="493"/>
      <c r="E21" s="493"/>
      <c r="F21" s="493"/>
      <c r="G21" s="493"/>
      <c r="H21" s="493"/>
      <c r="I21" s="494"/>
      <c r="J21" s="493"/>
      <c r="K21" s="493"/>
    </row>
    <row r="22" spans="2:11" ht="12.75">
      <c r="B22" s="495" t="str">
        <f t="shared" si="0"/>
        <v/>
      </c>
      <c r="C22" s="493"/>
      <c r="D22" s="493"/>
      <c r="E22" s="493"/>
      <c r="F22" s="493"/>
      <c r="G22" s="493"/>
      <c r="H22" s="493"/>
      <c r="I22" s="494"/>
      <c r="J22" s="493"/>
      <c r="K22" s="493"/>
    </row>
    <row r="23" spans="2:11" ht="12.75">
      <c r="B23" s="495" t="str">
        <f t="shared" si="0"/>
        <v/>
      </c>
      <c r="C23" s="493"/>
      <c r="D23" s="493"/>
      <c r="E23" s="493"/>
      <c r="F23" s="493"/>
      <c r="G23" s="493"/>
      <c r="H23" s="493"/>
      <c r="I23" s="494"/>
      <c r="J23" s="493"/>
      <c r="K23" s="493"/>
    </row>
    <row r="24" spans="2:11" ht="12.75">
      <c r="B24" s="495" t="str">
        <f t="shared" si="0"/>
        <v/>
      </c>
      <c r="C24" s="493"/>
      <c r="D24" s="493"/>
      <c r="E24" s="493"/>
      <c r="F24" s="493"/>
      <c r="G24" s="493"/>
      <c r="H24" s="493"/>
      <c r="I24" s="494"/>
      <c r="J24" s="493"/>
      <c r="K24" s="493"/>
    </row>
    <row r="25" spans="2:11" ht="12.75">
      <c r="B25" s="495" t="str">
        <f t="shared" si="0"/>
        <v/>
      </c>
      <c r="C25" s="493"/>
      <c r="D25" s="493"/>
      <c r="E25" s="493"/>
      <c r="F25" s="493"/>
      <c r="G25" s="493"/>
      <c r="H25" s="493"/>
      <c r="I25" s="494"/>
      <c r="J25" s="493"/>
      <c r="K25" s="493"/>
    </row>
    <row r="26" spans="2:11" ht="12.75">
      <c r="B26" s="495" t="str">
        <f t="shared" si="0"/>
        <v/>
      </c>
      <c r="C26" s="493"/>
      <c r="D26" s="493"/>
      <c r="E26" s="493"/>
      <c r="F26" s="493"/>
      <c r="G26" s="493"/>
      <c r="H26" s="493"/>
      <c r="I26" s="494"/>
      <c r="J26" s="493"/>
      <c r="K26" s="493"/>
    </row>
    <row r="27" spans="2:11" ht="12.75">
      <c r="B27" s="495" t="str">
        <f t="shared" si="0"/>
        <v/>
      </c>
      <c r="C27" s="493"/>
      <c r="D27" s="493"/>
      <c r="E27" s="493"/>
      <c r="F27" s="493"/>
      <c r="G27" s="493"/>
      <c r="H27" s="493"/>
      <c r="I27" s="494"/>
      <c r="J27" s="493"/>
      <c r="K27" s="493"/>
    </row>
    <row r="28" spans="2:11" ht="12.75">
      <c r="B28" s="495" t="str">
        <f t="shared" si="0"/>
        <v/>
      </c>
      <c r="C28" s="493"/>
      <c r="D28" s="493"/>
      <c r="E28" s="493"/>
      <c r="F28" s="493"/>
      <c r="G28" s="493"/>
      <c r="H28" s="493"/>
      <c r="I28" s="494"/>
      <c r="J28" s="493"/>
      <c r="K28" s="493"/>
    </row>
    <row r="29" spans="2:11" ht="12.75">
      <c r="B29" s="495" t="str">
        <f t="shared" si="0"/>
        <v/>
      </c>
      <c r="C29" s="493"/>
      <c r="D29" s="493"/>
      <c r="E29" s="493"/>
      <c r="F29" s="493"/>
      <c r="G29" s="493"/>
      <c r="H29" s="493"/>
      <c r="I29" s="494"/>
      <c r="J29" s="493"/>
      <c r="K29" s="493"/>
    </row>
    <row r="30" spans="2:11" ht="12.75">
      <c r="B30" s="495" t="str">
        <f t="shared" si="0"/>
        <v/>
      </c>
      <c r="C30" s="493"/>
      <c r="D30" s="493"/>
      <c r="E30" s="493"/>
      <c r="F30" s="493"/>
      <c r="G30" s="493"/>
      <c r="H30" s="493"/>
      <c r="I30" s="494"/>
      <c r="J30" s="493"/>
      <c r="K30" s="493"/>
    </row>
    <row r="31" spans="2:11" ht="12.75">
      <c r="B31" s="495" t="str">
        <f t="shared" si="0"/>
        <v/>
      </c>
      <c r="C31" s="493"/>
      <c r="D31" s="493"/>
      <c r="E31" s="493"/>
      <c r="F31" s="493"/>
      <c r="G31" s="493"/>
      <c r="H31" s="493"/>
      <c r="I31" s="494"/>
      <c r="J31" s="493"/>
      <c r="K31" s="493"/>
    </row>
    <row r="32" spans="2:11" ht="12.75">
      <c r="B32" s="495" t="str">
        <f t="shared" si="0"/>
        <v/>
      </c>
      <c r="C32" s="493"/>
      <c r="D32" s="493"/>
      <c r="E32" s="493"/>
      <c r="F32" s="493"/>
      <c r="G32" s="493"/>
      <c r="H32" s="493"/>
      <c r="I32" s="494"/>
      <c r="J32" s="493"/>
      <c r="K32" s="493"/>
    </row>
    <row r="33" spans="2:11" ht="12.75">
      <c r="B33" s="495" t="str">
        <f t="shared" si="0"/>
        <v/>
      </c>
      <c r="C33" s="493"/>
      <c r="D33" s="493"/>
      <c r="E33" s="493"/>
      <c r="F33" s="493"/>
      <c r="G33" s="493"/>
      <c r="H33" s="493"/>
      <c r="I33" s="494"/>
      <c r="J33" s="493"/>
      <c r="K33" s="493"/>
    </row>
    <row r="34" spans="2:11" ht="12.75">
      <c r="B34" s="495" t="str">
        <f t="shared" si="0"/>
        <v/>
      </c>
      <c r="C34" s="493"/>
      <c r="D34" s="493"/>
      <c r="E34" s="493"/>
      <c r="F34" s="493"/>
      <c r="G34" s="493"/>
      <c r="H34" s="493"/>
      <c r="I34" s="494"/>
      <c r="J34" s="493"/>
      <c r="K34" s="493"/>
    </row>
    <row r="35" spans="2:11" ht="12.75">
      <c r="B35" s="495" t="str">
        <f t="shared" si="0"/>
        <v/>
      </c>
      <c r="C35" s="493"/>
      <c r="D35" s="493"/>
      <c r="E35" s="493"/>
      <c r="F35" s="493"/>
      <c r="G35" s="493"/>
      <c r="H35" s="493"/>
      <c r="I35" s="494"/>
      <c r="J35" s="493"/>
      <c r="K35" s="493"/>
    </row>
    <row r="36" spans="2:11" ht="12.75">
      <c r="B36" s="495" t="str">
        <f t="shared" si="0"/>
        <v/>
      </c>
      <c r="C36" s="493"/>
      <c r="D36" s="493"/>
      <c r="E36" s="493"/>
      <c r="F36" s="493"/>
      <c r="G36" s="493"/>
      <c r="H36" s="493"/>
      <c r="I36" s="494"/>
      <c r="J36" s="493"/>
      <c r="K36" s="493"/>
    </row>
    <row r="37" spans="2:11" ht="12.75">
      <c r="B37" s="495" t="str">
        <f t="shared" si="0"/>
        <v/>
      </c>
      <c r="C37" s="493"/>
      <c r="D37" s="493"/>
      <c r="E37" s="493"/>
      <c r="F37" s="493"/>
      <c r="G37" s="493"/>
      <c r="H37" s="493"/>
      <c r="I37" s="494"/>
      <c r="J37" s="493"/>
      <c r="K37" s="493"/>
    </row>
    <row r="38" spans="2:11" ht="12.75">
      <c r="B38" s="495" t="str">
        <f t="shared" si="0"/>
        <v/>
      </c>
      <c r="C38" s="493"/>
      <c r="D38" s="493"/>
      <c r="E38" s="493"/>
      <c r="F38" s="493"/>
      <c r="G38" s="493"/>
      <c r="H38" s="493"/>
      <c r="I38" s="494"/>
      <c r="J38" s="493"/>
      <c r="K38" s="493"/>
    </row>
    <row r="39" spans="2:11" ht="12.75">
      <c r="B39" s="495" t="str">
        <f t="shared" si="0"/>
        <v/>
      </c>
      <c r="C39" s="493"/>
      <c r="D39" s="493"/>
      <c r="E39" s="493"/>
      <c r="F39" s="493"/>
      <c r="G39" s="493"/>
      <c r="H39" s="493"/>
      <c r="I39" s="494"/>
      <c r="J39" s="493"/>
      <c r="K39" s="493"/>
    </row>
    <row r="40" spans="2:11" ht="12.75">
      <c r="B40" s="495" t="str">
        <f t="shared" si="0"/>
        <v/>
      </c>
      <c r="C40" s="493"/>
      <c r="D40" s="493"/>
      <c r="E40" s="493"/>
      <c r="F40" s="493"/>
      <c r="G40" s="493"/>
      <c r="H40" s="493"/>
      <c r="I40" s="494"/>
      <c r="J40" s="493"/>
      <c r="K40" s="493"/>
    </row>
    <row r="41" spans="2:11" ht="12.75">
      <c r="B41" s="495" t="str">
        <f t="shared" si="0"/>
        <v/>
      </c>
      <c r="C41" s="493"/>
      <c r="D41" s="493"/>
      <c r="E41" s="493"/>
      <c r="F41" s="493"/>
      <c r="G41" s="493"/>
      <c r="H41" s="493"/>
      <c r="I41" s="494"/>
      <c r="J41" s="493"/>
      <c r="K41" s="493"/>
    </row>
    <row r="42" spans="2:11" ht="12.75">
      <c r="B42" s="495" t="str">
        <f t="shared" si="0"/>
        <v/>
      </c>
      <c r="C42" s="493"/>
      <c r="D42" s="493"/>
      <c r="E42" s="493"/>
      <c r="F42" s="493"/>
      <c r="G42" s="493"/>
      <c r="H42" s="493"/>
      <c r="I42" s="494"/>
      <c r="J42" s="493"/>
      <c r="K42" s="493"/>
    </row>
    <row r="43" spans="2:11" ht="12.75">
      <c r="B43" s="495" t="str">
        <f t="shared" si="0"/>
        <v/>
      </c>
      <c r="C43" s="493"/>
      <c r="D43" s="493"/>
      <c r="E43" s="493"/>
      <c r="F43" s="493"/>
      <c r="G43" s="493"/>
      <c r="H43" s="493"/>
      <c r="I43" s="494"/>
      <c r="J43" s="493"/>
      <c r="K43" s="493"/>
    </row>
    <row r="44" spans="2:11" ht="12.75">
      <c r="B44" s="495" t="str">
        <f t="shared" si="0"/>
        <v/>
      </c>
      <c r="C44" s="493"/>
      <c r="D44" s="493"/>
      <c r="E44" s="493"/>
      <c r="F44" s="493"/>
      <c r="G44" s="493"/>
      <c r="H44" s="493"/>
      <c r="I44" s="494"/>
      <c r="J44" s="493"/>
      <c r="K44" s="493"/>
    </row>
    <row r="45" spans="2:11" ht="12.75">
      <c r="B45" s="495" t="str">
        <f t="shared" si="0"/>
        <v/>
      </c>
      <c r="C45" s="493"/>
      <c r="D45" s="493"/>
      <c r="E45" s="493"/>
      <c r="F45" s="493"/>
      <c r="G45" s="493"/>
      <c r="H45" s="493"/>
      <c r="I45" s="494"/>
      <c r="J45" s="493"/>
      <c r="K45" s="493"/>
    </row>
    <row r="46" spans="2:11" ht="12.75">
      <c r="B46" s="495" t="str">
        <f t="shared" si="0"/>
        <v/>
      </c>
      <c r="C46" s="493"/>
      <c r="D46" s="493"/>
      <c r="E46" s="493"/>
      <c r="F46" s="493"/>
      <c r="G46" s="493"/>
      <c r="H46" s="493"/>
      <c r="I46" s="494"/>
      <c r="J46" s="493"/>
      <c r="K46" s="493"/>
    </row>
    <row r="47" spans="2:11" ht="12.75">
      <c r="B47" s="495" t="str">
        <f t="shared" si="0"/>
        <v/>
      </c>
      <c r="C47" s="493"/>
      <c r="D47" s="493"/>
      <c r="E47" s="493"/>
      <c r="F47" s="493"/>
      <c r="G47" s="493"/>
      <c r="H47" s="493"/>
      <c r="I47" s="494"/>
      <c r="J47" s="493"/>
      <c r="K47" s="493"/>
    </row>
    <row r="48" spans="2:11" ht="12.75">
      <c r="B48" s="495" t="str">
        <f t="shared" si="0"/>
        <v/>
      </c>
      <c r="C48" s="493"/>
      <c r="D48" s="493"/>
      <c r="E48" s="493"/>
      <c r="F48" s="493"/>
      <c r="G48" s="493"/>
      <c r="H48" s="493"/>
      <c r="I48" s="494"/>
      <c r="J48" s="493"/>
      <c r="K48" s="493"/>
    </row>
    <row r="49" spans="2:11" ht="12.75">
      <c r="B49" s="495" t="str">
        <f t="shared" si="0"/>
        <v/>
      </c>
      <c r="C49" s="493"/>
      <c r="D49" s="493"/>
      <c r="E49" s="493"/>
      <c r="F49" s="493"/>
      <c r="G49" s="493"/>
      <c r="H49" s="493"/>
      <c r="I49" s="494"/>
      <c r="J49" s="493"/>
      <c r="K49" s="493"/>
    </row>
    <row r="50" spans="2:11" ht="12.75">
      <c r="B50" s="495" t="str">
        <f t="shared" si="0"/>
        <v/>
      </c>
      <c r="C50" s="493"/>
      <c r="D50" s="493"/>
      <c r="E50" s="493"/>
      <c r="F50" s="493"/>
      <c r="G50" s="493"/>
      <c r="H50" s="493"/>
      <c r="I50" s="494"/>
      <c r="J50" s="493"/>
      <c r="K50" s="493"/>
    </row>
    <row r="51" spans="2:11" ht="12.75">
      <c r="B51" s="495" t="str">
        <f t="shared" si="0"/>
        <v/>
      </c>
      <c r="C51" s="493"/>
      <c r="D51" s="493"/>
      <c r="E51" s="493"/>
      <c r="F51" s="493"/>
      <c r="G51" s="493"/>
      <c r="H51" s="493"/>
      <c r="I51" s="494"/>
      <c r="J51" s="493"/>
      <c r="K51" s="493"/>
    </row>
    <row r="52" spans="2:11" ht="12.75">
      <c r="B52" s="495" t="str">
        <f t="shared" si="0"/>
        <v/>
      </c>
      <c r="C52" s="493"/>
      <c r="D52" s="493"/>
      <c r="E52" s="493"/>
      <c r="F52" s="493"/>
      <c r="G52" s="493"/>
      <c r="H52" s="493"/>
      <c r="I52" s="494"/>
      <c r="J52" s="493"/>
      <c r="K52" s="493"/>
    </row>
    <row r="53" spans="2:11" ht="12.75">
      <c r="B53" s="495" t="str">
        <f t="shared" si="0"/>
        <v/>
      </c>
      <c r="C53" s="493"/>
      <c r="D53" s="493"/>
      <c r="E53" s="493"/>
      <c r="F53" s="493"/>
      <c r="G53" s="493"/>
      <c r="H53" s="493"/>
      <c r="I53" s="494"/>
      <c r="J53" s="493"/>
      <c r="K53" s="493"/>
    </row>
    <row r="54" spans="2:11" ht="12.75">
      <c r="B54" s="495" t="str">
        <f t="shared" si="0"/>
        <v/>
      </c>
      <c r="C54" s="493"/>
      <c r="D54" s="493"/>
      <c r="E54" s="493"/>
      <c r="F54" s="493"/>
      <c r="G54" s="493"/>
      <c r="H54" s="493"/>
      <c r="I54" s="494"/>
      <c r="J54" s="493"/>
      <c r="K54" s="493"/>
    </row>
    <row r="55" spans="2:11" ht="12.75">
      <c r="B55" s="495" t="str">
        <f t="shared" si="0"/>
        <v/>
      </c>
      <c r="C55" s="493"/>
      <c r="D55" s="493"/>
      <c r="E55" s="493"/>
      <c r="F55" s="493"/>
      <c r="G55" s="493"/>
      <c r="H55" s="493"/>
      <c r="I55" s="494"/>
      <c r="J55" s="493"/>
      <c r="K55" s="493"/>
    </row>
    <row r="56" spans="2:11" ht="12.75">
      <c r="B56" s="495" t="str">
        <f t="shared" si="0"/>
        <v/>
      </c>
      <c r="C56" s="493"/>
      <c r="D56" s="493"/>
      <c r="E56" s="493"/>
      <c r="F56" s="493"/>
      <c r="G56" s="493"/>
      <c r="H56" s="493"/>
      <c r="I56" s="494"/>
      <c r="J56" s="493"/>
      <c r="K56" s="493"/>
    </row>
    <row r="57" spans="2:11" ht="12.75">
      <c r="B57" s="495" t="str">
        <f t="shared" si="0"/>
        <v/>
      </c>
      <c r="C57" s="493"/>
      <c r="D57" s="493"/>
      <c r="E57" s="493"/>
      <c r="F57" s="493"/>
      <c r="G57" s="493"/>
      <c r="H57" s="493"/>
      <c r="I57" s="494"/>
      <c r="J57" s="493"/>
      <c r="K57" s="493"/>
    </row>
    <row r="58" spans="2:11" ht="12.75">
      <c r="B58" s="495" t="str">
        <f t="shared" si="0"/>
        <v/>
      </c>
      <c r="C58" s="493"/>
      <c r="D58" s="493"/>
      <c r="E58" s="493"/>
      <c r="F58" s="493"/>
      <c r="G58" s="493"/>
      <c r="H58" s="493"/>
      <c r="I58" s="494"/>
      <c r="J58" s="493"/>
      <c r="K58" s="493"/>
    </row>
    <row r="59" spans="2:11" ht="12.75">
      <c r="B59" s="495" t="str">
        <f t="shared" si="0"/>
        <v/>
      </c>
      <c r="C59" s="493"/>
      <c r="D59" s="493"/>
      <c r="E59" s="493"/>
      <c r="F59" s="493"/>
      <c r="G59" s="493"/>
      <c r="H59" s="493"/>
      <c r="I59" s="494"/>
      <c r="J59" s="493"/>
      <c r="K59" s="493"/>
    </row>
    <row r="60" spans="2:11" ht="12.75">
      <c r="B60" s="495" t="str">
        <f t="shared" si="0"/>
        <v/>
      </c>
      <c r="C60" s="493"/>
      <c r="D60" s="493"/>
      <c r="E60" s="493"/>
      <c r="F60" s="493"/>
      <c r="G60" s="493"/>
      <c r="H60" s="493"/>
      <c r="I60" s="494"/>
      <c r="J60" s="493"/>
      <c r="K60" s="493"/>
    </row>
    <row r="61" spans="2:11" ht="12.75">
      <c r="B61" s="495" t="str">
        <f t="shared" si="0"/>
        <v/>
      </c>
      <c r="C61" s="493"/>
      <c r="D61" s="493"/>
      <c r="E61" s="493"/>
      <c r="F61" s="493"/>
      <c r="G61" s="493"/>
      <c r="H61" s="493"/>
      <c r="I61" s="494"/>
      <c r="J61" s="493"/>
      <c r="K61" s="493"/>
    </row>
    <row r="62" spans="2:11" ht="12.75">
      <c r="B62" s="495" t="str">
        <f t="shared" si="0"/>
        <v/>
      </c>
      <c r="C62" s="493"/>
      <c r="D62" s="493"/>
      <c r="E62" s="493"/>
      <c r="F62" s="493"/>
      <c r="G62" s="493"/>
      <c r="H62" s="493"/>
      <c r="I62" s="494"/>
      <c r="J62" s="493"/>
      <c r="K62" s="493"/>
    </row>
    <row r="63" spans="2:11" ht="12.75">
      <c r="B63" s="495" t="str">
        <f t="shared" si="0"/>
        <v/>
      </c>
      <c r="C63" s="493"/>
      <c r="D63" s="493"/>
      <c r="E63" s="493"/>
      <c r="F63" s="493"/>
      <c r="G63" s="493"/>
      <c r="H63" s="493"/>
      <c r="I63" s="494"/>
      <c r="J63" s="493"/>
      <c r="K63" s="493"/>
    </row>
    <row r="64" spans="2:11" ht="12.75">
      <c r="B64" s="495" t="str">
        <f t="shared" si="0"/>
        <v/>
      </c>
      <c r="C64" s="493"/>
      <c r="D64" s="493"/>
      <c r="E64" s="493"/>
      <c r="F64" s="493"/>
      <c r="G64" s="493"/>
      <c r="H64" s="493"/>
      <c r="I64" s="494"/>
      <c r="J64" s="493"/>
      <c r="K64" s="493"/>
    </row>
    <row r="65" spans="2:11" ht="12.75">
      <c r="B65" s="495" t="str">
        <f t="shared" si="0"/>
        <v/>
      </c>
      <c r="C65" s="493"/>
      <c r="D65" s="493"/>
      <c r="E65" s="493"/>
      <c r="F65" s="493"/>
      <c r="G65" s="493"/>
      <c r="H65" s="493"/>
      <c r="I65" s="494"/>
      <c r="J65" s="493"/>
      <c r="K65" s="493"/>
    </row>
    <row r="66" spans="2:11" ht="12.75">
      <c r="B66" s="495" t="str">
        <f t="shared" si="0"/>
        <v/>
      </c>
      <c r="C66" s="493"/>
      <c r="D66" s="493"/>
      <c r="E66" s="493"/>
      <c r="F66" s="493"/>
      <c r="G66" s="493"/>
      <c r="H66" s="493"/>
      <c r="I66" s="494"/>
      <c r="J66" s="493"/>
      <c r="K66" s="493"/>
    </row>
    <row r="67" spans="2:11" ht="12.75">
      <c r="B67" s="495" t="str">
        <f t="shared" si="0"/>
        <v/>
      </c>
      <c r="C67" s="493"/>
      <c r="D67" s="493"/>
      <c r="E67" s="493"/>
      <c r="F67" s="493"/>
      <c r="G67" s="493"/>
      <c r="H67" s="493"/>
      <c r="I67" s="494"/>
      <c r="J67" s="493"/>
      <c r="K67" s="493"/>
    </row>
    <row r="68" spans="2:11" ht="12.75">
      <c r="B68" s="495" t="str">
        <f t="shared" si="0"/>
        <v/>
      </c>
      <c r="C68" s="493"/>
      <c r="D68" s="493"/>
      <c r="E68" s="493"/>
      <c r="F68" s="493"/>
      <c r="G68" s="493"/>
      <c r="H68" s="493"/>
      <c r="I68" s="494"/>
      <c r="J68" s="493"/>
      <c r="K68" s="493"/>
    </row>
    <row r="69" spans="2:11" ht="12.75">
      <c r="B69" s="495" t="str">
        <f t="shared" si="0"/>
        <v/>
      </c>
      <c r="C69" s="493"/>
      <c r="D69" s="493"/>
      <c r="E69" s="493"/>
      <c r="F69" s="493"/>
      <c r="G69" s="493"/>
      <c r="H69" s="493"/>
      <c r="I69" s="494"/>
      <c r="J69" s="493"/>
      <c r="K69" s="493"/>
    </row>
    <row r="70" spans="2:11" ht="12.75">
      <c r="B70" s="495" t="str">
        <f t="shared" si="0"/>
        <v/>
      </c>
      <c r="C70" s="493"/>
      <c r="D70" s="493"/>
      <c r="E70" s="493"/>
      <c r="F70" s="493"/>
      <c r="G70" s="493"/>
      <c r="H70" s="493"/>
      <c r="I70" s="494"/>
      <c r="J70" s="493"/>
      <c r="K70" s="493"/>
    </row>
    <row r="71" spans="2:11" ht="12.75">
      <c r="B71" s="495" t="str">
        <f t="shared" si="0"/>
        <v/>
      </c>
      <c r="C71" s="493"/>
      <c r="D71" s="493"/>
      <c r="E71" s="493"/>
      <c r="F71" s="493"/>
      <c r="G71" s="493"/>
      <c r="H71" s="493"/>
      <c r="I71" s="494"/>
      <c r="J71" s="493"/>
      <c r="K71" s="493"/>
    </row>
    <row r="72" spans="2:11" ht="12.75">
      <c r="B72" s="495" t="str">
        <f t="shared" si="0"/>
        <v/>
      </c>
      <c r="C72" s="493"/>
      <c r="D72" s="493"/>
      <c r="E72" s="493"/>
      <c r="F72" s="493"/>
      <c r="G72" s="493"/>
      <c r="H72" s="493"/>
      <c r="I72" s="494"/>
      <c r="J72" s="493"/>
      <c r="K72" s="493"/>
    </row>
    <row r="73" spans="2:11" ht="12.75">
      <c r="B73" s="495" t="str">
        <f t="shared" si="0"/>
        <v/>
      </c>
      <c r="C73" s="493"/>
      <c r="D73" s="493"/>
      <c r="E73" s="493"/>
      <c r="F73" s="493"/>
      <c r="G73" s="493"/>
      <c r="H73" s="493"/>
      <c r="I73" s="494"/>
      <c r="J73" s="493"/>
      <c r="K73" s="493"/>
    </row>
    <row r="74" spans="2:11" ht="12.75">
      <c r="B74" s="495" t="str">
        <f t="shared" si="0"/>
        <v/>
      </c>
      <c r="C74" s="493"/>
      <c r="D74" s="493"/>
      <c r="E74" s="493"/>
      <c r="F74" s="493"/>
      <c r="G74" s="493"/>
      <c r="H74" s="493"/>
      <c r="I74" s="494"/>
      <c r="J74" s="493"/>
      <c r="K74" s="493"/>
    </row>
    <row r="75" spans="2:11" ht="12.75">
      <c r="B75" s="495" t="str">
        <f t="shared" si="0"/>
        <v/>
      </c>
      <c r="C75" s="493"/>
      <c r="D75" s="493"/>
      <c r="E75" s="493"/>
      <c r="F75" s="493"/>
      <c r="G75" s="493"/>
      <c r="H75" s="493"/>
      <c r="I75" s="494"/>
      <c r="J75" s="493"/>
      <c r="K75" s="493"/>
    </row>
    <row r="76" spans="2:11" ht="12.75">
      <c r="B76" s="495" t="str">
        <f t="shared" si="0"/>
        <v/>
      </c>
      <c r="C76" s="493"/>
      <c r="D76" s="493"/>
      <c r="E76" s="493"/>
      <c r="F76" s="493"/>
      <c r="G76" s="493"/>
      <c r="H76" s="493"/>
      <c r="I76" s="494"/>
      <c r="J76" s="493"/>
      <c r="K76" s="493"/>
    </row>
    <row r="77" spans="2:11" ht="12.75">
      <c r="B77" s="495" t="str">
        <f t="shared" si="0"/>
        <v/>
      </c>
      <c r="C77" s="493"/>
      <c r="D77" s="493"/>
      <c r="E77" s="493"/>
      <c r="F77" s="493"/>
      <c r="G77" s="493"/>
      <c r="H77" s="493"/>
      <c r="I77" s="494"/>
      <c r="J77" s="493"/>
      <c r="K77" s="493"/>
    </row>
    <row r="78" spans="2:11" ht="12.75">
      <c r="B78" s="495" t="str">
        <f t="shared" si="0"/>
        <v/>
      </c>
      <c r="C78" s="493"/>
      <c r="D78" s="493"/>
      <c r="E78" s="493"/>
      <c r="F78" s="493"/>
      <c r="G78" s="493"/>
      <c r="H78" s="493"/>
      <c r="I78" s="494"/>
      <c r="J78" s="493"/>
      <c r="K78" s="493"/>
    </row>
    <row r="79" spans="2:11" ht="12.75">
      <c r="B79" s="495" t="str">
        <f t="shared" si="0"/>
        <v/>
      </c>
      <c r="C79" s="493"/>
      <c r="D79" s="493"/>
      <c r="E79" s="493"/>
      <c r="F79" s="493"/>
      <c r="G79" s="493"/>
      <c r="H79" s="493"/>
      <c r="I79" s="494"/>
      <c r="J79" s="493"/>
      <c r="K79" s="493"/>
    </row>
    <row r="80" spans="2:11" ht="12.75">
      <c r="B80" s="495" t="str">
        <f t="shared" si="0"/>
        <v/>
      </c>
      <c r="C80" s="493"/>
      <c r="D80" s="493"/>
      <c r="E80" s="493"/>
      <c r="F80" s="493"/>
      <c r="G80" s="493"/>
      <c r="H80" s="493"/>
      <c r="I80" s="494"/>
      <c r="J80" s="493"/>
      <c r="K80" s="493"/>
    </row>
    <row r="81" spans="2:11" ht="12.75">
      <c r="B81" s="495" t="str">
        <f t="shared" si="0"/>
        <v/>
      </c>
      <c r="C81" s="493"/>
      <c r="D81" s="493"/>
      <c r="E81" s="493"/>
      <c r="F81" s="493"/>
      <c r="G81" s="493"/>
      <c r="H81" s="493"/>
      <c r="I81" s="494"/>
      <c r="J81" s="493"/>
      <c r="K81" s="493"/>
    </row>
    <row r="82" spans="2:11" ht="12.75">
      <c r="B82" s="495" t="str">
        <f t="shared" si="0"/>
        <v/>
      </c>
      <c r="C82" s="493"/>
      <c r="D82" s="493"/>
      <c r="E82" s="493"/>
      <c r="F82" s="493"/>
      <c r="G82" s="493"/>
      <c r="H82" s="493"/>
      <c r="I82" s="494"/>
      <c r="J82" s="493"/>
      <c r="K82" s="493"/>
    </row>
    <row r="83" spans="2:11" ht="12.75">
      <c r="B83" s="495" t="str">
        <f t="shared" si="0"/>
        <v/>
      </c>
      <c r="C83" s="493"/>
      <c r="D83" s="493"/>
      <c r="E83" s="493"/>
      <c r="F83" s="493"/>
      <c r="G83" s="493"/>
      <c r="H83" s="493"/>
      <c r="I83" s="494"/>
      <c r="J83" s="493"/>
      <c r="K83" s="493"/>
    </row>
    <row r="84" spans="2:11" ht="12.75">
      <c r="B84" s="495" t="str">
        <f t="shared" si="0"/>
        <v/>
      </c>
      <c r="C84" s="493"/>
      <c r="D84" s="493"/>
      <c r="E84" s="493"/>
      <c r="F84" s="493"/>
      <c r="G84" s="493"/>
      <c r="H84" s="493"/>
      <c r="I84" s="494"/>
      <c r="J84" s="493"/>
      <c r="K84" s="493"/>
    </row>
    <row r="85" spans="2:11" ht="12.75">
      <c r="B85" s="495" t="str">
        <f t="shared" si="0"/>
        <v/>
      </c>
      <c r="C85" s="493"/>
      <c r="D85" s="493"/>
      <c r="E85" s="493"/>
      <c r="F85" s="493"/>
      <c r="G85" s="493"/>
      <c r="H85" s="493"/>
      <c r="I85" s="494"/>
      <c r="J85" s="493"/>
      <c r="K85" s="493"/>
    </row>
    <row r="86" spans="2:11" ht="12.75">
      <c r="B86" s="495" t="str">
        <f t="shared" si="0"/>
        <v/>
      </c>
      <c r="C86" s="493"/>
      <c r="D86" s="493"/>
      <c r="E86" s="493"/>
      <c r="F86" s="493"/>
      <c r="G86" s="493"/>
      <c r="H86" s="493"/>
      <c r="I86" s="494"/>
      <c r="J86" s="493"/>
      <c r="K86" s="493"/>
    </row>
    <row r="87" spans="2:11" ht="12.75">
      <c r="B87" s="495" t="str">
        <f t="shared" si="0"/>
        <v/>
      </c>
      <c r="C87" s="493"/>
      <c r="D87" s="493"/>
      <c r="E87" s="493"/>
      <c r="F87" s="493"/>
      <c r="G87" s="493"/>
      <c r="H87" s="493"/>
      <c r="I87" s="494"/>
      <c r="J87" s="493"/>
      <c r="K87" s="493"/>
    </row>
    <row r="88" spans="2:11" ht="12.75">
      <c r="B88" s="495" t="str">
        <f t="shared" si="0"/>
        <v/>
      </c>
      <c r="C88" s="493"/>
      <c r="D88" s="493"/>
      <c r="E88" s="493"/>
      <c r="F88" s="493"/>
      <c r="G88" s="493"/>
      <c r="H88" s="493"/>
      <c r="I88" s="494"/>
      <c r="J88" s="493"/>
      <c r="K88" s="493"/>
    </row>
    <row r="89" spans="2:11" ht="12.75">
      <c r="B89" s="495" t="str">
        <f t="shared" si="0"/>
        <v/>
      </c>
      <c r="C89" s="493"/>
      <c r="D89" s="493"/>
      <c r="E89" s="493"/>
      <c r="F89" s="493"/>
      <c r="G89" s="493"/>
      <c r="H89" s="493"/>
      <c r="I89" s="494"/>
      <c r="J89" s="493"/>
      <c r="K89" s="493"/>
    </row>
    <row r="90" spans="2:11" ht="12.75">
      <c r="B90" s="495" t="str">
        <f t="shared" si="0"/>
        <v/>
      </c>
      <c r="C90" s="493"/>
      <c r="D90" s="493"/>
      <c r="E90" s="493"/>
      <c r="F90" s="493"/>
      <c r="G90" s="493"/>
      <c r="H90" s="493"/>
      <c r="I90" s="494"/>
      <c r="J90" s="493"/>
      <c r="K90" s="493"/>
    </row>
    <row r="91" spans="2:11" ht="12.75">
      <c r="B91" s="495" t="str">
        <f t="shared" si="0"/>
        <v/>
      </c>
      <c r="C91" s="493"/>
      <c r="D91" s="493"/>
      <c r="E91" s="493"/>
      <c r="F91" s="493"/>
      <c r="G91" s="493"/>
      <c r="H91" s="493"/>
      <c r="I91" s="494"/>
      <c r="J91" s="493"/>
      <c r="K91" s="493"/>
    </row>
    <row r="92" spans="2:11" ht="12.75">
      <c r="B92" s="495" t="str">
        <f t="shared" si="0"/>
        <v/>
      </c>
      <c r="C92" s="493"/>
      <c r="D92" s="493"/>
      <c r="E92" s="493"/>
      <c r="F92" s="493"/>
      <c r="G92" s="493"/>
      <c r="H92" s="493"/>
      <c r="I92" s="494"/>
      <c r="J92" s="493"/>
      <c r="K92" s="493"/>
    </row>
    <row r="93" spans="2:11" ht="12.75">
      <c r="B93" s="495" t="str">
        <f t="shared" si="0"/>
        <v/>
      </c>
      <c r="C93" s="493"/>
      <c r="D93" s="493"/>
      <c r="E93" s="493"/>
      <c r="F93" s="493"/>
      <c r="G93" s="493"/>
      <c r="H93" s="493"/>
      <c r="I93" s="494"/>
      <c r="J93" s="493"/>
      <c r="K93" s="493"/>
    </row>
    <row r="94" spans="2:11" ht="12.75">
      <c r="B94" s="495" t="str">
        <f t="shared" si="0"/>
        <v/>
      </c>
      <c r="C94" s="493"/>
      <c r="D94" s="493"/>
      <c r="E94" s="493"/>
      <c r="F94" s="493"/>
      <c r="G94" s="493"/>
      <c r="H94" s="493"/>
      <c r="I94" s="494"/>
      <c r="J94" s="493"/>
      <c r="K94" s="493"/>
    </row>
    <row r="95" spans="2:11" ht="12.75">
      <c r="B95" s="495" t="str">
        <f t="shared" si="0"/>
        <v/>
      </c>
      <c r="C95" s="493"/>
      <c r="D95" s="493"/>
      <c r="E95" s="493"/>
      <c r="F95" s="493"/>
      <c r="G95" s="493"/>
      <c r="H95" s="493"/>
      <c r="I95" s="494"/>
      <c r="J95" s="493"/>
      <c r="K95" s="493"/>
    </row>
    <row r="96" spans="2:11" ht="12.75">
      <c r="B96" s="495" t="str">
        <f t="shared" si="0"/>
        <v/>
      </c>
      <c r="C96" s="493"/>
      <c r="D96" s="493"/>
      <c r="E96" s="493"/>
      <c r="F96" s="493"/>
      <c r="G96" s="493"/>
      <c r="H96" s="493"/>
      <c r="I96" s="494"/>
      <c r="J96" s="493"/>
      <c r="K96" s="493"/>
    </row>
    <row r="97" spans="2:11" ht="12.75">
      <c r="B97" s="495" t="str">
        <f t="shared" si="0"/>
        <v/>
      </c>
      <c r="C97" s="493"/>
      <c r="D97" s="493"/>
      <c r="E97" s="493"/>
      <c r="F97" s="493"/>
      <c r="G97" s="493"/>
      <c r="H97" s="493"/>
      <c r="I97" s="494"/>
      <c r="J97" s="493"/>
      <c r="K97" s="493"/>
    </row>
    <row r="98" spans="2:11" ht="12.75">
      <c r="B98" s="495" t="str">
        <f t="shared" si="0"/>
        <v/>
      </c>
      <c r="C98" s="493"/>
      <c r="D98" s="493"/>
      <c r="E98" s="493"/>
      <c r="F98" s="493"/>
      <c r="G98" s="493"/>
      <c r="H98" s="493"/>
      <c r="I98" s="494"/>
      <c r="J98" s="493"/>
      <c r="K98" s="493"/>
    </row>
    <row r="99" spans="2:11" ht="12.75">
      <c r="B99" s="495" t="str">
        <f t="shared" si="0"/>
        <v/>
      </c>
      <c r="C99" s="493"/>
      <c r="D99" s="493"/>
      <c r="E99" s="493"/>
      <c r="F99" s="493"/>
      <c r="G99" s="493"/>
      <c r="H99" s="493"/>
      <c r="I99" s="494"/>
      <c r="J99" s="493"/>
      <c r="K99" s="493"/>
    </row>
    <row r="100" spans="2:11" ht="12.75">
      <c r="B100" s="495" t="str">
        <f t="shared" si="0"/>
        <v/>
      </c>
      <c r="C100" s="493"/>
      <c r="D100" s="493"/>
      <c r="E100" s="493"/>
      <c r="F100" s="493"/>
      <c r="G100" s="493"/>
      <c r="H100" s="493"/>
      <c r="I100" s="494"/>
      <c r="J100" s="493"/>
      <c r="K100" s="493"/>
    </row>
    <row r="101" spans="2:11" ht="12.75">
      <c r="B101" s="495" t="str">
        <f t="shared" si="0"/>
        <v/>
      </c>
      <c r="C101" s="493"/>
      <c r="D101" s="493"/>
      <c r="E101" s="493"/>
      <c r="F101" s="493"/>
      <c r="G101" s="493"/>
      <c r="H101" s="493"/>
      <c r="I101" s="494"/>
      <c r="J101" s="493"/>
      <c r="K101" s="493"/>
    </row>
    <row r="102" spans="2:11" ht="12.75">
      <c r="B102" s="495" t="str">
        <f t="shared" si="0"/>
        <v/>
      </c>
      <c r="C102" s="493"/>
      <c r="D102" s="493"/>
      <c r="E102" s="493"/>
      <c r="F102" s="493"/>
      <c r="G102" s="493"/>
      <c r="H102" s="493"/>
      <c r="I102" s="494"/>
      <c r="J102" s="493"/>
      <c r="K102" s="493"/>
    </row>
    <row r="103" spans="2:11" ht="12.75">
      <c r="B103" s="495" t="str">
        <f t="shared" si="0"/>
        <v/>
      </c>
      <c r="C103" s="493"/>
      <c r="D103" s="493"/>
      <c r="E103" s="493"/>
      <c r="F103" s="493"/>
      <c r="G103" s="493"/>
      <c r="H103" s="493"/>
      <c r="I103" s="494"/>
      <c r="J103" s="493"/>
      <c r="K103" s="493"/>
    </row>
    <row r="104" spans="2:11" ht="12.75">
      <c r="B104" s="495" t="str">
        <f t="shared" si="0"/>
        <v/>
      </c>
      <c r="C104" s="493"/>
      <c r="D104" s="493"/>
      <c r="E104" s="493"/>
      <c r="F104" s="493"/>
      <c r="G104" s="493"/>
      <c r="H104" s="493"/>
      <c r="I104" s="494"/>
      <c r="J104" s="493"/>
      <c r="K104" s="493"/>
    </row>
    <row r="105" spans="2:11" ht="12.75">
      <c r="B105" s="495" t="str">
        <f t="shared" si="0"/>
        <v/>
      </c>
      <c r="C105" s="493"/>
      <c r="D105" s="493"/>
      <c r="E105" s="493"/>
      <c r="F105" s="493"/>
      <c r="G105" s="493"/>
      <c r="H105" s="493"/>
      <c r="I105" s="494"/>
      <c r="J105" s="493"/>
      <c r="K105" s="493"/>
    </row>
    <row r="106" spans="2:11" ht="12.75">
      <c r="B106" s="495" t="str">
        <f t="shared" si="0"/>
        <v/>
      </c>
      <c r="C106" s="493"/>
      <c r="D106" s="493"/>
      <c r="E106" s="493"/>
      <c r="F106" s="493"/>
      <c r="G106" s="493"/>
      <c r="H106" s="493"/>
      <c r="I106" s="494"/>
      <c r="J106" s="493"/>
      <c r="K106" s="493"/>
    </row>
    <row r="107" spans="2:11" ht="12.75">
      <c r="B107" s="495" t="str">
        <f t="shared" si="0"/>
        <v/>
      </c>
      <c r="C107" s="493"/>
      <c r="D107" s="493"/>
      <c r="E107" s="493"/>
      <c r="F107" s="493"/>
      <c r="G107" s="493"/>
      <c r="H107" s="493"/>
      <c r="I107" s="494"/>
      <c r="J107" s="493"/>
      <c r="K107" s="493"/>
    </row>
    <row r="108" spans="2:11" ht="12.75">
      <c r="B108" s="495" t="str">
        <f t="shared" si="0"/>
        <v/>
      </c>
      <c r="C108" s="493"/>
      <c r="D108" s="493"/>
      <c r="E108" s="493"/>
      <c r="F108" s="493"/>
      <c r="G108" s="493"/>
      <c r="H108" s="493"/>
      <c r="I108" s="494"/>
      <c r="J108" s="493"/>
      <c r="K108" s="493"/>
    </row>
    <row r="109" spans="2:11" ht="12.75">
      <c r="B109" s="495" t="str">
        <f t="shared" si="0"/>
        <v/>
      </c>
      <c r="C109" s="493"/>
      <c r="D109" s="493"/>
      <c r="E109" s="493"/>
      <c r="F109" s="493"/>
      <c r="G109" s="493"/>
      <c r="H109" s="493"/>
      <c r="I109" s="494"/>
      <c r="J109" s="493"/>
      <c r="K109" s="493"/>
    </row>
    <row r="110" spans="2:11" ht="12.75">
      <c r="B110" s="495" t="str">
        <f t="shared" si="0"/>
        <v/>
      </c>
      <c r="C110" s="493"/>
      <c r="D110" s="493"/>
      <c r="E110" s="493"/>
      <c r="F110" s="493"/>
      <c r="G110" s="493"/>
      <c r="H110" s="493"/>
      <c r="I110" s="494"/>
      <c r="J110" s="493"/>
      <c r="K110" s="493"/>
    </row>
    <row r="111" spans="2:11" ht="12.75">
      <c r="B111" s="495" t="str">
        <f t="shared" si="0"/>
        <v/>
      </c>
      <c r="C111" s="493"/>
      <c r="D111" s="493"/>
      <c r="E111" s="493"/>
      <c r="F111" s="493"/>
      <c r="G111" s="493"/>
      <c r="H111" s="493"/>
      <c r="I111" s="494"/>
      <c r="J111" s="493"/>
      <c r="K111" s="493"/>
    </row>
    <row r="112" spans="2:11" ht="12.75">
      <c r="B112" s="495" t="str">
        <f t="shared" si="0"/>
        <v/>
      </c>
      <c r="C112" s="493"/>
      <c r="D112" s="493"/>
      <c r="E112" s="493"/>
      <c r="F112" s="493"/>
      <c r="G112" s="493"/>
      <c r="H112" s="493"/>
      <c r="I112" s="494"/>
      <c r="J112" s="493"/>
      <c r="K112" s="493"/>
    </row>
    <row r="113" spans="2:11" ht="12.75">
      <c r="B113" s="495" t="str">
        <f t="shared" si="0"/>
        <v/>
      </c>
      <c r="C113" s="493"/>
      <c r="D113" s="493"/>
      <c r="E113" s="493"/>
      <c r="F113" s="493"/>
      <c r="G113" s="493"/>
      <c r="H113" s="493"/>
      <c r="I113" s="494"/>
      <c r="J113" s="493"/>
      <c r="K113" s="493"/>
    </row>
    <row r="114" spans="2:11" ht="12.75">
      <c r="B114" s="495" t="str">
        <f t="shared" si="0"/>
        <v/>
      </c>
      <c r="C114" s="493"/>
      <c r="D114" s="493"/>
      <c r="E114" s="493"/>
      <c r="F114" s="493"/>
      <c r="G114" s="493"/>
      <c r="H114" s="493"/>
      <c r="I114" s="494"/>
      <c r="J114" s="493"/>
      <c r="K114" s="493"/>
    </row>
    <row r="115" spans="2:11" ht="12.75">
      <c r="B115" s="495" t="str">
        <f t="shared" si="0"/>
        <v/>
      </c>
      <c r="C115" s="493"/>
      <c r="D115" s="493"/>
      <c r="E115" s="493"/>
      <c r="F115" s="493"/>
      <c r="G115" s="493"/>
      <c r="H115" s="493"/>
      <c r="I115" s="494"/>
      <c r="J115" s="493"/>
      <c r="K115" s="493"/>
    </row>
    <row r="116" spans="2:11" ht="12.75">
      <c r="B116" s="495" t="str">
        <f t="shared" si="0"/>
        <v/>
      </c>
      <c r="C116" s="493"/>
      <c r="D116" s="493"/>
      <c r="E116" s="493"/>
      <c r="F116" s="493"/>
      <c r="G116" s="493"/>
      <c r="H116" s="493"/>
      <c r="I116" s="494"/>
      <c r="J116" s="493"/>
      <c r="K116" s="493"/>
    </row>
    <row r="117" spans="2:11" ht="12.75">
      <c r="B117" s="495" t="str">
        <f t="shared" si="0"/>
        <v/>
      </c>
      <c r="C117" s="493"/>
      <c r="D117" s="493"/>
      <c r="E117" s="493"/>
      <c r="F117" s="493"/>
      <c r="G117" s="493"/>
      <c r="H117" s="493"/>
      <c r="I117" s="494"/>
      <c r="J117" s="493"/>
      <c r="K117" s="493"/>
    </row>
    <row r="118" spans="2:11" ht="12.75">
      <c r="B118" s="495" t="str">
        <f t="shared" si="0"/>
        <v/>
      </c>
      <c r="C118" s="493"/>
      <c r="D118" s="493"/>
      <c r="E118" s="493"/>
      <c r="F118" s="493"/>
      <c r="G118" s="493"/>
      <c r="H118" s="493"/>
      <c r="I118" s="494"/>
      <c r="J118" s="493"/>
      <c r="K118" s="493"/>
    </row>
    <row r="119" spans="2:11" ht="12.75">
      <c r="B119" s="495" t="str">
        <f t="shared" si="0"/>
        <v/>
      </c>
      <c r="C119" s="493"/>
      <c r="D119" s="493"/>
      <c r="E119" s="493"/>
      <c r="F119" s="493"/>
      <c r="G119" s="493"/>
      <c r="H119" s="493"/>
      <c r="I119" s="494"/>
      <c r="J119" s="493"/>
      <c r="K119" s="493"/>
    </row>
    <row r="120" spans="2:11" ht="12.75">
      <c r="B120" s="495" t="str">
        <f t="shared" si="0"/>
        <v/>
      </c>
      <c r="C120" s="493"/>
      <c r="D120" s="493"/>
      <c r="E120" s="493"/>
      <c r="F120" s="493"/>
      <c r="G120" s="493"/>
      <c r="H120" s="493"/>
      <c r="I120" s="494"/>
      <c r="J120" s="493"/>
      <c r="K120" s="493"/>
    </row>
    <row r="121" spans="2:11" ht="12.75">
      <c r="B121" s="495" t="str">
        <f t="shared" si="0"/>
        <v/>
      </c>
      <c r="C121" s="493"/>
      <c r="D121" s="493"/>
      <c r="E121" s="493"/>
      <c r="F121" s="493"/>
      <c r="G121" s="493"/>
      <c r="H121" s="493"/>
      <c r="I121" s="494"/>
      <c r="J121" s="493"/>
      <c r="K121" s="493"/>
    </row>
    <row r="122" spans="2:11" ht="12.75">
      <c r="B122" s="495" t="str">
        <f t="shared" si="0"/>
        <v/>
      </c>
      <c r="C122" s="493"/>
      <c r="D122" s="493"/>
      <c r="E122" s="493"/>
      <c r="F122" s="493"/>
      <c r="G122" s="493"/>
      <c r="H122" s="493"/>
      <c r="I122" s="494"/>
      <c r="J122" s="493"/>
      <c r="K122" s="493"/>
    </row>
    <row r="123" spans="2:11" ht="12.75">
      <c r="B123" s="495" t="str">
        <f t="shared" si="0"/>
        <v/>
      </c>
      <c r="C123" s="493"/>
      <c r="D123" s="493"/>
      <c r="E123" s="493"/>
      <c r="F123" s="493"/>
      <c r="G123" s="493"/>
      <c r="H123" s="493"/>
      <c r="I123" s="494"/>
      <c r="J123" s="493"/>
      <c r="K123" s="493"/>
    </row>
    <row r="124" spans="2:11" ht="12.75">
      <c r="B124" s="495" t="str">
        <f t="shared" si="0"/>
        <v/>
      </c>
      <c r="C124" s="493"/>
      <c r="D124" s="493"/>
      <c r="E124" s="493"/>
      <c r="F124" s="493"/>
      <c r="G124" s="493"/>
      <c r="H124" s="493"/>
      <c r="I124" s="494"/>
      <c r="J124" s="493"/>
      <c r="K124" s="493"/>
    </row>
    <row r="125" spans="2:11" ht="12.75">
      <c r="B125" s="495" t="str">
        <f t="shared" si="0"/>
        <v/>
      </c>
      <c r="C125" s="493"/>
      <c r="D125" s="493"/>
      <c r="E125" s="493"/>
      <c r="F125" s="493"/>
      <c r="G125" s="493"/>
      <c r="H125" s="493"/>
      <c r="I125" s="494"/>
      <c r="J125" s="493"/>
      <c r="K125" s="493"/>
    </row>
    <row r="126" spans="2:11" ht="12.75">
      <c r="B126" s="495" t="str">
        <f t="shared" si="0"/>
        <v/>
      </c>
      <c r="C126" s="493"/>
      <c r="D126" s="493"/>
      <c r="E126" s="493"/>
      <c r="F126" s="493"/>
      <c r="G126" s="493"/>
      <c r="H126" s="493"/>
      <c r="I126" s="494"/>
      <c r="J126" s="493"/>
      <c r="K126" s="493"/>
    </row>
    <row r="127" spans="2:11" ht="12.75">
      <c r="B127" s="495" t="str">
        <f t="shared" si="0"/>
        <v/>
      </c>
      <c r="C127" s="493"/>
      <c r="D127" s="493"/>
      <c r="E127" s="493"/>
      <c r="F127" s="493"/>
      <c r="G127" s="493"/>
      <c r="H127" s="493"/>
      <c r="I127" s="494"/>
      <c r="J127" s="493"/>
      <c r="K127" s="493"/>
    </row>
    <row r="128" spans="2:11" ht="12.75">
      <c r="B128" s="495" t="str">
        <f t="shared" si="0"/>
        <v/>
      </c>
      <c r="C128" s="493"/>
      <c r="D128" s="493"/>
      <c r="E128" s="493"/>
      <c r="F128" s="493"/>
      <c r="G128" s="493"/>
      <c r="H128" s="493"/>
      <c r="I128" s="494"/>
      <c r="J128" s="493"/>
      <c r="K128" s="493"/>
    </row>
    <row r="129" spans="2:11" ht="12.75">
      <c r="B129" s="495" t="str">
        <f t="shared" si="0"/>
        <v/>
      </c>
      <c r="C129" s="493"/>
      <c r="D129" s="493"/>
      <c r="E129" s="493"/>
      <c r="F129" s="493"/>
      <c r="G129" s="493"/>
      <c r="H129" s="493"/>
      <c r="I129" s="494"/>
      <c r="J129" s="493"/>
      <c r="K129" s="493"/>
    </row>
    <row r="130" spans="2:11" ht="12.75">
      <c r="B130" s="495" t="str">
        <f t="shared" si="0"/>
        <v/>
      </c>
      <c r="C130" s="493"/>
      <c r="D130" s="493"/>
      <c r="E130" s="493"/>
      <c r="F130" s="493"/>
      <c r="G130" s="493"/>
      <c r="H130" s="493"/>
      <c r="I130" s="494"/>
      <c r="J130" s="493"/>
      <c r="K130" s="493"/>
    </row>
    <row r="131" spans="2:11" ht="12.75">
      <c r="B131" s="495" t="str">
        <f t="shared" si="0"/>
        <v/>
      </c>
      <c r="C131" s="493"/>
      <c r="D131" s="493"/>
      <c r="E131" s="493"/>
      <c r="F131" s="493"/>
      <c r="G131" s="493"/>
      <c r="H131" s="493"/>
      <c r="I131" s="494"/>
      <c r="J131" s="493"/>
      <c r="K131" s="493"/>
    </row>
    <row r="132" spans="2:11" ht="12.75">
      <c r="B132" s="495" t="str">
        <f t="shared" si="0"/>
        <v/>
      </c>
      <c r="C132" s="493"/>
      <c r="D132" s="493"/>
      <c r="E132" s="493"/>
      <c r="F132" s="493"/>
      <c r="G132" s="493"/>
      <c r="H132" s="493"/>
      <c r="I132" s="494"/>
      <c r="J132" s="493"/>
      <c r="K132" s="493"/>
    </row>
    <row r="133" spans="2:11" ht="12.75">
      <c r="B133" s="495" t="str">
        <f t="shared" si="0"/>
        <v/>
      </c>
      <c r="C133" s="493"/>
      <c r="D133" s="493"/>
      <c r="E133" s="493"/>
      <c r="F133" s="493"/>
      <c r="G133" s="493"/>
      <c r="H133" s="493"/>
      <c r="I133" s="494"/>
      <c r="J133" s="493"/>
      <c r="K133" s="493"/>
    </row>
    <row r="134" spans="2:11" ht="12.75">
      <c r="B134" s="495" t="str">
        <f t="shared" si="0"/>
        <v/>
      </c>
      <c r="C134" s="493"/>
      <c r="D134" s="493"/>
      <c r="E134" s="493"/>
      <c r="F134" s="493"/>
      <c r="G134" s="493"/>
      <c r="H134" s="493"/>
      <c r="I134" s="494"/>
      <c r="J134" s="493"/>
      <c r="K134" s="493"/>
    </row>
    <row r="135" spans="2:11" ht="12.75">
      <c r="B135" s="495" t="str">
        <f t="shared" si="0"/>
        <v/>
      </c>
      <c r="C135" s="493"/>
      <c r="D135" s="493"/>
      <c r="E135" s="493"/>
      <c r="F135" s="493"/>
      <c r="G135" s="493"/>
      <c r="H135" s="493"/>
      <c r="I135" s="494"/>
      <c r="J135" s="493"/>
      <c r="K135" s="493"/>
    </row>
    <row r="136" spans="2:11" ht="12.75">
      <c r="B136" s="495" t="str">
        <f t="shared" si="0"/>
        <v/>
      </c>
      <c r="C136" s="493"/>
      <c r="D136" s="493"/>
      <c r="E136" s="493"/>
      <c r="F136" s="493"/>
      <c r="G136" s="493"/>
      <c r="H136" s="493"/>
      <c r="I136" s="494"/>
      <c r="J136" s="493"/>
      <c r="K136" s="493"/>
    </row>
    <row r="137" spans="2:11" ht="12.75">
      <c r="B137" s="495" t="str">
        <f t="shared" si="0"/>
        <v/>
      </c>
      <c r="C137" s="493"/>
      <c r="D137" s="493"/>
      <c r="E137" s="493"/>
      <c r="F137" s="493"/>
      <c r="G137" s="493"/>
      <c r="H137" s="493"/>
      <c r="I137" s="494"/>
      <c r="J137" s="493"/>
      <c r="K137" s="493"/>
    </row>
    <row r="138" spans="2:11" ht="12.75">
      <c r="B138" s="495" t="str">
        <f t="shared" si="0"/>
        <v/>
      </c>
      <c r="C138" s="493"/>
      <c r="D138" s="493"/>
      <c r="E138" s="493"/>
      <c r="F138" s="493"/>
      <c r="G138" s="493"/>
      <c r="H138" s="493"/>
      <c r="I138" s="494"/>
      <c r="J138" s="493"/>
      <c r="K138" s="493"/>
    </row>
    <row r="139" spans="2:11" ht="12.75">
      <c r="B139" s="495" t="str">
        <f t="shared" si="0"/>
        <v/>
      </c>
      <c r="C139" s="493"/>
      <c r="D139" s="493"/>
      <c r="E139" s="493"/>
      <c r="F139" s="493"/>
      <c r="G139" s="493"/>
      <c r="H139" s="493"/>
      <c r="I139" s="494"/>
      <c r="J139" s="493"/>
      <c r="K139" s="493"/>
    </row>
    <row r="140" spans="2:11" ht="12.75">
      <c r="B140" s="495" t="str">
        <f t="shared" si="0"/>
        <v/>
      </c>
      <c r="C140" s="493"/>
      <c r="D140" s="493"/>
      <c r="E140" s="493"/>
      <c r="F140" s="493"/>
      <c r="G140" s="493"/>
      <c r="H140" s="493"/>
      <c r="I140" s="494"/>
      <c r="J140" s="493"/>
      <c r="K140" s="493"/>
    </row>
    <row r="141" spans="2:11" ht="12.75">
      <c r="B141" s="495" t="str">
        <f t="shared" si="0"/>
        <v/>
      </c>
      <c r="C141" s="493"/>
      <c r="D141" s="493"/>
      <c r="E141" s="493"/>
      <c r="F141" s="493"/>
      <c r="G141" s="493"/>
      <c r="H141" s="493"/>
      <c r="I141" s="494"/>
      <c r="J141" s="493"/>
      <c r="K141" s="493"/>
    </row>
    <row r="142" spans="2:11" ht="12.75">
      <c r="B142" s="495" t="str">
        <f t="shared" si="0"/>
        <v/>
      </c>
      <c r="C142" s="493"/>
      <c r="D142" s="493"/>
      <c r="E142" s="493"/>
      <c r="F142" s="493"/>
      <c r="G142" s="493"/>
      <c r="H142" s="493"/>
      <c r="I142" s="494"/>
      <c r="J142" s="493"/>
      <c r="K142" s="493"/>
    </row>
    <row r="143" spans="2:11" ht="12.75">
      <c r="B143" s="495" t="str">
        <f t="shared" si="0"/>
        <v/>
      </c>
      <c r="C143" s="493"/>
      <c r="D143" s="493"/>
      <c r="E143" s="493"/>
      <c r="F143" s="493"/>
      <c r="G143" s="493"/>
      <c r="H143" s="493"/>
      <c r="I143" s="494"/>
      <c r="J143" s="493"/>
      <c r="K143" s="493"/>
    </row>
    <row r="144" spans="2:11" ht="12.75">
      <c r="B144" s="495" t="str">
        <f t="shared" si="0"/>
        <v/>
      </c>
      <c r="C144" s="493"/>
      <c r="D144" s="493"/>
      <c r="E144" s="493"/>
      <c r="F144" s="493"/>
      <c r="G144" s="493"/>
      <c r="H144" s="493"/>
      <c r="I144" s="494"/>
      <c r="J144" s="493"/>
      <c r="K144" s="493"/>
    </row>
    <row r="145" spans="2:11" ht="12.75">
      <c r="B145" s="495" t="str">
        <f t="shared" si="0"/>
        <v/>
      </c>
      <c r="C145" s="493"/>
      <c r="D145" s="493"/>
      <c r="E145" s="493"/>
      <c r="F145" s="493"/>
      <c r="G145" s="493"/>
      <c r="H145" s="493"/>
      <c r="I145" s="494"/>
      <c r="J145" s="493"/>
      <c r="K145" s="493"/>
    </row>
    <row r="146" spans="2:11" ht="12.75">
      <c r="B146" s="495" t="str">
        <f t="shared" si="0"/>
        <v/>
      </c>
      <c r="C146" s="493"/>
      <c r="D146" s="493"/>
      <c r="E146" s="493"/>
      <c r="F146" s="493"/>
      <c r="G146" s="493"/>
      <c r="H146" s="493"/>
      <c r="I146" s="494"/>
      <c r="J146" s="493"/>
      <c r="K146" s="493"/>
    </row>
    <row r="147" spans="2:11" ht="12.75">
      <c r="B147" s="495" t="str">
        <f t="shared" si="0"/>
        <v/>
      </c>
      <c r="C147" s="493"/>
      <c r="D147" s="493"/>
      <c r="E147" s="493"/>
      <c r="F147" s="493"/>
      <c r="G147" s="493"/>
      <c r="H147" s="493"/>
      <c r="I147" s="494"/>
      <c r="J147" s="493"/>
      <c r="K147" s="493"/>
    </row>
    <row r="148" spans="2:11" ht="12.75">
      <c r="B148" s="495" t="str">
        <f t="shared" si="0"/>
        <v/>
      </c>
      <c r="C148" s="493"/>
      <c r="D148" s="493"/>
      <c r="E148" s="493"/>
      <c r="F148" s="493"/>
      <c r="G148" s="493"/>
      <c r="H148" s="493"/>
      <c r="I148" s="494"/>
      <c r="J148" s="493"/>
      <c r="K148" s="493"/>
    </row>
    <row r="149" spans="2:11" ht="12.75">
      <c r="B149" s="495" t="str">
        <f t="shared" si="0"/>
        <v/>
      </c>
      <c r="C149" s="493"/>
      <c r="D149" s="493"/>
      <c r="E149" s="493"/>
      <c r="F149" s="493"/>
      <c r="G149" s="493"/>
      <c r="H149" s="493"/>
      <c r="I149" s="494"/>
      <c r="J149" s="493"/>
      <c r="K149" s="493"/>
    </row>
    <row r="150" spans="2:11" ht="12.75">
      <c r="B150" s="495" t="str">
        <f t="shared" si="0"/>
        <v/>
      </c>
      <c r="C150" s="493"/>
      <c r="D150" s="493"/>
      <c r="E150" s="493"/>
      <c r="F150" s="493"/>
      <c r="G150" s="493"/>
      <c r="H150" s="493"/>
      <c r="I150" s="494"/>
      <c r="J150" s="493"/>
      <c r="K150" s="493"/>
    </row>
    <row r="151" spans="2:11" ht="12.75">
      <c r="B151" s="495" t="str">
        <f t="shared" si="0"/>
        <v/>
      </c>
      <c r="C151" s="493"/>
      <c r="D151" s="493"/>
      <c r="E151" s="493"/>
      <c r="F151" s="493"/>
      <c r="G151" s="493"/>
      <c r="H151" s="493"/>
      <c r="I151" s="494"/>
      <c r="J151" s="493"/>
      <c r="K151" s="493"/>
    </row>
    <row r="152" spans="2:11" ht="12.75">
      <c r="B152" s="495" t="str">
        <f t="shared" si="0"/>
        <v/>
      </c>
      <c r="C152" s="493"/>
      <c r="D152" s="493"/>
      <c r="E152" s="493"/>
      <c r="F152" s="493"/>
      <c r="G152" s="493"/>
      <c r="H152" s="493"/>
      <c r="I152" s="494"/>
      <c r="J152" s="493"/>
      <c r="K152" s="493"/>
    </row>
    <row r="153" spans="2:11" ht="12.75">
      <c r="B153" s="495" t="str">
        <f t="shared" si="0"/>
        <v/>
      </c>
      <c r="C153" s="493"/>
      <c r="D153" s="493"/>
      <c r="E153" s="493"/>
      <c r="F153" s="493"/>
      <c r="G153" s="493"/>
      <c r="H153" s="493"/>
      <c r="I153" s="494"/>
      <c r="J153" s="493"/>
      <c r="K153" s="493"/>
    </row>
    <row r="154" spans="2:11" ht="12.75">
      <c r="B154" s="495" t="str">
        <f t="shared" si="0"/>
        <v/>
      </c>
      <c r="C154" s="493"/>
      <c r="D154" s="493"/>
      <c r="E154" s="493"/>
      <c r="F154" s="493"/>
      <c r="G154" s="493"/>
      <c r="H154" s="493"/>
      <c r="I154" s="494"/>
      <c r="J154" s="493"/>
      <c r="K154" s="493"/>
    </row>
    <row r="155" spans="2:11" ht="12.75">
      <c r="B155" s="495" t="str">
        <f t="shared" si="0"/>
        <v/>
      </c>
      <c r="C155" s="493"/>
      <c r="D155" s="493"/>
      <c r="E155" s="493"/>
      <c r="F155" s="493"/>
      <c r="G155" s="493"/>
      <c r="H155" s="493"/>
      <c r="I155" s="494"/>
      <c r="J155" s="493"/>
      <c r="K155" s="493"/>
    </row>
    <row r="156" spans="2:11" ht="12.75">
      <c r="B156" s="495" t="str">
        <f t="shared" si="0"/>
        <v/>
      </c>
      <c r="C156" s="493"/>
      <c r="D156" s="493"/>
      <c r="E156" s="493"/>
      <c r="F156" s="493"/>
      <c r="G156" s="493"/>
      <c r="H156" s="493"/>
      <c r="I156" s="494"/>
      <c r="J156" s="493"/>
      <c r="K156" s="493"/>
    </row>
    <row r="157" spans="2:11" ht="12.75">
      <c r="B157" s="495" t="str">
        <f t="shared" si="0"/>
        <v/>
      </c>
      <c r="C157" s="493"/>
      <c r="D157" s="493"/>
      <c r="E157" s="493"/>
      <c r="F157" s="493"/>
      <c r="G157" s="493"/>
      <c r="H157" s="493"/>
      <c r="I157" s="494"/>
      <c r="J157" s="493"/>
      <c r="K157" s="493"/>
    </row>
    <row r="158" spans="2:11" ht="12.75">
      <c r="B158" s="495" t="str">
        <f t="shared" si="0"/>
        <v/>
      </c>
      <c r="C158" s="493"/>
      <c r="D158" s="493"/>
      <c r="E158" s="493"/>
      <c r="F158" s="493"/>
      <c r="G158" s="493"/>
      <c r="H158" s="493"/>
      <c r="I158" s="494"/>
      <c r="J158" s="493"/>
      <c r="K158" s="493"/>
    </row>
    <row r="159" spans="2:11" ht="12.75">
      <c r="B159" s="495" t="str">
        <f t="shared" si="0"/>
        <v/>
      </c>
      <c r="C159" s="493"/>
      <c r="D159" s="493"/>
      <c r="E159" s="493"/>
      <c r="F159" s="493"/>
      <c r="G159" s="493"/>
      <c r="H159" s="493"/>
      <c r="I159" s="494"/>
      <c r="J159" s="493"/>
      <c r="K159" s="493"/>
    </row>
    <row r="160" spans="2:11" ht="12.75">
      <c r="B160" s="495" t="str">
        <f t="shared" si="0"/>
        <v/>
      </c>
      <c r="C160" s="493"/>
      <c r="D160" s="493"/>
      <c r="E160" s="493"/>
      <c r="F160" s="493"/>
      <c r="G160" s="493"/>
      <c r="H160" s="493"/>
      <c r="I160" s="494"/>
      <c r="J160" s="493"/>
      <c r="K160" s="493"/>
    </row>
    <row r="161" spans="2:11" ht="12.75">
      <c r="B161" s="495" t="str">
        <f t="shared" si="0"/>
        <v/>
      </c>
      <c r="C161" s="493"/>
      <c r="D161" s="493"/>
      <c r="E161" s="493"/>
      <c r="F161" s="493"/>
      <c r="G161" s="493"/>
      <c r="H161" s="493"/>
      <c r="I161" s="494"/>
      <c r="J161" s="493"/>
      <c r="K161" s="493"/>
    </row>
    <row r="162" spans="2:11" ht="12.75">
      <c r="B162" s="495" t="str">
        <f t="shared" si="0"/>
        <v/>
      </c>
      <c r="C162" s="493"/>
      <c r="D162" s="493"/>
      <c r="E162" s="493"/>
      <c r="F162" s="493"/>
      <c r="G162" s="493"/>
      <c r="H162" s="493"/>
      <c r="I162" s="494"/>
      <c r="J162" s="493"/>
      <c r="K162" s="493"/>
    </row>
    <row r="163" spans="2:11" ht="12.75">
      <c r="B163" s="495" t="str">
        <f t="shared" si="0"/>
        <v/>
      </c>
      <c r="C163" s="493"/>
      <c r="D163" s="493"/>
      <c r="E163" s="493"/>
      <c r="F163" s="493"/>
      <c r="G163" s="493"/>
      <c r="H163" s="493"/>
      <c r="I163" s="494"/>
      <c r="J163" s="493"/>
      <c r="K163" s="493"/>
    </row>
    <row r="164" spans="2:11" ht="12.75">
      <c r="B164" s="495" t="str">
        <f t="shared" si="0"/>
        <v/>
      </c>
      <c r="C164" s="493"/>
      <c r="D164" s="493"/>
      <c r="E164" s="493"/>
      <c r="F164" s="493"/>
      <c r="G164" s="493"/>
      <c r="H164" s="493"/>
      <c r="I164" s="494"/>
      <c r="J164" s="493"/>
      <c r="K164" s="493"/>
    </row>
    <row r="165" spans="2:11" ht="12.75">
      <c r="B165" s="495" t="str">
        <f t="shared" si="0"/>
        <v/>
      </c>
      <c r="C165" s="493"/>
      <c r="D165" s="493"/>
      <c r="E165" s="493"/>
      <c r="F165" s="493"/>
      <c r="G165" s="493"/>
      <c r="H165" s="493"/>
      <c r="I165" s="494"/>
      <c r="J165" s="493"/>
      <c r="K165" s="493"/>
    </row>
    <row r="166" spans="2:11" ht="12.75">
      <c r="B166" s="495" t="str">
        <f t="shared" si="0"/>
        <v/>
      </c>
      <c r="C166" s="493"/>
      <c r="D166" s="493"/>
      <c r="E166" s="493"/>
      <c r="F166" s="493"/>
      <c r="G166" s="493"/>
      <c r="H166" s="493"/>
      <c r="I166" s="494"/>
      <c r="J166" s="493"/>
      <c r="K166" s="493"/>
    </row>
    <row r="167" spans="2:11" ht="12.75">
      <c r="B167" s="495" t="str">
        <f t="shared" si="0"/>
        <v/>
      </c>
      <c r="C167" s="493"/>
      <c r="D167" s="493"/>
      <c r="E167" s="493"/>
      <c r="F167" s="493"/>
      <c r="G167" s="493"/>
      <c r="H167" s="493"/>
      <c r="I167" s="494"/>
      <c r="J167" s="493"/>
      <c r="K167" s="493"/>
    </row>
    <row r="168" spans="2:11" ht="12.75">
      <c r="B168" s="495" t="str">
        <f t="shared" si="0"/>
        <v/>
      </c>
      <c r="C168" s="493"/>
      <c r="D168" s="493"/>
      <c r="E168" s="493"/>
      <c r="F168" s="493"/>
      <c r="G168" s="493"/>
      <c r="H168" s="493"/>
      <c r="I168" s="494"/>
      <c r="J168" s="493"/>
      <c r="K168" s="493"/>
    </row>
    <row r="169" spans="2:11" ht="12.75">
      <c r="B169" s="495" t="str">
        <f t="shared" si="0"/>
        <v/>
      </c>
      <c r="C169" s="493"/>
      <c r="D169" s="493"/>
      <c r="E169" s="493"/>
      <c r="F169" s="493"/>
      <c r="G169" s="493"/>
      <c r="H169" s="493"/>
      <c r="I169" s="494"/>
      <c r="J169" s="493"/>
      <c r="K169" s="493"/>
    </row>
    <row r="170" spans="2:11" ht="12.75">
      <c r="B170" s="495" t="str">
        <f t="shared" si="0"/>
        <v/>
      </c>
      <c r="C170" s="493"/>
      <c r="D170" s="493"/>
      <c r="E170" s="493"/>
      <c r="F170" s="493"/>
      <c r="G170" s="493"/>
      <c r="H170" s="493"/>
      <c r="I170" s="494"/>
      <c r="J170" s="493"/>
      <c r="K170" s="493"/>
    </row>
    <row r="171" spans="2:11" ht="12.75">
      <c r="B171" s="495" t="str">
        <f t="shared" si="0"/>
        <v/>
      </c>
      <c r="C171" s="493"/>
      <c r="D171" s="493"/>
      <c r="E171" s="493"/>
      <c r="F171" s="493"/>
      <c r="G171" s="493"/>
      <c r="H171" s="493"/>
      <c r="I171" s="494"/>
      <c r="J171" s="493"/>
      <c r="K171" s="493"/>
    </row>
    <row r="172" spans="2:11" ht="12.75">
      <c r="B172" s="495" t="str">
        <f t="shared" si="0"/>
        <v/>
      </c>
      <c r="C172" s="493"/>
      <c r="D172" s="493"/>
      <c r="E172" s="493"/>
      <c r="F172" s="493"/>
      <c r="G172" s="493"/>
      <c r="H172" s="493"/>
      <c r="I172" s="494"/>
      <c r="J172" s="493"/>
      <c r="K172" s="493"/>
    </row>
    <row r="173" spans="2:11" ht="12.75">
      <c r="B173" s="495" t="str">
        <f t="shared" si="0"/>
        <v/>
      </c>
      <c r="C173" s="493"/>
      <c r="D173" s="493"/>
      <c r="E173" s="493"/>
      <c r="F173" s="493"/>
      <c r="G173" s="493"/>
      <c r="H173" s="493"/>
      <c r="I173" s="494"/>
      <c r="J173" s="493"/>
      <c r="K173" s="493"/>
    </row>
    <row r="174" spans="2:11" ht="12.75">
      <c r="B174" s="495" t="str">
        <f t="shared" si="0"/>
        <v/>
      </c>
      <c r="C174" s="493"/>
      <c r="D174" s="493"/>
      <c r="E174" s="493"/>
      <c r="F174" s="493"/>
      <c r="G174" s="493"/>
      <c r="H174" s="493"/>
      <c r="I174" s="494"/>
      <c r="J174" s="493"/>
      <c r="K174" s="493"/>
    </row>
    <row r="175" spans="2:11" ht="12.75">
      <c r="B175" s="495" t="str">
        <f t="shared" si="0"/>
        <v/>
      </c>
      <c r="C175" s="493"/>
      <c r="D175" s="493"/>
      <c r="E175" s="493"/>
      <c r="F175" s="493"/>
      <c r="G175" s="493"/>
      <c r="H175" s="493"/>
      <c r="I175" s="494"/>
      <c r="J175" s="493"/>
      <c r="K175" s="493"/>
    </row>
    <row r="176" spans="2:11" ht="12.75">
      <c r="B176" s="495" t="str">
        <f t="shared" si="0"/>
        <v/>
      </c>
      <c r="C176" s="493"/>
      <c r="D176" s="493"/>
      <c r="E176" s="493"/>
      <c r="F176" s="493"/>
      <c r="G176" s="493"/>
      <c r="H176" s="493"/>
      <c r="I176" s="494"/>
      <c r="J176" s="493"/>
      <c r="K176" s="493"/>
    </row>
    <row r="177" spans="2:11" ht="12.75">
      <c r="B177" s="495" t="str">
        <f t="shared" si="0"/>
        <v/>
      </c>
      <c r="C177" s="493"/>
      <c r="D177" s="493"/>
      <c r="E177" s="493"/>
      <c r="F177" s="493"/>
      <c r="G177" s="493"/>
      <c r="H177" s="493"/>
      <c r="I177" s="494"/>
      <c r="J177" s="493"/>
      <c r="K177" s="493"/>
    </row>
    <row r="178" spans="2:11" ht="12.75">
      <c r="B178" s="495" t="str">
        <f t="shared" si="0"/>
        <v/>
      </c>
      <c r="C178" s="493"/>
      <c r="D178" s="493"/>
      <c r="E178" s="493"/>
      <c r="F178" s="493"/>
      <c r="G178" s="493"/>
      <c r="H178" s="493"/>
      <c r="I178" s="494"/>
      <c r="J178" s="493"/>
      <c r="K178" s="493"/>
    </row>
    <row r="179" spans="2:11" ht="12.75">
      <c r="B179" s="495" t="str">
        <f t="shared" si="0"/>
        <v/>
      </c>
      <c r="C179" s="493"/>
      <c r="D179" s="493"/>
      <c r="E179" s="493"/>
      <c r="F179" s="493"/>
      <c r="G179" s="493"/>
      <c r="H179" s="493"/>
      <c r="I179" s="494"/>
      <c r="J179" s="493"/>
      <c r="K179" s="493"/>
    </row>
    <row r="180" spans="2:11" ht="12.75">
      <c r="B180" s="495" t="str">
        <f t="shared" si="0"/>
        <v/>
      </c>
      <c r="C180" s="493"/>
      <c r="D180" s="493"/>
      <c r="E180" s="493"/>
      <c r="F180" s="493"/>
      <c r="G180" s="493"/>
      <c r="H180" s="493"/>
      <c r="I180" s="494"/>
      <c r="J180" s="493"/>
      <c r="K180" s="493"/>
    </row>
    <row r="181" spans="2:11" ht="12.75">
      <c r="B181" s="495" t="str">
        <f t="shared" si="0"/>
        <v/>
      </c>
      <c r="C181" s="493"/>
      <c r="D181" s="493"/>
      <c r="E181" s="493"/>
      <c r="F181" s="493"/>
      <c r="G181" s="493"/>
      <c r="H181" s="493"/>
      <c r="I181" s="494"/>
      <c r="J181" s="493"/>
      <c r="K181" s="493"/>
    </row>
    <row r="182" spans="2:11" ht="12.75">
      <c r="B182" s="495" t="str">
        <f t="shared" si="0"/>
        <v/>
      </c>
      <c r="C182" s="493"/>
      <c r="D182" s="493"/>
      <c r="E182" s="493"/>
      <c r="F182" s="493"/>
      <c r="G182" s="493"/>
      <c r="H182" s="493"/>
      <c r="I182" s="494"/>
      <c r="J182" s="493"/>
      <c r="K182" s="493"/>
    </row>
    <row r="183" spans="2:11" ht="12.75">
      <c r="B183" s="495" t="str">
        <f t="shared" si="0"/>
        <v/>
      </c>
      <c r="C183" s="493"/>
      <c r="D183" s="493"/>
      <c r="E183" s="493"/>
      <c r="F183" s="493"/>
      <c r="G183" s="493"/>
      <c r="H183" s="493"/>
      <c r="I183" s="494"/>
      <c r="J183" s="493"/>
      <c r="K183" s="493"/>
    </row>
    <row r="184" spans="2:11" ht="12.75">
      <c r="B184" s="495" t="str">
        <f t="shared" si="0"/>
        <v/>
      </c>
      <c r="C184" s="493"/>
      <c r="D184" s="493"/>
      <c r="E184" s="493"/>
      <c r="F184" s="493"/>
      <c r="G184" s="493"/>
      <c r="H184" s="493"/>
      <c r="I184" s="494"/>
      <c r="J184" s="493"/>
      <c r="K184" s="493"/>
    </row>
    <row r="185" spans="2:11" ht="12.75">
      <c r="B185" s="495" t="str">
        <f t="shared" si="0"/>
        <v/>
      </c>
      <c r="C185" s="493"/>
      <c r="D185" s="493"/>
      <c r="E185" s="493"/>
      <c r="F185" s="493"/>
      <c r="G185" s="493"/>
      <c r="H185" s="493"/>
      <c r="I185" s="494"/>
      <c r="J185" s="493"/>
      <c r="K185" s="493"/>
    </row>
    <row r="186" spans="2:11" ht="12.75">
      <c r="B186" s="495" t="str">
        <f t="shared" si="0"/>
        <v/>
      </c>
      <c r="C186" s="493"/>
      <c r="D186" s="493"/>
      <c r="E186" s="493"/>
      <c r="F186" s="493"/>
      <c r="G186" s="493"/>
      <c r="H186" s="493"/>
      <c r="I186" s="494"/>
      <c r="J186" s="493"/>
      <c r="K186" s="493"/>
    </row>
    <row r="187" spans="2:11" ht="12.75">
      <c r="B187" s="495" t="str">
        <f t="shared" si="0"/>
        <v/>
      </c>
      <c r="C187" s="493"/>
      <c r="D187" s="493"/>
      <c r="E187" s="493"/>
      <c r="F187" s="493"/>
      <c r="G187" s="493"/>
      <c r="H187" s="493"/>
      <c r="I187" s="494"/>
      <c r="J187" s="493"/>
      <c r="K187" s="493"/>
    </row>
    <row r="188" spans="2:11" ht="12.75">
      <c r="B188" s="495" t="str">
        <f t="shared" si="0"/>
        <v/>
      </c>
      <c r="C188" s="493"/>
      <c r="D188" s="493"/>
      <c r="E188" s="493"/>
      <c r="F188" s="493"/>
      <c r="G188" s="493"/>
      <c r="H188" s="493"/>
      <c r="I188" s="494"/>
      <c r="J188" s="493"/>
      <c r="K188" s="493"/>
    </row>
    <row r="189" spans="2:11" ht="12.75">
      <c r="B189" s="495" t="str">
        <f t="shared" si="0"/>
        <v/>
      </c>
      <c r="C189" s="493"/>
      <c r="D189" s="493"/>
      <c r="E189" s="493"/>
      <c r="F189" s="493"/>
      <c r="G189" s="493"/>
      <c r="H189" s="493"/>
      <c r="I189" s="494"/>
      <c r="J189" s="493"/>
      <c r="K189" s="493"/>
    </row>
    <row r="190" spans="2:11" ht="12.75">
      <c r="B190" s="495" t="str">
        <f t="shared" si="0"/>
        <v/>
      </c>
      <c r="C190" s="493"/>
      <c r="D190" s="493"/>
      <c r="E190" s="493"/>
      <c r="F190" s="493"/>
      <c r="G190" s="493"/>
      <c r="H190" s="493"/>
      <c r="I190" s="494"/>
      <c r="J190" s="493"/>
      <c r="K190" s="493"/>
    </row>
    <row r="191" spans="2:11" ht="12.75">
      <c r="B191" s="495" t="str">
        <f t="shared" si="0"/>
        <v/>
      </c>
      <c r="C191" s="493"/>
      <c r="D191" s="493"/>
      <c r="E191" s="493"/>
      <c r="F191" s="493"/>
      <c r="G191" s="493"/>
      <c r="H191" s="493"/>
      <c r="I191" s="494"/>
      <c r="J191" s="493"/>
      <c r="K191" s="493"/>
    </row>
    <row r="192" spans="2:11" ht="12.75">
      <c r="B192" s="495" t="str">
        <f t="shared" si="0"/>
        <v/>
      </c>
      <c r="C192" s="493"/>
      <c r="D192" s="493"/>
      <c r="E192" s="493"/>
      <c r="F192" s="493"/>
      <c r="G192" s="493"/>
      <c r="H192" s="493"/>
      <c r="I192" s="494"/>
      <c r="J192" s="493"/>
      <c r="K192" s="493"/>
    </row>
    <row r="193" spans="2:11" ht="12.75">
      <c r="B193" s="495" t="str">
        <f t="shared" si="0"/>
        <v/>
      </c>
      <c r="C193" s="493"/>
      <c r="D193" s="493"/>
      <c r="E193" s="493"/>
      <c r="F193" s="493"/>
      <c r="G193" s="493"/>
      <c r="H193" s="493"/>
      <c r="I193" s="494"/>
      <c r="J193" s="493"/>
      <c r="K193" s="493"/>
    </row>
    <row r="194" spans="2:11" ht="12.75">
      <c r="B194" s="495" t="str">
        <f t="shared" si="0"/>
        <v/>
      </c>
      <c r="C194" s="493"/>
      <c r="D194" s="493"/>
      <c r="E194" s="493"/>
      <c r="F194" s="493"/>
      <c r="G194" s="493"/>
      <c r="H194" s="493"/>
      <c r="I194" s="494"/>
      <c r="J194" s="493"/>
      <c r="K194" s="493"/>
    </row>
    <row r="195" spans="2:11" ht="12.75">
      <c r="B195" s="495" t="str">
        <f t="shared" si="0"/>
        <v/>
      </c>
      <c r="C195" s="493"/>
      <c r="D195" s="493"/>
      <c r="E195" s="493"/>
      <c r="F195" s="493"/>
      <c r="G195" s="493"/>
      <c r="H195" s="493"/>
      <c r="I195" s="494"/>
      <c r="J195" s="493"/>
      <c r="K195" s="493"/>
    </row>
    <row r="196" spans="2:11" ht="12.75">
      <c r="B196" s="495" t="str">
        <f t="shared" si="0"/>
        <v/>
      </c>
      <c r="C196" s="493"/>
      <c r="D196" s="493"/>
      <c r="E196" s="493"/>
      <c r="F196" s="493"/>
      <c r="G196" s="493"/>
      <c r="H196" s="493"/>
      <c r="I196" s="494"/>
      <c r="J196" s="493"/>
      <c r="K196" s="493"/>
    </row>
    <row r="197" spans="2:11" ht="12.75">
      <c r="B197" s="495" t="str">
        <f t="shared" si="0"/>
        <v/>
      </c>
      <c r="C197" s="493"/>
      <c r="D197" s="493"/>
      <c r="E197" s="493"/>
      <c r="F197" s="493"/>
      <c r="G197" s="493"/>
      <c r="H197" s="493"/>
      <c r="I197" s="494"/>
      <c r="J197" s="493"/>
      <c r="K197" s="493"/>
    </row>
    <row r="198" spans="2:11" ht="12.75">
      <c r="B198" s="495" t="str">
        <f t="shared" si="0"/>
        <v/>
      </c>
      <c r="C198" s="493"/>
      <c r="D198" s="493"/>
      <c r="E198" s="493"/>
      <c r="F198" s="493"/>
      <c r="G198" s="493"/>
      <c r="H198" s="493"/>
      <c r="I198" s="494"/>
      <c r="J198" s="493"/>
      <c r="K198" s="493"/>
    </row>
    <row r="199" spans="2:11" ht="12.75">
      <c r="B199" s="495" t="str">
        <f t="shared" si="0"/>
        <v/>
      </c>
      <c r="C199" s="493"/>
      <c r="D199" s="493"/>
      <c r="E199" s="493"/>
      <c r="F199" s="493"/>
      <c r="G199" s="493"/>
      <c r="H199" s="493"/>
      <c r="I199" s="494"/>
      <c r="J199" s="493"/>
      <c r="K199" s="493"/>
    </row>
    <row r="200" spans="2:11" ht="12.75">
      <c r="B200" s="495" t="str">
        <f t="shared" si="0"/>
        <v/>
      </c>
      <c r="C200" s="493"/>
      <c r="D200" s="493"/>
      <c r="E200" s="493"/>
      <c r="F200" s="493"/>
      <c r="G200" s="493"/>
      <c r="H200" s="493"/>
      <c r="I200" s="494"/>
      <c r="J200" s="493"/>
      <c r="K200" s="493"/>
    </row>
    <row r="201" spans="2:11" ht="12.75">
      <c r="B201" s="495" t="str">
        <f t="shared" si="0"/>
        <v/>
      </c>
      <c r="C201" s="493"/>
      <c r="D201" s="493"/>
      <c r="E201" s="493"/>
      <c r="F201" s="493"/>
      <c r="G201" s="493"/>
      <c r="H201" s="493"/>
      <c r="I201" s="494"/>
      <c r="J201" s="493"/>
      <c r="K201" s="493"/>
    </row>
    <row r="202" spans="2:11" ht="12.75">
      <c r="B202" s="495" t="str">
        <f t="shared" si="0"/>
        <v/>
      </c>
      <c r="C202" s="493"/>
      <c r="D202" s="493"/>
      <c r="E202" s="493"/>
      <c r="F202" s="493"/>
      <c r="G202" s="493"/>
      <c r="H202" s="493"/>
      <c r="I202" s="494"/>
      <c r="J202" s="493"/>
      <c r="K202" s="493"/>
    </row>
    <row r="203" spans="2:11" ht="12.75">
      <c r="B203" s="495" t="str">
        <f t="shared" si="0"/>
        <v/>
      </c>
      <c r="C203" s="493"/>
      <c r="D203" s="493"/>
      <c r="E203" s="493"/>
      <c r="F203" s="493"/>
      <c r="G203" s="493"/>
      <c r="H203" s="493"/>
      <c r="I203" s="494"/>
      <c r="J203" s="493"/>
      <c r="K203" s="493"/>
    </row>
    <row r="204" spans="2:11" ht="12.75">
      <c r="B204" s="495" t="str">
        <f t="shared" si="0"/>
        <v/>
      </c>
      <c r="C204" s="493"/>
      <c r="D204" s="493"/>
      <c r="E204" s="493"/>
      <c r="F204" s="493"/>
      <c r="G204" s="493"/>
      <c r="H204" s="493"/>
      <c r="I204" s="494"/>
      <c r="J204" s="493"/>
      <c r="K204" s="493"/>
    </row>
    <row r="205" spans="2:11" ht="12.75">
      <c r="B205" s="495" t="str">
        <f t="shared" si="0"/>
        <v/>
      </c>
      <c r="C205" s="493"/>
      <c r="D205" s="493"/>
      <c r="E205" s="493"/>
      <c r="F205" s="493"/>
      <c r="G205" s="493"/>
      <c r="H205" s="493"/>
      <c r="I205" s="494"/>
      <c r="J205" s="493"/>
      <c r="K205" s="493"/>
    </row>
    <row r="206" spans="2:11" ht="12.75">
      <c r="B206" s="495" t="str">
        <f t="shared" si="0"/>
        <v/>
      </c>
      <c r="C206" s="493"/>
      <c r="D206" s="493"/>
      <c r="E206" s="493"/>
      <c r="F206" s="493"/>
      <c r="G206" s="493"/>
      <c r="H206" s="493"/>
      <c r="I206" s="494"/>
      <c r="J206" s="493"/>
      <c r="K206" s="493"/>
    </row>
    <row r="207" spans="2:11" ht="12.75">
      <c r="B207" s="495" t="str">
        <f t="shared" si="0"/>
        <v/>
      </c>
      <c r="C207" s="493"/>
      <c r="D207" s="493"/>
      <c r="E207" s="493"/>
      <c r="F207" s="493"/>
      <c r="G207" s="493"/>
      <c r="H207" s="493"/>
      <c r="I207" s="494"/>
      <c r="J207" s="493"/>
      <c r="K207" s="493"/>
    </row>
    <row r="208" spans="2:11" ht="12.75">
      <c r="B208" s="495" t="str">
        <f t="shared" si="0"/>
        <v/>
      </c>
      <c r="C208" s="493"/>
      <c r="D208" s="493"/>
      <c r="E208" s="493"/>
      <c r="F208" s="493"/>
      <c r="G208" s="493"/>
      <c r="H208" s="493"/>
      <c r="I208" s="494"/>
      <c r="J208" s="493"/>
      <c r="K208" s="493"/>
    </row>
    <row r="209" spans="2:11" ht="12.75">
      <c r="B209" s="495" t="str">
        <f t="shared" si="0"/>
        <v/>
      </c>
      <c r="C209" s="493"/>
      <c r="D209" s="493"/>
      <c r="E209" s="493"/>
      <c r="F209" s="493"/>
      <c r="G209" s="493"/>
      <c r="H209" s="493"/>
      <c r="I209" s="494"/>
      <c r="J209" s="493"/>
      <c r="K209" s="493"/>
    </row>
    <row r="210" spans="2:11" ht="12.75">
      <c r="B210" s="495" t="str">
        <f t="shared" si="0"/>
        <v/>
      </c>
      <c r="C210" s="493"/>
      <c r="D210" s="493"/>
      <c r="E210" s="493"/>
      <c r="F210" s="493"/>
      <c r="G210" s="493"/>
      <c r="H210" s="493"/>
      <c r="I210" s="494"/>
      <c r="J210" s="493"/>
      <c r="K210" s="493"/>
    </row>
    <row r="211" spans="2:11" ht="12.75">
      <c r="B211" s="495" t="str">
        <f t="shared" si="0"/>
        <v/>
      </c>
      <c r="C211" s="493"/>
      <c r="D211" s="493"/>
      <c r="E211" s="493"/>
      <c r="F211" s="493"/>
      <c r="G211" s="493"/>
      <c r="H211" s="493"/>
      <c r="I211" s="494"/>
      <c r="J211" s="493"/>
      <c r="K211" s="493"/>
    </row>
    <row r="212" spans="2:11" ht="12.75">
      <c r="B212" s="495" t="str">
        <f t="shared" si="0"/>
        <v/>
      </c>
      <c r="C212" s="493"/>
      <c r="D212" s="493"/>
      <c r="E212" s="493"/>
      <c r="F212" s="493"/>
      <c r="G212" s="493"/>
      <c r="H212" s="493"/>
      <c r="I212" s="494"/>
      <c r="J212" s="493"/>
      <c r="K212" s="493"/>
    </row>
    <row r="213" spans="2:11" ht="12.75">
      <c r="B213" s="495" t="str">
        <f t="shared" si="0"/>
        <v/>
      </c>
      <c r="C213" s="493"/>
      <c r="D213" s="493"/>
      <c r="E213" s="493"/>
      <c r="F213" s="493"/>
      <c r="G213" s="493"/>
      <c r="H213" s="493"/>
      <c r="I213" s="494"/>
      <c r="J213" s="493"/>
      <c r="K213" s="493"/>
    </row>
    <row r="214" spans="2:11" ht="12.75">
      <c r="B214" s="495" t="str">
        <f t="shared" si="0"/>
        <v/>
      </c>
      <c r="C214" s="493"/>
      <c r="D214" s="493"/>
      <c r="E214" s="493"/>
      <c r="F214" s="493"/>
      <c r="G214" s="493"/>
      <c r="H214" s="493"/>
      <c r="I214" s="494"/>
      <c r="J214" s="493"/>
      <c r="K214" s="493"/>
    </row>
    <row r="215" spans="2:11" ht="12.75">
      <c r="B215" s="495" t="str">
        <f t="shared" si="0"/>
        <v/>
      </c>
      <c r="C215" s="493"/>
      <c r="D215" s="493"/>
      <c r="E215" s="493"/>
      <c r="F215" s="493"/>
      <c r="G215" s="493"/>
      <c r="H215" s="493"/>
      <c r="I215" s="494"/>
      <c r="J215" s="493"/>
      <c r="K215" s="493"/>
    </row>
    <row r="216" spans="2:11" ht="12.75">
      <c r="B216" s="495" t="str">
        <f t="shared" si="0"/>
        <v/>
      </c>
      <c r="C216" s="493"/>
      <c r="D216" s="493"/>
      <c r="E216" s="493"/>
      <c r="F216" s="493"/>
      <c r="G216" s="493"/>
      <c r="H216" s="493"/>
      <c r="I216" s="494"/>
      <c r="J216" s="493"/>
      <c r="K216" s="493"/>
    </row>
    <row r="217" spans="2:11" ht="12.75">
      <c r="B217" s="495" t="str">
        <f t="shared" si="0"/>
        <v/>
      </c>
      <c r="C217" s="493"/>
      <c r="D217" s="493"/>
      <c r="E217" s="493"/>
      <c r="F217" s="493"/>
      <c r="G217" s="493"/>
      <c r="H217" s="493"/>
      <c r="I217" s="494"/>
      <c r="J217" s="493"/>
      <c r="K217" s="493"/>
    </row>
    <row r="218" spans="2:11" ht="12.75">
      <c r="B218" s="495" t="str">
        <f t="shared" si="0"/>
        <v/>
      </c>
      <c r="C218" s="493"/>
      <c r="D218" s="493"/>
      <c r="E218" s="493"/>
      <c r="F218" s="493"/>
      <c r="G218" s="493"/>
      <c r="H218" s="493"/>
      <c r="I218" s="494"/>
      <c r="J218" s="493"/>
      <c r="K218" s="493"/>
    </row>
    <row r="219" spans="2:11" ht="12.75">
      <c r="B219" s="495" t="str">
        <f t="shared" si="0"/>
        <v/>
      </c>
      <c r="C219" s="493"/>
      <c r="D219" s="493"/>
      <c r="E219" s="493"/>
      <c r="F219" s="493"/>
      <c r="G219" s="493"/>
      <c r="H219" s="493"/>
      <c r="I219" s="494"/>
      <c r="J219" s="493"/>
      <c r="K219" s="493"/>
    </row>
    <row r="220" spans="2:11" ht="12.75">
      <c r="B220" s="495" t="str">
        <f t="shared" si="0"/>
        <v/>
      </c>
      <c r="C220" s="493"/>
      <c r="D220" s="493"/>
      <c r="E220" s="493"/>
      <c r="F220" s="493"/>
      <c r="G220" s="493"/>
      <c r="H220" s="493"/>
      <c r="I220" s="494"/>
      <c r="J220" s="493"/>
      <c r="K220" s="493"/>
    </row>
    <row r="221" spans="2:11" ht="12.75">
      <c r="B221" s="495" t="str">
        <f t="shared" si="0"/>
        <v/>
      </c>
      <c r="C221" s="493"/>
      <c r="D221" s="493"/>
      <c r="E221" s="493"/>
      <c r="F221" s="493"/>
      <c r="G221" s="493"/>
      <c r="H221" s="493"/>
      <c r="I221" s="494"/>
      <c r="J221" s="493"/>
      <c r="K221" s="493"/>
    </row>
    <row r="222" spans="2:11" ht="12.75">
      <c r="B222" s="495" t="str">
        <f t="shared" si="0"/>
        <v/>
      </c>
      <c r="C222" s="493"/>
      <c r="D222" s="493"/>
      <c r="E222" s="493"/>
      <c r="F222" s="493"/>
      <c r="G222" s="493"/>
      <c r="H222" s="493"/>
      <c r="I222" s="494"/>
      <c r="J222" s="493"/>
      <c r="K222" s="493"/>
    </row>
    <row r="223" spans="2:11" ht="12.75">
      <c r="B223" s="495" t="str">
        <f t="shared" si="0"/>
        <v/>
      </c>
      <c r="C223" s="493"/>
      <c r="D223" s="493"/>
      <c r="E223" s="493"/>
      <c r="F223" s="493"/>
      <c r="G223" s="493"/>
      <c r="H223" s="493"/>
      <c r="I223" s="494"/>
      <c r="J223" s="493"/>
      <c r="K223" s="493"/>
    </row>
    <row r="224" spans="2:11" ht="12.75">
      <c r="B224" s="495" t="str">
        <f t="shared" si="0"/>
        <v/>
      </c>
      <c r="C224" s="493"/>
      <c r="D224" s="493"/>
      <c r="E224" s="493"/>
      <c r="F224" s="493"/>
      <c r="G224" s="493"/>
      <c r="H224" s="493"/>
      <c r="I224" s="494"/>
      <c r="J224" s="493"/>
      <c r="K224" s="493"/>
    </row>
    <row r="225" spans="2:11" ht="12.75">
      <c r="B225" s="495" t="str">
        <f t="shared" si="0"/>
        <v/>
      </c>
      <c r="C225" s="493"/>
      <c r="D225" s="493"/>
      <c r="E225" s="493"/>
      <c r="F225" s="493"/>
      <c r="G225" s="493"/>
      <c r="H225" s="493"/>
      <c r="I225" s="494"/>
      <c r="J225" s="493"/>
      <c r="K225" s="493"/>
    </row>
    <row r="226" spans="2:11" ht="12.75">
      <c r="B226" s="495" t="str">
        <f t="shared" si="0"/>
        <v/>
      </c>
      <c r="C226" s="493"/>
      <c r="D226" s="493"/>
      <c r="E226" s="493"/>
      <c r="F226" s="493"/>
      <c r="G226" s="493"/>
      <c r="H226" s="493"/>
      <c r="I226" s="494"/>
      <c r="J226" s="493"/>
      <c r="K226" s="493"/>
    </row>
    <row r="227" spans="2:11" ht="12.75">
      <c r="B227" s="495" t="str">
        <f t="shared" si="0"/>
        <v/>
      </c>
      <c r="C227" s="493"/>
      <c r="D227" s="493"/>
      <c r="E227" s="493"/>
      <c r="F227" s="493"/>
      <c r="G227" s="493"/>
      <c r="H227" s="493"/>
      <c r="I227" s="494"/>
      <c r="J227" s="493"/>
      <c r="K227" s="493"/>
    </row>
    <row r="228" spans="2:11" ht="12.75">
      <c r="B228" s="495" t="str">
        <f t="shared" si="0"/>
        <v/>
      </c>
      <c r="C228" s="493"/>
      <c r="D228" s="493"/>
      <c r="E228" s="493"/>
      <c r="F228" s="493"/>
      <c r="G228" s="493"/>
      <c r="H228" s="493"/>
      <c r="I228" s="494"/>
      <c r="J228" s="493"/>
      <c r="K228" s="493"/>
    </row>
    <row r="229" spans="2:11" ht="12.75">
      <c r="B229" s="495" t="str">
        <f t="shared" si="0"/>
        <v/>
      </c>
      <c r="C229" s="493"/>
      <c r="D229" s="493"/>
      <c r="E229" s="493"/>
      <c r="F229" s="493"/>
      <c r="G229" s="493"/>
      <c r="H229" s="493"/>
      <c r="I229" s="494"/>
      <c r="J229" s="493"/>
      <c r="K229" s="493"/>
    </row>
    <row r="230" spans="2:11" ht="12.75">
      <c r="B230" s="495" t="str">
        <f t="shared" si="0"/>
        <v/>
      </c>
      <c r="C230" s="493"/>
      <c r="D230" s="493"/>
      <c r="E230" s="493"/>
      <c r="F230" s="493"/>
      <c r="G230" s="493"/>
      <c r="H230" s="493"/>
      <c r="I230" s="494"/>
      <c r="J230" s="493"/>
      <c r="K230" s="493"/>
    </row>
    <row r="231" spans="2:11" ht="12.75">
      <c r="B231" s="495" t="str">
        <f t="shared" si="0"/>
        <v/>
      </c>
      <c r="C231" s="493"/>
      <c r="D231" s="493"/>
      <c r="E231" s="493"/>
      <c r="F231" s="493"/>
      <c r="G231" s="493"/>
      <c r="H231" s="493"/>
      <c r="I231" s="494"/>
      <c r="J231" s="493"/>
      <c r="K231" s="493"/>
    </row>
    <row r="232" spans="2:11" ht="12.75">
      <c r="B232" s="495" t="str">
        <f t="shared" si="0"/>
        <v/>
      </c>
      <c r="C232" s="493"/>
      <c r="D232" s="493"/>
      <c r="E232" s="493"/>
      <c r="F232" s="493"/>
      <c r="G232" s="493"/>
      <c r="H232" s="493"/>
      <c r="I232" s="494"/>
      <c r="J232" s="493"/>
      <c r="K232" s="493"/>
    </row>
    <row r="233" spans="2:11" ht="12.75">
      <c r="B233" s="495" t="str">
        <f t="shared" si="0"/>
        <v/>
      </c>
      <c r="C233" s="493"/>
      <c r="D233" s="493"/>
      <c r="E233" s="493"/>
      <c r="F233" s="493"/>
      <c r="G233" s="493"/>
      <c r="H233" s="493"/>
      <c r="I233" s="494"/>
      <c r="J233" s="493"/>
      <c r="K233" s="493"/>
    </row>
    <row r="234" spans="2:11" ht="12.75">
      <c r="B234" s="495" t="str">
        <f t="shared" si="0"/>
        <v/>
      </c>
      <c r="C234" s="493"/>
      <c r="D234" s="493"/>
      <c r="E234" s="493"/>
      <c r="F234" s="493"/>
      <c r="G234" s="493"/>
      <c r="H234" s="493"/>
      <c r="I234" s="494"/>
      <c r="J234" s="493"/>
      <c r="K234" s="493"/>
    </row>
    <row r="235" spans="2:11" ht="12.75">
      <c r="B235" s="495" t="str">
        <f t="shared" si="0"/>
        <v/>
      </c>
      <c r="C235" s="493"/>
      <c r="D235" s="493"/>
      <c r="E235" s="493"/>
      <c r="F235" s="493"/>
      <c r="G235" s="493"/>
      <c r="H235" s="493"/>
      <c r="I235" s="494"/>
      <c r="J235" s="493"/>
      <c r="K235" s="493"/>
    </row>
    <row r="236" spans="2:11" ht="12.75">
      <c r="B236" s="495" t="str">
        <f t="shared" si="0"/>
        <v/>
      </c>
      <c r="C236" s="493"/>
      <c r="D236" s="493"/>
      <c r="E236" s="493"/>
      <c r="F236" s="493"/>
      <c r="G236" s="493"/>
      <c r="H236" s="493"/>
      <c r="I236" s="494"/>
      <c r="J236" s="493"/>
      <c r="K236" s="493"/>
    </row>
    <row r="237" spans="2:11" ht="12.75">
      <c r="B237" s="495" t="str">
        <f t="shared" si="0"/>
        <v/>
      </c>
      <c r="C237" s="493"/>
      <c r="D237" s="493"/>
      <c r="E237" s="493"/>
      <c r="F237" s="493"/>
      <c r="G237" s="493"/>
      <c r="H237" s="493"/>
      <c r="I237" s="494"/>
      <c r="J237" s="493"/>
      <c r="K237" s="493"/>
    </row>
    <row r="238" spans="2:11" ht="12.75">
      <c r="B238" s="495" t="str">
        <f t="shared" si="0"/>
        <v/>
      </c>
      <c r="C238" s="493"/>
      <c r="D238" s="493"/>
      <c r="E238" s="493"/>
      <c r="F238" s="493"/>
      <c r="G238" s="493"/>
      <c r="H238" s="493"/>
      <c r="I238" s="494"/>
      <c r="J238" s="493"/>
      <c r="K238" s="493"/>
    </row>
    <row r="239" spans="2:11" ht="12.75">
      <c r="B239" s="495" t="str">
        <f t="shared" si="0"/>
        <v/>
      </c>
      <c r="C239" s="493"/>
      <c r="D239" s="493"/>
      <c r="E239" s="493"/>
      <c r="F239" s="493"/>
      <c r="G239" s="493"/>
      <c r="H239" s="493"/>
      <c r="I239" s="494"/>
      <c r="J239" s="493"/>
      <c r="K239" s="493"/>
    </row>
    <row r="240" spans="2:11" ht="12.75">
      <c r="B240" s="495" t="str">
        <f t="shared" si="0"/>
        <v/>
      </c>
      <c r="C240" s="493"/>
      <c r="D240" s="493"/>
      <c r="E240" s="493"/>
      <c r="F240" s="493"/>
      <c r="G240" s="493"/>
      <c r="H240" s="493"/>
      <c r="I240" s="494"/>
      <c r="J240" s="493"/>
      <c r="K240" s="493"/>
    </row>
    <row r="241" spans="2:11" ht="12.75">
      <c r="B241" s="495" t="str">
        <f t="shared" si="0"/>
        <v/>
      </c>
      <c r="C241" s="493"/>
      <c r="D241" s="493"/>
      <c r="E241" s="493"/>
      <c r="F241" s="493"/>
      <c r="G241" s="493"/>
      <c r="H241" s="493"/>
      <c r="I241" s="494"/>
      <c r="J241" s="493"/>
      <c r="K241" s="493"/>
    </row>
    <row r="242" spans="2:11" ht="12.75">
      <c r="B242" s="495" t="str">
        <f t="shared" si="0"/>
        <v/>
      </c>
      <c r="C242" s="493"/>
      <c r="D242" s="493"/>
      <c r="E242" s="493"/>
      <c r="F242" s="493"/>
      <c r="G242" s="493"/>
      <c r="H242" s="493"/>
      <c r="I242" s="494"/>
      <c r="J242" s="493"/>
      <c r="K242" s="493"/>
    </row>
    <row r="243" spans="2:11" ht="12.75">
      <c r="B243" s="495" t="str">
        <f t="shared" si="0"/>
        <v/>
      </c>
      <c r="C243" s="493"/>
      <c r="D243" s="493"/>
      <c r="E243" s="493"/>
      <c r="F243" s="493"/>
      <c r="G243" s="493"/>
      <c r="H243" s="493"/>
      <c r="I243" s="494"/>
      <c r="J243" s="493"/>
      <c r="K243" s="493"/>
    </row>
    <row r="244" spans="2:11" ht="12.75">
      <c r="B244" s="495" t="str">
        <f t="shared" si="0"/>
        <v/>
      </c>
      <c r="C244" s="493"/>
      <c r="D244" s="493"/>
      <c r="E244" s="493"/>
      <c r="F244" s="493"/>
      <c r="G244" s="493"/>
      <c r="H244" s="493"/>
      <c r="I244" s="494"/>
      <c r="J244" s="493"/>
      <c r="K244" s="493"/>
    </row>
    <row r="245" spans="2:11" ht="12.75">
      <c r="B245" s="495" t="str">
        <f t="shared" si="0"/>
        <v/>
      </c>
      <c r="C245" s="493"/>
      <c r="D245" s="493"/>
      <c r="E245" s="493"/>
      <c r="F245" s="493"/>
      <c r="G245" s="493"/>
      <c r="H245" s="493"/>
      <c r="I245" s="494"/>
      <c r="J245" s="493"/>
      <c r="K245" s="493"/>
    </row>
    <row r="246" spans="2:11" ht="12.75">
      <c r="B246" s="495" t="str">
        <f t="shared" si="0"/>
        <v/>
      </c>
      <c r="C246" s="493"/>
      <c r="D246" s="493"/>
      <c r="E246" s="493"/>
      <c r="F246" s="493"/>
      <c r="G246" s="493"/>
      <c r="H246" s="493"/>
      <c r="I246" s="494"/>
      <c r="J246" s="493"/>
      <c r="K246" s="493"/>
    </row>
    <row r="247" spans="2:11" ht="12.75">
      <c r="B247" s="495" t="str">
        <f t="shared" si="0"/>
        <v/>
      </c>
      <c r="C247" s="493"/>
      <c r="D247" s="493"/>
      <c r="E247" s="493"/>
      <c r="F247" s="493"/>
      <c r="G247" s="493"/>
      <c r="H247" s="493"/>
      <c r="I247" s="494"/>
      <c r="J247" s="493"/>
      <c r="K247" s="493"/>
    </row>
    <row r="248" spans="2:11" ht="12.75">
      <c r="B248" s="495" t="str">
        <f t="shared" si="0"/>
        <v/>
      </c>
      <c r="C248" s="493"/>
      <c r="D248" s="493"/>
      <c r="E248" s="493"/>
      <c r="F248" s="493"/>
      <c r="G248" s="493"/>
      <c r="H248" s="493"/>
      <c r="I248" s="494"/>
      <c r="J248" s="493"/>
      <c r="K248" s="493"/>
    </row>
    <row r="249" spans="2:11" ht="12.75">
      <c r="B249" s="495" t="str">
        <f t="shared" si="0"/>
        <v/>
      </c>
      <c r="C249" s="493"/>
      <c r="D249" s="493"/>
      <c r="E249" s="493"/>
      <c r="F249" s="493"/>
      <c r="G249" s="493"/>
      <c r="H249" s="493"/>
      <c r="I249" s="494"/>
      <c r="J249" s="493"/>
      <c r="K249" s="493"/>
    </row>
    <row r="250" spans="2:11" ht="12.75">
      <c r="B250" s="495" t="str">
        <f t="shared" si="0"/>
        <v/>
      </c>
      <c r="C250" s="493"/>
      <c r="D250" s="493"/>
      <c r="E250" s="493"/>
      <c r="F250" s="493"/>
      <c r="G250" s="493"/>
      <c r="H250" s="493"/>
      <c r="I250" s="494"/>
      <c r="J250" s="493"/>
      <c r="K250" s="493"/>
    </row>
    <row r="251" spans="2:11" ht="12.75">
      <c r="B251" s="495" t="str">
        <f t="shared" si="0"/>
        <v/>
      </c>
      <c r="C251" s="493"/>
      <c r="D251" s="493"/>
      <c r="E251" s="493"/>
      <c r="F251" s="493"/>
      <c r="G251" s="493"/>
      <c r="H251" s="493"/>
      <c r="I251" s="494"/>
      <c r="J251" s="493"/>
      <c r="K251" s="493"/>
    </row>
    <row r="252" spans="2:11" ht="12.75">
      <c r="B252" s="495" t="str">
        <f t="shared" si="0"/>
        <v/>
      </c>
      <c r="C252" s="493"/>
      <c r="D252" s="493"/>
      <c r="E252" s="493"/>
      <c r="F252" s="493"/>
      <c r="G252" s="493"/>
      <c r="H252" s="493"/>
      <c r="I252" s="494"/>
      <c r="J252" s="493"/>
      <c r="K252" s="493"/>
    </row>
    <row r="253" spans="2:11" ht="12.75">
      <c r="B253" s="495" t="str">
        <f t="shared" si="0"/>
        <v/>
      </c>
      <c r="C253" s="493"/>
      <c r="D253" s="493"/>
      <c r="E253" s="493"/>
      <c r="F253" s="493"/>
      <c r="G253" s="493"/>
      <c r="H253" s="493"/>
      <c r="I253" s="494"/>
      <c r="J253" s="493"/>
      <c r="K253" s="493"/>
    </row>
    <row r="254" spans="2:11" ht="12.75">
      <c r="B254" s="495" t="str">
        <f t="shared" si="0"/>
        <v/>
      </c>
      <c r="C254" s="493"/>
      <c r="D254" s="493"/>
      <c r="E254" s="493"/>
      <c r="F254" s="493"/>
      <c r="G254" s="493"/>
      <c r="H254" s="493"/>
      <c r="I254" s="494"/>
      <c r="J254" s="493"/>
      <c r="K254" s="493"/>
    </row>
    <row r="255" spans="2:11" ht="12.75">
      <c r="B255" s="495" t="str">
        <f t="shared" si="0"/>
        <v/>
      </c>
      <c r="C255" s="493"/>
      <c r="D255" s="493"/>
      <c r="E255" s="493"/>
      <c r="F255" s="493"/>
      <c r="G255" s="493"/>
      <c r="H255" s="493"/>
      <c r="I255" s="494"/>
      <c r="J255" s="493"/>
      <c r="K255" s="493"/>
    </row>
    <row r="256" spans="2:11" ht="12.75">
      <c r="B256" s="495" t="str">
        <f t="shared" si="0"/>
        <v/>
      </c>
      <c r="C256" s="493"/>
      <c r="D256" s="493"/>
      <c r="E256" s="493"/>
      <c r="F256" s="493"/>
      <c r="G256" s="493"/>
      <c r="H256" s="493"/>
      <c r="I256" s="494"/>
      <c r="J256" s="493"/>
      <c r="K256" s="493"/>
    </row>
    <row r="257" spans="2:11" ht="12.75">
      <c r="B257" s="495" t="str">
        <f t="shared" si="0"/>
        <v/>
      </c>
      <c r="C257" s="493"/>
      <c r="D257" s="493"/>
      <c r="E257" s="493"/>
      <c r="F257" s="493"/>
      <c r="G257" s="493"/>
      <c r="H257" s="493"/>
      <c r="I257" s="494"/>
      <c r="J257" s="493"/>
      <c r="K257" s="493"/>
    </row>
    <row r="258" spans="2:11" ht="12.75">
      <c r="B258" s="495" t="str">
        <f t="shared" si="0"/>
        <v/>
      </c>
      <c r="C258" s="493"/>
      <c r="D258" s="493"/>
      <c r="E258" s="493"/>
      <c r="F258" s="493"/>
      <c r="G258" s="493"/>
      <c r="H258" s="493"/>
      <c r="I258" s="494"/>
      <c r="J258" s="493"/>
      <c r="K258" s="493"/>
    </row>
    <row r="259" spans="2:11" ht="12.75">
      <c r="B259" s="495" t="str">
        <f t="shared" si="0"/>
        <v/>
      </c>
      <c r="C259" s="493"/>
      <c r="D259" s="493"/>
      <c r="E259" s="493"/>
      <c r="F259" s="493"/>
      <c r="G259" s="493"/>
      <c r="H259" s="493"/>
      <c r="I259" s="494"/>
      <c r="J259" s="493"/>
      <c r="K259" s="493"/>
    </row>
    <row r="260" spans="2:11" ht="12.75">
      <c r="B260" s="495" t="str">
        <f t="shared" si="0"/>
        <v/>
      </c>
      <c r="C260" s="493"/>
      <c r="D260" s="493"/>
      <c r="E260" s="493"/>
      <c r="F260" s="493"/>
      <c r="G260" s="493"/>
      <c r="H260" s="493"/>
      <c r="I260" s="494"/>
      <c r="J260" s="493"/>
      <c r="K260" s="493"/>
    </row>
    <row r="261" spans="2:11" ht="12.75">
      <c r="B261" s="495" t="str">
        <f t="shared" si="0"/>
        <v/>
      </c>
      <c r="C261" s="493"/>
      <c r="D261" s="493"/>
      <c r="E261" s="493"/>
      <c r="F261" s="493"/>
      <c r="G261" s="493"/>
      <c r="H261" s="493"/>
      <c r="I261" s="494"/>
      <c r="J261" s="493"/>
      <c r="K261" s="493"/>
    </row>
    <row r="262" spans="2:11" ht="12.75">
      <c r="B262" s="495" t="str">
        <f t="shared" si="0"/>
        <v/>
      </c>
      <c r="C262" s="493"/>
      <c r="D262" s="493"/>
      <c r="E262" s="493"/>
      <c r="F262" s="493"/>
      <c r="G262" s="493"/>
      <c r="H262" s="493"/>
      <c r="I262" s="494"/>
      <c r="J262" s="493"/>
      <c r="K262" s="493"/>
    </row>
    <row r="263" spans="2:11" ht="12.75">
      <c r="B263" s="495" t="str">
        <f t="shared" si="0"/>
        <v/>
      </c>
      <c r="C263" s="493"/>
      <c r="D263" s="493"/>
      <c r="E263" s="493"/>
      <c r="F263" s="493"/>
      <c r="G263" s="493"/>
      <c r="H263" s="493"/>
      <c r="I263" s="494"/>
      <c r="J263" s="493"/>
      <c r="K263" s="493"/>
    </row>
    <row r="264" spans="2:11" ht="12.75">
      <c r="B264" s="495" t="str">
        <f t="shared" si="0"/>
        <v/>
      </c>
      <c r="C264" s="493"/>
      <c r="D264" s="493"/>
      <c r="E264" s="493"/>
      <c r="F264" s="493"/>
      <c r="G264" s="493"/>
      <c r="H264" s="493"/>
      <c r="I264" s="494"/>
      <c r="J264" s="493"/>
      <c r="K264" s="493"/>
    </row>
    <row r="265" spans="2:11" ht="12.75">
      <c r="B265" s="495" t="str">
        <f t="shared" si="0"/>
        <v/>
      </c>
      <c r="C265" s="493"/>
      <c r="D265" s="493"/>
      <c r="E265" s="493"/>
      <c r="F265" s="493"/>
      <c r="G265" s="493"/>
      <c r="H265" s="493"/>
      <c r="I265" s="494"/>
      <c r="J265" s="493"/>
      <c r="K265" s="493"/>
    </row>
    <row r="266" spans="2:11" ht="12.75">
      <c r="B266" s="495" t="str">
        <f t="shared" si="0"/>
        <v/>
      </c>
      <c r="C266" s="493"/>
      <c r="D266" s="493"/>
      <c r="E266" s="493"/>
      <c r="F266" s="493"/>
      <c r="G266" s="493"/>
      <c r="H266" s="493"/>
      <c r="I266" s="494"/>
      <c r="J266" s="493"/>
      <c r="K266" s="493"/>
    </row>
    <row r="267" spans="2:11" ht="12.75">
      <c r="B267" s="495" t="str">
        <f t="shared" si="0"/>
        <v/>
      </c>
      <c r="C267" s="493"/>
      <c r="D267" s="493"/>
      <c r="E267" s="493"/>
      <c r="F267" s="493"/>
      <c r="G267" s="493"/>
      <c r="H267" s="493"/>
      <c r="I267" s="494"/>
      <c r="J267" s="493"/>
      <c r="K267" s="493"/>
    </row>
    <row r="268" spans="2:11" ht="12.75">
      <c r="B268" s="495" t="str">
        <f t="shared" si="0"/>
        <v/>
      </c>
      <c r="C268" s="493"/>
      <c r="D268" s="493"/>
      <c r="E268" s="493"/>
      <c r="F268" s="493"/>
      <c r="G268" s="493"/>
      <c r="H268" s="493"/>
      <c r="I268" s="494"/>
      <c r="J268" s="493"/>
      <c r="K268" s="493"/>
    </row>
    <row r="269" spans="2:11" ht="12.75">
      <c r="B269" s="495" t="str">
        <f t="shared" si="0"/>
        <v/>
      </c>
      <c r="C269" s="493"/>
      <c r="D269" s="493"/>
      <c r="E269" s="493"/>
      <c r="F269" s="493"/>
      <c r="G269" s="493"/>
      <c r="H269" s="493"/>
      <c r="I269" s="494"/>
      <c r="J269" s="493"/>
      <c r="K269" s="493"/>
    </row>
    <row r="270" spans="2:11" ht="12.75">
      <c r="B270" s="495" t="str">
        <f t="shared" si="0"/>
        <v/>
      </c>
      <c r="C270" s="493"/>
      <c r="D270" s="493"/>
      <c r="E270" s="493"/>
      <c r="F270" s="493"/>
      <c r="G270" s="493"/>
      <c r="H270" s="493"/>
      <c r="I270" s="494"/>
      <c r="J270" s="493"/>
      <c r="K270" s="493"/>
    </row>
    <row r="271" spans="2:11" ht="12.75">
      <c r="B271" s="495" t="str">
        <f t="shared" si="0"/>
        <v/>
      </c>
      <c r="C271" s="493"/>
      <c r="D271" s="493"/>
      <c r="E271" s="493"/>
      <c r="F271" s="493"/>
      <c r="G271" s="493"/>
      <c r="H271" s="493"/>
      <c r="I271" s="494"/>
      <c r="J271" s="493"/>
      <c r="K271" s="493"/>
    </row>
    <row r="272" spans="2:11" ht="12.75">
      <c r="B272" s="495" t="str">
        <f t="shared" si="0"/>
        <v/>
      </c>
      <c r="C272" s="493"/>
      <c r="D272" s="493"/>
      <c r="E272" s="493"/>
      <c r="F272" s="493"/>
      <c r="G272" s="493"/>
      <c r="H272" s="493"/>
      <c r="I272" s="494"/>
      <c r="J272" s="493"/>
      <c r="K272" s="493"/>
    </row>
    <row r="273" spans="2:11" ht="12.75">
      <c r="B273" s="495" t="str">
        <f t="shared" si="0"/>
        <v/>
      </c>
      <c r="C273" s="493"/>
      <c r="D273" s="493"/>
      <c r="E273" s="493"/>
      <c r="F273" s="493"/>
      <c r="G273" s="493"/>
      <c r="H273" s="493"/>
      <c r="I273" s="494"/>
      <c r="J273" s="493"/>
      <c r="K273" s="493"/>
    </row>
    <row r="274" spans="2:11" ht="12.75">
      <c r="B274" s="495" t="str">
        <f t="shared" si="0"/>
        <v/>
      </c>
      <c r="C274" s="493"/>
      <c r="D274" s="493"/>
      <c r="E274" s="493"/>
      <c r="F274" s="493"/>
      <c r="G274" s="493"/>
      <c r="H274" s="493"/>
      <c r="I274" s="494"/>
      <c r="J274" s="493"/>
      <c r="K274" s="493"/>
    </row>
    <row r="275" spans="2:11" ht="12.75">
      <c r="B275" s="495" t="str">
        <f t="shared" si="0"/>
        <v/>
      </c>
      <c r="C275" s="493"/>
      <c r="D275" s="493"/>
      <c r="E275" s="493"/>
      <c r="F275" s="493"/>
      <c r="G275" s="493"/>
      <c r="H275" s="493"/>
      <c r="I275" s="494"/>
      <c r="J275" s="493"/>
      <c r="K275" s="493"/>
    </row>
    <row r="276" spans="2:11" ht="12.75">
      <c r="B276" s="495" t="str">
        <f t="shared" si="0"/>
        <v/>
      </c>
      <c r="C276" s="493"/>
      <c r="D276" s="493"/>
      <c r="E276" s="493"/>
      <c r="F276" s="493"/>
      <c r="G276" s="493"/>
      <c r="H276" s="493"/>
      <c r="I276" s="494"/>
      <c r="J276" s="493"/>
      <c r="K276" s="493"/>
    </row>
    <row r="277" spans="2:11" ht="12.75">
      <c r="B277" s="495" t="str">
        <f t="shared" si="0"/>
        <v/>
      </c>
      <c r="C277" s="493"/>
      <c r="D277" s="493"/>
      <c r="E277" s="493"/>
      <c r="F277" s="493"/>
      <c r="G277" s="493"/>
      <c r="H277" s="493"/>
      <c r="I277" s="494"/>
      <c r="J277" s="493"/>
      <c r="K277" s="493"/>
    </row>
    <row r="278" spans="2:11" ht="12.75">
      <c r="B278" s="495" t="str">
        <f t="shared" si="0"/>
        <v/>
      </c>
      <c r="C278" s="493"/>
      <c r="D278" s="493"/>
      <c r="E278" s="493"/>
      <c r="F278" s="493"/>
      <c r="G278" s="493"/>
      <c r="H278" s="493"/>
      <c r="I278" s="494"/>
      <c r="J278" s="493"/>
      <c r="K278" s="493"/>
    </row>
    <row r="279" spans="2:11" ht="12.75">
      <c r="B279" s="495" t="str">
        <f t="shared" si="0"/>
        <v/>
      </c>
      <c r="C279" s="493"/>
      <c r="D279" s="493"/>
      <c r="E279" s="493"/>
      <c r="F279" s="493"/>
      <c r="G279" s="493"/>
      <c r="H279" s="493"/>
      <c r="I279" s="494"/>
      <c r="J279" s="493"/>
      <c r="K279" s="493"/>
    </row>
    <row r="280" spans="2:11" ht="12.75">
      <c r="B280" s="495" t="str">
        <f t="shared" si="0"/>
        <v/>
      </c>
      <c r="C280" s="493"/>
      <c r="D280" s="493"/>
      <c r="E280" s="493"/>
      <c r="F280" s="493"/>
      <c r="G280" s="493"/>
      <c r="H280" s="493"/>
      <c r="I280" s="494"/>
      <c r="J280" s="493"/>
      <c r="K280" s="493"/>
    </row>
    <row r="281" spans="2:11" ht="12.75">
      <c r="B281" s="495" t="str">
        <f t="shared" si="0"/>
        <v/>
      </c>
      <c r="C281" s="493"/>
      <c r="D281" s="493"/>
      <c r="E281" s="493"/>
      <c r="F281" s="493"/>
      <c r="G281" s="493"/>
      <c r="H281" s="493"/>
      <c r="I281" s="494"/>
      <c r="J281" s="493"/>
      <c r="K281" s="493"/>
    </row>
    <row r="282" spans="2:11" ht="12.75">
      <c r="B282" s="495" t="str">
        <f t="shared" si="0"/>
        <v/>
      </c>
      <c r="C282" s="493"/>
      <c r="D282" s="493"/>
      <c r="E282" s="493"/>
      <c r="F282" s="493"/>
      <c r="G282" s="493"/>
      <c r="H282" s="493"/>
      <c r="I282" s="494"/>
      <c r="J282" s="493"/>
      <c r="K282" s="493"/>
    </row>
    <row r="283" spans="2:11" ht="12.75">
      <c r="B283" s="495" t="str">
        <f t="shared" si="0"/>
        <v/>
      </c>
      <c r="C283" s="493"/>
      <c r="D283" s="493"/>
      <c r="E283" s="493"/>
      <c r="F283" s="493"/>
      <c r="G283" s="493"/>
      <c r="H283" s="493"/>
      <c r="I283" s="494"/>
      <c r="J283" s="493"/>
      <c r="K283" s="493"/>
    </row>
    <row r="284" spans="2:11" ht="12.75">
      <c r="B284" s="495" t="str">
        <f t="shared" si="0"/>
        <v/>
      </c>
      <c r="C284" s="493"/>
      <c r="D284" s="493"/>
      <c r="E284" s="493"/>
      <c r="F284" s="493"/>
      <c r="G284" s="493"/>
      <c r="H284" s="493"/>
      <c r="I284" s="494"/>
      <c r="J284" s="493"/>
      <c r="K284" s="493"/>
    </row>
    <row r="285" spans="2:11" ht="12.75">
      <c r="B285" s="495" t="str">
        <f t="shared" si="0"/>
        <v/>
      </c>
      <c r="C285" s="493"/>
      <c r="D285" s="493"/>
      <c r="E285" s="493"/>
      <c r="F285" s="493"/>
      <c r="G285" s="493"/>
      <c r="H285" s="493"/>
      <c r="I285" s="494"/>
      <c r="J285" s="493"/>
      <c r="K285" s="493"/>
    </row>
    <row r="286" spans="2:11" ht="12.75">
      <c r="B286" s="495" t="str">
        <f t="shared" si="0"/>
        <v/>
      </c>
      <c r="C286" s="493"/>
      <c r="D286" s="493"/>
      <c r="E286" s="493"/>
      <c r="F286" s="493"/>
      <c r="G286" s="493"/>
      <c r="H286" s="493"/>
      <c r="I286" s="494"/>
      <c r="J286" s="493"/>
      <c r="K286" s="493"/>
    </row>
    <row r="287" spans="2:11" ht="12.75">
      <c r="B287" s="495" t="str">
        <f t="shared" si="0"/>
        <v/>
      </c>
      <c r="C287" s="493"/>
      <c r="D287" s="493"/>
      <c r="E287" s="493"/>
      <c r="F287" s="493"/>
      <c r="G287" s="493"/>
      <c r="H287" s="493"/>
      <c r="I287" s="494"/>
      <c r="J287" s="493"/>
      <c r="K287" s="493"/>
    </row>
    <row r="288" spans="2:11" ht="12.75">
      <c r="B288" s="495" t="str">
        <f t="shared" si="0"/>
        <v/>
      </c>
      <c r="C288" s="493"/>
      <c r="D288" s="493"/>
      <c r="E288" s="493"/>
      <c r="F288" s="493"/>
      <c r="G288" s="493"/>
      <c r="H288" s="493"/>
      <c r="I288" s="494"/>
      <c r="J288" s="493"/>
      <c r="K288" s="493"/>
    </row>
    <row r="289" spans="2:11" ht="12.75">
      <c r="B289" s="495" t="str">
        <f t="shared" si="0"/>
        <v/>
      </c>
      <c r="C289" s="493"/>
      <c r="D289" s="493"/>
      <c r="E289" s="493"/>
      <c r="F289" s="493"/>
      <c r="G289" s="493"/>
      <c r="H289" s="493"/>
      <c r="I289" s="494"/>
      <c r="J289" s="493"/>
      <c r="K289" s="493"/>
    </row>
    <row r="290" spans="2:11" ht="12.75">
      <c r="B290" s="495" t="str">
        <f t="shared" si="0"/>
        <v/>
      </c>
      <c r="C290" s="493"/>
      <c r="D290" s="493"/>
      <c r="E290" s="493"/>
      <c r="F290" s="493"/>
      <c r="G290" s="493"/>
      <c r="H290" s="493"/>
      <c r="I290" s="494"/>
      <c r="J290" s="493"/>
      <c r="K290" s="493"/>
    </row>
    <row r="291" spans="2:11" ht="12.75">
      <c r="B291" s="495" t="str">
        <f t="shared" si="0"/>
        <v/>
      </c>
      <c r="C291" s="493"/>
      <c r="D291" s="493"/>
      <c r="E291" s="493"/>
      <c r="F291" s="493"/>
      <c r="G291" s="493"/>
      <c r="H291" s="493"/>
      <c r="I291" s="494"/>
      <c r="J291" s="493"/>
      <c r="K291" s="493"/>
    </row>
    <row r="292" spans="2:11" ht="12.75">
      <c r="B292" s="495" t="str">
        <f t="shared" si="0"/>
        <v/>
      </c>
      <c r="C292" s="493"/>
      <c r="D292" s="493"/>
      <c r="E292" s="493"/>
      <c r="F292" s="493"/>
      <c r="G292" s="493"/>
      <c r="H292" s="493"/>
      <c r="I292" s="494"/>
      <c r="J292" s="493"/>
      <c r="K292" s="493"/>
    </row>
    <row r="293" spans="2:11" ht="12.75">
      <c r="B293" s="495" t="str">
        <f t="shared" si="0"/>
        <v/>
      </c>
      <c r="C293" s="493"/>
      <c r="D293" s="493"/>
      <c r="E293" s="493"/>
      <c r="F293" s="493"/>
      <c r="G293" s="493"/>
      <c r="H293" s="493"/>
      <c r="I293" s="494"/>
      <c r="J293" s="493"/>
      <c r="K293" s="493"/>
    </row>
    <row r="294" spans="2:11" ht="12.75">
      <c r="B294" s="495" t="str">
        <f t="shared" si="0"/>
        <v/>
      </c>
      <c r="C294" s="493"/>
      <c r="D294" s="493"/>
      <c r="E294" s="493"/>
      <c r="F294" s="493"/>
      <c r="G294" s="493"/>
      <c r="H294" s="493"/>
      <c r="I294" s="494"/>
      <c r="J294" s="493"/>
      <c r="K294" s="493"/>
    </row>
    <row r="295" spans="2:11" ht="12.75">
      <c r="B295" s="495" t="str">
        <f t="shared" si="0"/>
        <v/>
      </c>
      <c r="C295" s="493"/>
      <c r="D295" s="493"/>
      <c r="E295" s="493"/>
      <c r="F295" s="493"/>
      <c r="G295" s="493"/>
      <c r="H295" s="493"/>
      <c r="I295" s="494"/>
      <c r="J295" s="493"/>
      <c r="K295" s="493"/>
    </row>
    <row r="296" spans="2:11" ht="12.75">
      <c r="B296" s="495" t="str">
        <f t="shared" si="0"/>
        <v/>
      </c>
      <c r="C296" s="493"/>
      <c r="D296" s="493"/>
      <c r="E296" s="493"/>
      <c r="F296" s="493"/>
      <c r="G296" s="493"/>
      <c r="H296" s="493"/>
      <c r="I296" s="494"/>
      <c r="J296" s="493"/>
      <c r="K296" s="493"/>
    </row>
    <row r="297" spans="2:11" ht="12.75">
      <c r="B297" s="495" t="str">
        <f t="shared" si="0"/>
        <v/>
      </c>
      <c r="C297" s="493"/>
      <c r="D297" s="493"/>
      <c r="E297" s="493"/>
      <c r="F297" s="493"/>
      <c r="G297" s="493"/>
      <c r="H297" s="493"/>
      <c r="I297" s="494"/>
      <c r="J297" s="493"/>
      <c r="K297" s="493"/>
    </row>
    <row r="298" spans="2:11" ht="12.75">
      <c r="B298" s="495" t="str">
        <f t="shared" si="0"/>
        <v/>
      </c>
      <c r="C298" s="493"/>
      <c r="D298" s="493"/>
      <c r="E298" s="493"/>
      <c r="F298" s="493"/>
      <c r="G298" s="493"/>
      <c r="H298" s="493"/>
      <c r="I298" s="494"/>
      <c r="J298" s="493"/>
      <c r="K298" s="493"/>
    </row>
    <row r="299" spans="2:11" ht="12.75">
      <c r="B299" s="495" t="str">
        <f t="shared" si="0"/>
        <v/>
      </c>
      <c r="C299" s="493"/>
      <c r="D299" s="493"/>
      <c r="E299" s="493"/>
      <c r="F299" s="493"/>
      <c r="G299" s="493"/>
      <c r="H299" s="493"/>
      <c r="I299" s="494"/>
      <c r="J299" s="493"/>
      <c r="K299" s="493"/>
    </row>
    <row r="300" spans="2:11" ht="12.75">
      <c r="B300" s="495" t="str">
        <f t="shared" si="0"/>
        <v/>
      </c>
      <c r="C300" s="493"/>
      <c r="D300" s="493"/>
      <c r="E300" s="493"/>
      <c r="F300" s="493"/>
      <c r="G300" s="493"/>
      <c r="H300" s="493"/>
      <c r="I300" s="494"/>
      <c r="J300" s="493"/>
      <c r="K300" s="493"/>
    </row>
    <row r="301" spans="2:11" ht="12.75">
      <c r="B301" s="495" t="str">
        <f t="shared" si="0"/>
        <v/>
      </c>
      <c r="C301" s="493"/>
      <c r="D301" s="493"/>
      <c r="E301" s="493"/>
      <c r="F301" s="493"/>
      <c r="G301" s="493"/>
      <c r="H301" s="493"/>
      <c r="I301" s="494"/>
      <c r="J301" s="493"/>
      <c r="K301" s="493"/>
    </row>
    <row r="302" spans="2:11" ht="12.75">
      <c r="B302" s="495" t="str">
        <f t="shared" si="0"/>
        <v/>
      </c>
      <c r="C302" s="493"/>
      <c r="D302" s="493"/>
      <c r="E302" s="493"/>
      <c r="F302" s="493"/>
      <c r="G302" s="493"/>
      <c r="H302" s="493"/>
      <c r="I302" s="494"/>
      <c r="J302" s="493"/>
      <c r="K302" s="493"/>
    </row>
    <row r="303" spans="2:11" ht="12.75">
      <c r="B303" s="495" t="str">
        <f t="shared" si="0"/>
        <v/>
      </c>
      <c r="C303" s="493"/>
      <c r="D303" s="493"/>
      <c r="E303" s="493"/>
      <c r="F303" s="493"/>
      <c r="G303" s="493"/>
      <c r="H303" s="493"/>
      <c r="I303" s="494"/>
      <c r="J303" s="493"/>
      <c r="K303" s="493"/>
    </row>
    <row r="304" spans="2:11" ht="12.75">
      <c r="B304" s="495" t="str">
        <f t="shared" si="0"/>
        <v/>
      </c>
      <c r="C304" s="493"/>
      <c r="D304" s="493"/>
      <c r="E304" s="493"/>
      <c r="F304" s="493"/>
      <c r="G304" s="493"/>
      <c r="H304" s="493"/>
      <c r="I304" s="494"/>
      <c r="J304" s="493"/>
      <c r="K304" s="493"/>
    </row>
    <row r="305" spans="2:11" ht="12.75">
      <c r="B305" s="495" t="str">
        <f t="shared" si="0"/>
        <v/>
      </c>
      <c r="C305" s="493"/>
      <c r="D305" s="493"/>
      <c r="E305" s="493"/>
      <c r="F305" s="493"/>
      <c r="G305" s="493"/>
      <c r="H305" s="493"/>
      <c r="I305" s="494"/>
      <c r="J305" s="493"/>
      <c r="K305" s="493"/>
    </row>
    <row r="306" spans="2:11" ht="12.75">
      <c r="B306" s="495" t="str">
        <f t="shared" si="0"/>
        <v/>
      </c>
      <c r="C306" s="493"/>
      <c r="D306" s="493"/>
      <c r="E306" s="493"/>
      <c r="F306" s="493"/>
      <c r="G306" s="493"/>
      <c r="H306" s="493"/>
      <c r="I306" s="494"/>
      <c r="J306" s="493"/>
      <c r="K306" s="493"/>
    </row>
    <row r="307" spans="2:11" ht="12.75">
      <c r="B307" s="495" t="str">
        <f t="shared" si="0"/>
        <v/>
      </c>
      <c r="C307" s="493"/>
      <c r="D307" s="493"/>
      <c r="E307" s="493"/>
      <c r="F307" s="493"/>
      <c r="G307" s="493"/>
      <c r="H307" s="493"/>
      <c r="I307" s="494"/>
      <c r="J307" s="493"/>
      <c r="K307" s="493"/>
    </row>
    <row r="308" spans="2:11" ht="12.75">
      <c r="B308" s="495" t="str">
        <f t="shared" si="0"/>
        <v/>
      </c>
      <c r="C308" s="493"/>
      <c r="D308" s="493"/>
      <c r="E308" s="493"/>
      <c r="F308" s="493"/>
      <c r="G308" s="493"/>
      <c r="H308" s="493"/>
      <c r="I308" s="494"/>
      <c r="J308" s="493"/>
      <c r="K308" s="493"/>
    </row>
    <row r="309" spans="2:11" ht="12.75">
      <c r="B309" s="495" t="str">
        <f t="shared" si="0"/>
        <v/>
      </c>
      <c r="C309" s="493"/>
      <c r="D309" s="493"/>
      <c r="E309" s="493"/>
      <c r="F309" s="493"/>
      <c r="G309" s="493"/>
      <c r="H309" s="493"/>
      <c r="I309" s="494"/>
      <c r="J309" s="493"/>
      <c r="K309" s="493"/>
    </row>
    <row r="310" spans="2:11" ht="12.75">
      <c r="B310" s="495" t="str">
        <f t="shared" si="0"/>
        <v/>
      </c>
      <c r="C310" s="493"/>
      <c r="D310" s="493"/>
      <c r="E310" s="493"/>
      <c r="F310" s="493"/>
      <c r="G310" s="493"/>
      <c r="H310" s="493"/>
      <c r="I310" s="494"/>
      <c r="J310" s="493"/>
      <c r="K310" s="493"/>
    </row>
    <row r="311" spans="2:11" ht="12.75">
      <c r="B311" s="495" t="str">
        <f t="shared" si="0"/>
        <v/>
      </c>
      <c r="C311" s="493"/>
      <c r="D311" s="493"/>
      <c r="E311" s="493"/>
      <c r="F311" s="493"/>
      <c r="G311" s="493"/>
      <c r="H311" s="493"/>
      <c r="I311" s="494"/>
      <c r="J311" s="493"/>
      <c r="K311" s="493"/>
    </row>
    <row r="312" spans="2:11" ht="12.75">
      <c r="B312" s="495" t="str">
        <f t="shared" si="0"/>
        <v/>
      </c>
      <c r="C312" s="493"/>
      <c r="D312" s="493"/>
      <c r="E312" s="493"/>
      <c r="F312" s="493"/>
      <c r="G312" s="493"/>
      <c r="H312" s="493"/>
      <c r="I312" s="494"/>
      <c r="J312" s="493"/>
      <c r="K312" s="493"/>
    </row>
    <row r="313" spans="2:11" ht="12.75">
      <c r="B313" s="495" t="str">
        <f t="shared" si="0"/>
        <v/>
      </c>
      <c r="C313" s="493"/>
      <c r="D313" s="493"/>
      <c r="E313" s="493"/>
      <c r="F313" s="493"/>
      <c r="G313" s="493"/>
      <c r="H313" s="493"/>
      <c r="I313" s="494"/>
      <c r="J313" s="493"/>
      <c r="K313" s="493"/>
    </row>
    <row r="314" spans="2:11" ht="12.75">
      <c r="B314" s="495" t="str">
        <f t="shared" si="0"/>
        <v/>
      </c>
      <c r="C314" s="493"/>
      <c r="D314" s="493"/>
      <c r="E314" s="493"/>
      <c r="F314" s="493"/>
      <c r="G314" s="493"/>
      <c r="H314" s="493"/>
      <c r="I314" s="494"/>
      <c r="J314" s="493"/>
      <c r="K314" s="493"/>
    </row>
    <row r="315" spans="2:11" ht="12.75">
      <c r="B315" s="495" t="str">
        <f t="shared" si="0"/>
        <v/>
      </c>
      <c r="C315" s="493"/>
      <c r="D315" s="493"/>
      <c r="E315" s="493"/>
      <c r="F315" s="493"/>
      <c r="G315" s="493"/>
      <c r="H315" s="493"/>
      <c r="I315" s="494"/>
      <c r="J315" s="493"/>
      <c r="K315" s="493"/>
    </row>
    <row r="316" spans="2:11" ht="12.75">
      <c r="B316" s="495" t="str">
        <f t="shared" si="0"/>
        <v/>
      </c>
      <c r="C316" s="493"/>
      <c r="D316" s="493"/>
      <c r="E316" s="493"/>
      <c r="F316" s="493"/>
      <c r="G316" s="493"/>
      <c r="H316" s="493"/>
      <c r="I316" s="494"/>
      <c r="J316" s="493"/>
      <c r="K316" s="493"/>
    </row>
    <row r="317" spans="2:11" ht="12.75">
      <c r="B317" s="495" t="str">
        <f t="shared" si="0"/>
        <v/>
      </c>
      <c r="C317" s="493"/>
      <c r="D317" s="493"/>
      <c r="E317" s="493"/>
      <c r="F317" s="493"/>
      <c r="G317" s="493"/>
      <c r="H317" s="493"/>
      <c r="I317" s="494"/>
      <c r="J317" s="493"/>
      <c r="K317" s="493"/>
    </row>
    <row r="318" spans="2:11" ht="12.75">
      <c r="B318" s="495" t="str">
        <f t="shared" si="0"/>
        <v/>
      </c>
      <c r="C318" s="493"/>
      <c r="D318" s="493"/>
      <c r="E318" s="493"/>
      <c r="F318" s="493"/>
      <c r="G318" s="493"/>
      <c r="H318" s="493"/>
      <c r="I318" s="494"/>
      <c r="J318" s="493"/>
      <c r="K318" s="493"/>
    </row>
    <row r="319" spans="2:11" ht="12.75">
      <c r="B319" s="495" t="str">
        <f t="shared" si="0"/>
        <v/>
      </c>
      <c r="C319" s="493"/>
      <c r="D319" s="493"/>
      <c r="E319" s="493"/>
      <c r="F319" s="493"/>
      <c r="G319" s="493"/>
      <c r="H319" s="493"/>
      <c r="I319" s="494"/>
      <c r="J319" s="493"/>
      <c r="K319" s="493"/>
    </row>
    <row r="320" spans="2:11" ht="12.75">
      <c r="B320" s="495" t="str">
        <f t="shared" si="0"/>
        <v/>
      </c>
      <c r="C320" s="493"/>
      <c r="D320" s="493"/>
      <c r="E320" s="493"/>
      <c r="F320" s="493"/>
      <c r="G320" s="493"/>
      <c r="H320" s="493"/>
      <c r="I320" s="494"/>
      <c r="J320" s="493"/>
      <c r="K320" s="493"/>
    </row>
    <row r="321" spans="2:11" ht="12.75">
      <c r="B321" s="495" t="str">
        <f t="shared" si="0"/>
        <v/>
      </c>
      <c r="C321" s="493"/>
      <c r="D321" s="493"/>
      <c r="E321" s="493"/>
      <c r="F321" s="493"/>
      <c r="G321" s="493"/>
      <c r="H321" s="493"/>
      <c r="I321" s="494"/>
      <c r="J321" s="493"/>
      <c r="K321" s="493"/>
    </row>
    <row r="322" spans="2:11" ht="12.75">
      <c r="B322" s="495" t="str">
        <f t="shared" si="0"/>
        <v/>
      </c>
      <c r="C322" s="493"/>
      <c r="D322" s="493"/>
      <c r="E322" s="493"/>
      <c r="F322" s="493"/>
      <c r="G322" s="493"/>
      <c r="H322" s="493"/>
      <c r="I322" s="494"/>
      <c r="J322" s="493"/>
      <c r="K322" s="493"/>
    </row>
    <row r="323" spans="2:11" ht="12.75">
      <c r="B323" s="495" t="str">
        <f t="shared" si="0"/>
        <v/>
      </c>
      <c r="C323" s="493"/>
      <c r="D323" s="493"/>
      <c r="E323" s="493"/>
      <c r="F323" s="493"/>
      <c r="G323" s="493"/>
      <c r="H323" s="493"/>
      <c r="I323" s="494"/>
      <c r="J323" s="493"/>
      <c r="K323" s="493"/>
    </row>
    <row r="324" spans="2:11" ht="12.75">
      <c r="B324" s="495" t="str">
        <f t="shared" si="0"/>
        <v/>
      </c>
      <c r="C324" s="493"/>
      <c r="D324" s="493"/>
      <c r="E324" s="493"/>
      <c r="F324" s="493"/>
      <c r="G324" s="493"/>
      <c r="H324" s="493"/>
      <c r="I324" s="494"/>
      <c r="J324" s="493"/>
      <c r="K324" s="493"/>
    </row>
    <row r="325" spans="2:11" ht="12.75">
      <c r="B325" s="495" t="str">
        <f t="shared" si="0"/>
        <v/>
      </c>
      <c r="C325" s="493"/>
      <c r="D325" s="493"/>
      <c r="E325" s="493"/>
      <c r="F325" s="493"/>
      <c r="G325" s="493"/>
      <c r="H325" s="493"/>
      <c r="I325" s="494"/>
      <c r="J325" s="493"/>
      <c r="K325" s="493"/>
    </row>
    <row r="326" spans="2:11" ht="12.75">
      <c r="B326" s="495" t="str">
        <f t="shared" si="0"/>
        <v/>
      </c>
      <c r="C326" s="493"/>
      <c r="D326" s="493"/>
      <c r="E326" s="493"/>
      <c r="F326" s="493"/>
      <c r="G326" s="493"/>
      <c r="H326" s="493"/>
      <c r="I326" s="494"/>
      <c r="J326" s="493"/>
      <c r="K326" s="493"/>
    </row>
    <row r="327" spans="2:11" ht="12.75">
      <c r="B327" s="495" t="str">
        <f t="shared" si="0"/>
        <v/>
      </c>
      <c r="C327" s="493"/>
      <c r="D327" s="493"/>
      <c r="E327" s="493"/>
      <c r="F327" s="493"/>
      <c r="G327" s="493"/>
      <c r="H327" s="493"/>
      <c r="I327" s="494"/>
      <c r="J327" s="493"/>
      <c r="K327" s="493"/>
    </row>
    <row r="328" spans="2:11" ht="12.75">
      <c r="B328" s="495" t="str">
        <f t="shared" si="0"/>
        <v/>
      </c>
      <c r="C328" s="493"/>
      <c r="D328" s="493"/>
      <c r="E328" s="493"/>
      <c r="F328" s="493"/>
      <c r="G328" s="493"/>
      <c r="H328" s="493"/>
      <c r="I328" s="494"/>
      <c r="J328" s="493"/>
      <c r="K328" s="493"/>
    </row>
    <row r="329" spans="2:11" ht="12.75">
      <c r="B329" s="495" t="str">
        <f t="shared" si="0"/>
        <v/>
      </c>
      <c r="C329" s="493"/>
      <c r="D329" s="493"/>
      <c r="E329" s="493"/>
      <c r="F329" s="493"/>
      <c r="G329" s="493"/>
      <c r="H329" s="493"/>
      <c r="I329" s="494"/>
      <c r="J329" s="493"/>
      <c r="K329" s="493"/>
    </row>
    <row r="330" spans="2:11" ht="12.75">
      <c r="B330" s="495" t="str">
        <f t="shared" si="0"/>
        <v/>
      </c>
      <c r="C330" s="493"/>
      <c r="D330" s="493"/>
      <c r="E330" s="493"/>
      <c r="F330" s="493"/>
      <c r="G330" s="493"/>
      <c r="H330" s="493"/>
      <c r="I330" s="494"/>
      <c r="J330" s="493"/>
      <c r="K330" s="493"/>
    </row>
    <row r="331" spans="2:11" ht="12.75">
      <c r="B331" s="495" t="str">
        <f t="shared" si="0"/>
        <v/>
      </c>
      <c r="C331" s="493"/>
      <c r="D331" s="493"/>
      <c r="E331" s="493"/>
      <c r="F331" s="493"/>
      <c r="G331" s="493"/>
      <c r="H331" s="493"/>
      <c r="I331" s="494"/>
      <c r="J331" s="493"/>
      <c r="K331" s="493"/>
    </row>
    <row r="332" spans="2:11" ht="12.75">
      <c r="B332" s="495" t="str">
        <f t="shared" si="0"/>
        <v/>
      </c>
      <c r="C332" s="493"/>
      <c r="D332" s="493"/>
      <c r="E332" s="493"/>
      <c r="F332" s="493"/>
      <c r="G332" s="493"/>
      <c r="H332" s="493"/>
      <c r="I332" s="494"/>
      <c r="J332" s="493"/>
      <c r="K332" s="493"/>
    </row>
    <row r="333" spans="2:11" ht="12.75">
      <c r="B333" s="495" t="str">
        <f t="shared" si="0"/>
        <v/>
      </c>
      <c r="C333" s="493"/>
      <c r="D333" s="493"/>
      <c r="E333" s="493"/>
      <c r="F333" s="493"/>
      <c r="G333" s="493"/>
      <c r="H333" s="493"/>
      <c r="I333" s="494"/>
      <c r="J333" s="493"/>
      <c r="K333" s="493"/>
    </row>
    <row r="334" spans="2:11" ht="12.75">
      <c r="B334" s="495" t="str">
        <f t="shared" si="0"/>
        <v/>
      </c>
      <c r="C334" s="493"/>
      <c r="D334" s="493"/>
      <c r="E334" s="493"/>
      <c r="F334" s="493"/>
      <c r="G334" s="493"/>
      <c r="H334" s="493"/>
      <c r="I334" s="494"/>
      <c r="J334" s="493"/>
      <c r="K334" s="493"/>
    </row>
    <row r="335" spans="2:11" ht="12.75">
      <c r="B335" s="495" t="str">
        <f t="shared" si="0"/>
        <v/>
      </c>
      <c r="C335" s="493"/>
      <c r="D335" s="493"/>
      <c r="E335" s="493"/>
      <c r="F335" s="493"/>
      <c r="G335" s="493"/>
      <c r="H335" s="493"/>
      <c r="I335" s="494"/>
      <c r="J335" s="493"/>
      <c r="K335" s="493"/>
    </row>
    <row r="336" spans="2:11" ht="12.75">
      <c r="B336" s="495" t="str">
        <f t="shared" si="0"/>
        <v/>
      </c>
      <c r="C336" s="493"/>
      <c r="D336" s="493"/>
      <c r="E336" s="493"/>
      <c r="F336" s="493"/>
      <c r="G336" s="493"/>
      <c r="H336" s="493"/>
      <c r="I336" s="494"/>
      <c r="J336" s="493"/>
      <c r="K336" s="493"/>
    </row>
    <row r="337" spans="2:11" ht="12.75">
      <c r="B337" s="495" t="str">
        <f t="shared" si="0"/>
        <v/>
      </c>
      <c r="C337" s="493"/>
      <c r="D337" s="493"/>
      <c r="E337" s="493"/>
      <c r="F337" s="493"/>
      <c r="G337" s="493"/>
      <c r="H337" s="493"/>
      <c r="I337" s="494"/>
      <c r="J337" s="493"/>
      <c r="K337" s="493"/>
    </row>
    <row r="338" spans="2:11" ht="12.75">
      <c r="B338" s="495" t="str">
        <f t="shared" si="0"/>
        <v/>
      </c>
      <c r="C338" s="493"/>
      <c r="D338" s="493"/>
      <c r="E338" s="493"/>
      <c r="F338" s="493"/>
      <c r="G338" s="493"/>
      <c r="H338" s="493"/>
      <c r="I338" s="494"/>
      <c r="J338" s="493"/>
      <c r="K338" s="493"/>
    </row>
    <row r="339" spans="2:11" ht="12.75">
      <c r="B339" s="495" t="str">
        <f t="shared" si="0"/>
        <v/>
      </c>
      <c r="C339" s="493"/>
      <c r="D339" s="493"/>
      <c r="E339" s="493"/>
      <c r="F339" s="493"/>
      <c r="G339" s="493"/>
      <c r="H339" s="493"/>
      <c r="I339" s="494"/>
      <c r="J339" s="493"/>
      <c r="K339" s="493"/>
    </row>
    <row r="340" spans="2:11" ht="12.75">
      <c r="B340" s="495" t="str">
        <f t="shared" si="0"/>
        <v/>
      </c>
      <c r="C340" s="493"/>
      <c r="D340" s="493"/>
      <c r="E340" s="493"/>
      <c r="F340" s="493"/>
      <c r="G340" s="493"/>
      <c r="H340" s="493"/>
      <c r="I340" s="494"/>
      <c r="J340" s="493"/>
      <c r="K340" s="493"/>
    </row>
    <row r="341" spans="2:11" ht="12.75">
      <c r="B341" s="495" t="str">
        <f t="shared" si="0"/>
        <v/>
      </c>
      <c r="C341" s="493"/>
      <c r="D341" s="493"/>
      <c r="E341" s="493"/>
      <c r="F341" s="493"/>
      <c r="G341" s="493"/>
      <c r="H341" s="493"/>
      <c r="I341" s="494"/>
      <c r="J341" s="493"/>
      <c r="K341" s="493"/>
    </row>
    <row r="342" spans="2:11" ht="12.75">
      <c r="B342" s="495" t="str">
        <f t="shared" si="0"/>
        <v/>
      </c>
      <c r="C342" s="493"/>
      <c r="D342" s="493"/>
      <c r="E342" s="493"/>
      <c r="F342" s="493"/>
      <c r="G342" s="493"/>
      <c r="H342" s="493"/>
      <c r="I342" s="494"/>
      <c r="J342" s="493"/>
      <c r="K342" s="493"/>
    </row>
    <row r="343" spans="2:11" ht="12.75">
      <c r="B343" s="495" t="str">
        <f t="shared" si="0"/>
        <v/>
      </c>
      <c r="C343" s="493"/>
      <c r="D343" s="493"/>
      <c r="E343" s="493"/>
      <c r="F343" s="493"/>
      <c r="G343" s="493"/>
      <c r="H343" s="493"/>
      <c r="I343" s="494"/>
      <c r="J343" s="493"/>
      <c r="K343" s="493"/>
    </row>
    <row r="344" spans="2:11" ht="12.75">
      <c r="B344" s="495" t="str">
        <f t="shared" si="0"/>
        <v/>
      </c>
      <c r="C344" s="493"/>
      <c r="D344" s="493"/>
      <c r="E344" s="493"/>
      <c r="F344" s="493"/>
      <c r="G344" s="493"/>
      <c r="H344" s="493"/>
      <c r="I344" s="494"/>
      <c r="J344" s="493"/>
      <c r="K344" s="493"/>
    </row>
    <row r="345" spans="2:11" ht="12.75">
      <c r="B345" s="495" t="str">
        <f t="shared" si="0"/>
        <v/>
      </c>
      <c r="C345" s="493"/>
      <c r="D345" s="493"/>
      <c r="E345" s="493"/>
      <c r="F345" s="493"/>
      <c r="G345" s="493"/>
      <c r="H345" s="493"/>
      <c r="I345" s="494"/>
      <c r="J345" s="493"/>
      <c r="K345" s="493"/>
    </row>
    <row r="346" spans="2:11" ht="12.75">
      <c r="B346" s="495" t="str">
        <f t="shared" si="0"/>
        <v/>
      </c>
      <c r="C346" s="493"/>
      <c r="D346" s="493"/>
      <c r="E346" s="493"/>
      <c r="F346" s="493"/>
      <c r="G346" s="493"/>
      <c r="H346" s="493"/>
      <c r="I346" s="494"/>
      <c r="J346" s="493"/>
      <c r="K346" s="493"/>
    </row>
    <row r="347" spans="2:11" ht="12.75">
      <c r="B347" s="495" t="str">
        <f t="shared" si="0"/>
        <v/>
      </c>
      <c r="C347" s="493"/>
      <c r="D347" s="493"/>
      <c r="E347" s="493"/>
      <c r="F347" s="493"/>
      <c r="G347" s="493"/>
      <c r="H347" s="493"/>
      <c r="I347" s="494"/>
      <c r="J347" s="493"/>
      <c r="K347" s="493"/>
    </row>
    <row r="348" spans="2:11" ht="12.75">
      <c r="B348" s="495" t="str">
        <f t="shared" si="0"/>
        <v/>
      </c>
      <c r="C348" s="493"/>
      <c r="D348" s="493"/>
      <c r="E348" s="493"/>
      <c r="F348" s="493"/>
      <c r="G348" s="493"/>
      <c r="H348" s="493"/>
      <c r="I348" s="494"/>
      <c r="J348" s="493"/>
      <c r="K348" s="493"/>
    </row>
    <row r="349" spans="2:11" ht="12.75">
      <c r="B349" s="495" t="str">
        <f t="shared" si="0"/>
        <v/>
      </c>
      <c r="C349" s="493"/>
      <c r="D349" s="493"/>
      <c r="E349" s="493"/>
      <c r="F349" s="493"/>
      <c r="G349" s="493"/>
      <c r="H349" s="493"/>
      <c r="I349" s="494"/>
      <c r="J349" s="493"/>
      <c r="K349" s="493"/>
    </row>
    <row r="350" spans="2:11" ht="12.75">
      <c r="B350" s="495" t="str">
        <f t="shared" si="0"/>
        <v/>
      </c>
      <c r="C350" s="493"/>
      <c r="D350" s="493"/>
      <c r="E350" s="493"/>
      <c r="F350" s="493"/>
      <c r="G350" s="493"/>
      <c r="H350" s="493"/>
      <c r="I350" s="494"/>
      <c r="J350" s="493"/>
      <c r="K350" s="493"/>
    </row>
    <row r="351" spans="2:11" ht="12.75">
      <c r="B351" s="495" t="str">
        <f t="shared" si="0"/>
        <v/>
      </c>
      <c r="C351" s="493"/>
      <c r="D351" s="493"/>
      <c r="E351" s="493"/>
      <c r="F351" s="493"/>
      <c r="G351" s="493"/>
      <c r="H351" s="493"/>
      <c r="I351" s="494"/>
      <c r="J351" s="493"/>
      <c r="K351" s="493"/>
    </row>
    <row r="352" spans="2:11" ht="12.75">
      <c r="B352" s="495" t="str">
        <f t="shared" si="0"/>
        <v/>
      </c>
      <c r="C352" s="493"/>
      <c r="D352" s="493"/>
      <c r="E352" s="493"/>
      <c r="F352" s="493"/>
      <c r="G352" s="493"/>
      <c r="H352" s="493"/>
      <c r="I352" s="494"/>
      <c r="J352" s="493"/>
      <c r="K352" s="493"/>
    </row>
    <row r="353" spans="2:11" ht="12.75">
      <c r="B353" s="495" t="str">
        <f t="shared" si="0"/>
        <v/>
      </c>
      <c r="C353" s="493"/>
      <c r="D353" s="493"/>
      <c r="E353" s="493"/>
      <c r="F353" s="493"/>
      <c r="G353" s="493"/>
      <c r="H353" s="493"/>
      <c r="I353" s="494"/>
      <c r="J353" s="493"/>
      <c r="K353" s="493"/>
    </row>
    <row r="354" spans="2:11" ht="12.75">
      <c r="B354" s="495" t="str">
        <f t="shared" si="0"/>
        <v/>
      </c>
      <c r="C354" s="493"/>
      <c r="D354" s="493"/>
      <c r="E354" s="493"/>
      <c r="F354" s="493"/>
      <c r="G354" s="493"/>
      <c r="H354" s="493"/>
      <c r="I354" s="494"/>
      <c r="J354" s="493"/>
      <c r="K354" s="493"/>
    </row>
    <row r="355" spans="2:11" ht="12.75">
      <c r="B355" s="495" t="str">
        <f t="shared" si="0"/>
        <v/>
      </c>
      <c r="C355" s="493"/>
      <c r="D355" s="493"/>
      <c r="E355" s="493"/>
      <c r="F355" s="493"/>
      <c r="G355" s="493"/>
      <c r="H355" s="493"/>
      <c r="I355" s="494"/>
      <c r="J355" s="493"/>
      <c r="K355" s="493"/>
    </row>
    <row r="356" spans="2:11" ht="12.75">
      <c r="B356" s="495" t="str">
        <f t="shared" si="0"/>
        <v/>
      </c>
      <c r="C356" s="493"/>
      <c r="D356" s="493"/>
      <c r="E356" s="493"/>
      <c r="F356" s="493"/>
      <c r="G356" s="493"/>
      <c r="H356" s="493"/>
      <c r="I356" s="494"/>
      <c r="J356" s="493"/>
      <c r="K356" s="493"/>
    </row>
    <row r="357" spans="2:11" ht="12.75">
      <c r="B357" s="495" t="str">
        <f t="shared" si="0"/>
        <v/>
      </c>
      <c r="C357" s="493"/>
      <c r="D357" s="493"/>
      <c r="E357" s="493"/>
      <c r="F357" s="493"/>
      <c r="G357" s="493"/>
      <c r="H357" s="493"/>
      <c r="I357" s="494"/>
      <c r="J357" s="493"/>
      <c r="K357" s="493"/>
    </row>
    <row r="358" spans="2:11" ht="12.75">
      <c r="B358" s="495" t="str">
        <f t="shared" si="0"/>
        <v/>
      </c>
      <c r="C358" s="493"/>
      <c r="D358" s="493"/>
      <c r="E358" s="493"/>
      <c r="F358" s="493"/>
      <c r="G358" s="493"/>
      <c r="H358" s="493"/>
      <c r="I358" s="494"/>
      <c r="J358" s="493"/>
      <c r="K358" s="493"/>
    </row>
    <row r="359" spans="2:11" ht="12.75">
      <c r="B359" s="495" t="str">
        <f t="shared" si="0"/>
        <v/>
      </c>
      <c r="C359" s="493"/>
      <c r="D359" s="493"/>
      <c r="E359" s="493"/>
      <c r="F359" s="493"/>
      <c r="G359" s="493"/>
      <c r="H359" s="493"/>
      <c r="I359" s="494"/>
      <c r="J359" s="493"/>
      <c r="K359" s="493"/>
    </row>
    <row r="360" spans="2:11" ht="12.75">
      <c r="B360" s="495" t="str">
        <f t="shared" si="0"/>
        <v/>
      </c>
      <c r="C360" s="493"/>
      <c r="D360" s="493"/>
      <c r="E360" s="493"/>
      <c r="F360" s="493"/>
      <c r="G360" s="493"/>
      <c r="H360" s="493"/>
      <c r="I360" s="494"/>
      <c r="J360" s="493"/>
      <c r="K360" s="493"/>
    </row>
    <row r="361" spans="2:11" ht="12.75">
      <c r="B361" s="495" t="str">
        <f t="shared" si="0"/>
        <v/>
      </c>
      <c r="C361" s="493"/>
      <c r="D361" s="493"/>
      <c r="E361" s="493"/>
      <c r="F361" s="493"/>
      <c r="G361" s="493"/>
      <c r="H361" s="493"/>
      <c r="I361" s="494"/>
      <c r="J361" s="493"/>
      <c r="K361" s="493"/>
    </row>
    <row r="362" spans="2:11" ht="12.75">
      <c r="B362" s="495" t="str">
        <f t="shared" si="0"/>
        <v/>
      </c>
      <c r="C362" s="493"/>
      <c r="D362" s="493"/>
      <c r="E362" s="493"/>
      <c r="F362" s="493"/>
      <c r="G362" s="493"/>
      <c r="H362" s="493"/>
      <c r="I362" s="494"/>
      <c r="J362" s="493"/>
      <c r="K362" s="493"/>
    </row>
    <row r="363" spans="2:11" ht="12.75">
      <c r="B363" s="495" t="str">
        <f t="shared" si="0"/>
        <v/>
      </c>
      <c r="C363" s="493"/>
      <c r="D363" s="493"/>
      <c r="E363" s="493"/>
      <c r="F363" s="493"/>
      <c r="G363" s="493"/>
      <c r="H363" s="493"/>
      <c r="I363" s="494"/>
      <c r="J363" s="493"/>
      <c r="K363" s="493"/>
    </row>
    <row r="364" spans="2:11" ht="12.75">
      <c r="B364" s="495" t="str">
        <f t="shared" si="0"/>
        <v/>
      </c>
      <c r="C364" s="493"/>
      <c r="D364" s="493"/>
      <c r="E364" s="493"/>
      <c r="F364" s="493"/>
      <c r="G364" s="493"/>
      <c r="H364" s="493"/>
      <c r="I364" s="494"/>
      <c r="J364" s="493"/>
      <c r="K364" s="493"/>
    </row>
    <row r="365" spans="2:11" ht="12.75">
      <c r="B365" s="495" t="str">
        <f t="shared" si="0"/>
        <v/>
      </c>
      <c r="C365" s="493"/>
      <c r="D365" s="493"/>
      <c r="E365" s="493"/>
      <c r="F365" s="493"/>
      <c r="G365" s="493"/>
      <c r="H365" s="493"/>
      <c r="I365" s="494"/>
      <c r="J365" s="493"/>
      <c r="K365" s="493"/>
    </row>
    <row r="366" spans="2:11" ht="12.75">
      <c r="B366" s="495" t="str">
        <f t="shared" si="0"/>
        <v/>
      </c>
      <c r="C366" s="493"/>
      <c r="D366" s="493"/>
      <c r="E366" s="493"/>
      <c r="F366" s="493"/>
      <c r="G366" s="493"/>
      <c r="H366" s="493"/>
      <c r="I366" s="494"/>
      <c r="J366" s="493"/>
      <c r="K366" s="493"/>
    </row>
    <row r="367" spans="2:11" ht="12.75">
      <c r="B367" s="495" t="str">
        <f t="shared" si="0"/>
        <v/>
      </c>
      <c r="C367" s="493"/>
      <c r="D367" s="493"/>
      <c r="E367" s="493"/>
      <c r="F367" s="493"/>
      <c r="G367" s="493"/>
      <c r="H367" s="493"/>
      <c r="I367" s="494"/>
      <c r="J367" s="493"/>
      <c r="K367" s="493"/>
    </row>
    <row r="368" spans="2:11" ht="12.75">
      <c r="B368" s="495" t="str">
        <f t="shared" si="0"/>
        <v/>
      </c>
      <c r="C368" s="493"/>
      <c r="D368" s="493"/>
      <c r="E368" s="493"/>
      <c r="F368" s="493"/>
      <c r="G368" s="493"/>
      <c r="H368" s="493"/>
      <c r="I368" s="494"/>
      <c r="J368" s="493"/>
      <c r="K368" s="493"/>
    </row>
    <row r="369" spans="2:11" ht="12.75">
      <c r="B369" s="495" t="str">
        <f t="shared" si="0"/>
        <v/>
      </c>
      <c r="C369" s="493"/>
      <c r="D369" s="493"/>
      <c r="E369" s="493"/>
      <c r="F369" s="493"/>
      <c r="G369" s="493"/>
      <c r="H369" s="493"/>
      <c r="I369" s="494"/>
      <c r="J369" s="493"/>
      <c r="K369" s="493"/>
    </row>
    <row r="370" spans="2:11" ht="12.75">
      <c r="B370" s="495" t="str">
        <f t="shared" si="0"/>
        <v/>
      </c>
      <c r="C370" s="493"/>
      <c r="D370" s="493"/>
      <c r="E370" s="493"/>
      <c r="F370" s="493"/>
      <c r="G370" s="493"/>
      <c r="H370" s="493"/>
      <c r="I370" s="494"/>
      <c r="J370" s="493"/>
      <c r="K370" s="493"/>
    </row>
    <row r="371" spans="2:11" ht="12.75">
      <c r="B371" s="495" t="str">
        <f t="shared" si="0"/>
        <v/>
      </c>
      <c r="C371" s="493"/>
      <c r="D371" s="493"/>
      <c r="E371" s="493"/>
      <c r="F371" s="493"/>
      <c r="G371" s="493"/>
      <c r="H371" s="493"/>
      <c r="I371" s="494"/>
      <c r="J371" s="493"/>
      <c r="K371" s="493"/>
    </row>
    <row r="372" spans="2:11" ht="12.75">
      <c r="B372" s="495" t="str">
        <f t="shared" si="0"/>
        <v/>
      </c>
      <c r="C372" s="493"/>
      <c r="D372" s="493"/>
      <c r="E372" s="493"/>
      <c r="F372" s="493"/>
      <c r="G372" s="493"/>
      <c r="H372" s="493"/>
      <c r="I372" s="494"/>
      <c r="J372" s="493"/>
      <c r="K372" s="493"/>
    </row>
    <row r="373" spans="2:11" ht="12.75">
      <c r="B373" s="495" t="str">
        <f t="shared" si="0"/>
        <v/>
      </c>
      <c r="C373" s="493"/>
      <c r="D373" s="493"/>
      <c r="E373" s="493"/>
      <c r="F373" s="493"/>
      <c r="G373" s="493"/>
      <c r="H373" s="493"/>
      <c r="I373" s="494"/>
      <c r="J373" s="493"/>
      <c r="K373" s="493"/>
    </row>
    <row r="374" spans="2:11" ht="12.75">
      <c r="B374" s="495" t="str">
        <f t="shared" si="0"/>
        <v/>
      </c>
      <c r="C374" s="493"/>
      <c r="D374" s="493"/>
      <c r="E374" s="493"/>
      <c r="F374" s="493"/>
      <c r="G374" s="493"/>
      <c r="H374" s="493"/>
      <c r="I374" s="494"/>
      <c r="J374" s="493"/>
      <c r="K374" s="493"/>
    </row>
    <row r="375" spans="2:11" ht="12.75">
      <c r="B375" s="495" t="str">
        <f t="shared" si="0"/>
        <v/>
      </c>
      <c r="C375" s="493"/>
      <c r="D375" s="493"/>
      <c r="E375" s="493"/>
      <c r="F375" s="493"/>
      <c r="G375" s="493"/>
      <c r="H375" s="493"/>
      <c r="I375" s="494"/>
      <c r="J375" s="493"/>
      <c r="K375" s="493"/>
    </row>
    <row r="376" spans="2:11" ht="12.75">
      <c r="B376" s="495" t="str">
        <f t="shared" si="0"/>
        <v/>
      </c>
      <c r="C376" s="493"/>
      <c r="D376" s="493"/>
      <c r="E376" s="493"/>
      <c r="F376" s="493"/>
      <c r="G376" s="493"/>
      <c r="H376" s="493"/>
      <c r="I376" s="494"/>
      <c r="J376" s="493"/>
      <c r="K376" s="493"/>
    </row>
    <row r="377" spans="2:11" ht="12.75">
      <c r="B377" s="495" t="str">
        <f t="shared" si="0"/>
        <v/>
      </c>
      <c r="C377" s="493"/>
      <c r="D377" s="493"/>
      <c r="E377" s="493"/>
      <c r="F377" s="493"/>
      <c r="G377" s="493"/>
      <c r="H377" s="493"/>
      <c r="I377" s="494"/>
      <c r="J377" s="493"/>
      <c r="K377" s="493"/>
    </row>
    <row r="378" spans="2:11" ht="12.75">
      <c r="B378" s="495" t="str">
        <f t="shared" si="0"/>
        <v/>
      </c>
      <c r="C378" s="493"/>
      <c r="D378" s="493"/>
      <c r="E378" s="493"/>
      <c r="F378" s="493"/>
      <c r="G378" s="493"/>
      <c r="H378" s="493"/>
      <c r="I378" s="494"/>
      <c r="J378" s="493"/>
      <c r="K378" s="493"/>
    </row>
    <row r="379" spans="2:11" ht="12.75">
      <c r="B379" s="495" t="str">
        <f t="shared" si="0"/>
        <v/>
      </c>
      <c r="C379" s="493"/>
      <c r="D379" s="493"/>
      <c r="E379" s="493"/>
      <c r="F379" s="493"/>
      <c r="G379" s="493"/>
      <c r="H379" s="493"/>
      <c r="I379" s="494"/>
      <c r="J379" s="493"/>
      <c r="K379" s="493"/>
    </row>
    <row r="380" spans="2:11" ht="12.75">
      <c r="B380" s="495" t="str">
        <f t="shared" si="0"/>
        <v/>
      </c>
      <c r="C380" s="493"/>
      <c r="D380" s="493"/>
      <c r="E380" s="493"/>
      <c r="F380" s="493"/>
      <c r="G380" s="493"/>
      <c r="H380" s="493"/>
      <c r="I380" s="494"/>
      <c r="J380" s="493"/>
      <c r="K380" s="493"/>
    </row>
    <row r="381" spans="2:11" ht="12.75">
      <c r="B381" s="495" t="str">
        <f t="shared" si="0"/>
        <v/>
      </c>
      <c r="C381" s="493"/>
      <c r="D381" s="493"/>
      <c r="E381" s="493"/>
      <c r="F381" s="493"/>
      <c r="G381" s="493"/>
      <c r="H381" s="493"/>
      <c r="I381" s="494"/>
      <c r="J381" s="493"/>
      <c r="K381" s="493"/>
    </row>
    <row r="382" spans="2:11" ht="12.75">
      <c r="B382" s="495" t="str">
        <f t="shared" si="0"/>
        <v/>
      </c>
      <c r="C382" s="493"/>
      <c r="D382" s="493"/>
      <c r="E382" s="493"/>
      <c r="F382" s="493"/>
      <c r="G382" s="493"/>
      <c r="H382" s="493"/>
      <c r="I382" s="494"/>
      <c r="J382" s="493"/>
      <c r="K382" s="493"/>
    </row>
    <row r="383" spans="2:11" ht="12.75">
      <c r="B383" s="495" t="str">
        <f t="shared" si="0"/>
        <v/>
      </c>
      <c r="C383" s="493"/>
      <c r="D383" s="493"/>
      <c r="E383" s="493"/>
      <c r="F383" s="493"/>
      <c r="G383" s="493"/>
      <c r="H383" s="493"/>
      <c r="I383" s="494"/>
      <c r="J383" s="493"/>
      <c r="K383" s="493"/>
    </row>
    <row r="384" spans="2:11" ht="12.75">
      <c r="B384" s="495" t="str">
        <f t="shared" si="0"/>
        <v/>
      </c>
      <c r="C384" s="493"/>
      <c r="D384" s="493"/>
      <c r="E384" s="493"/>
      <c r="F384" s="493"/>
      <c r="G384" s="493"/>
      <c r="H384" s="493"/>
      <c r="I384" s="494"/>
      <c r="J384" s="493"/>
      <c r="K384" s="493"/>
    </row>
    <row r="385" spans="2:11" ht="12.75">
      <c r="B385" s="495" t="str">
        <f t="shared" si="0"/>
        <v/>
      </c>
      <c r="C385" s="493"/>
      <c r="D385" s="493"/>
      <c r="E385" s="493"/>
      <c r="F385" s="493"/>
      <c r="G385" s="493"/>
      <c r="H385" s="493"/>
      <c r="I385" s="494"/>
      <c r="J385" s="493"/>
      <c r="K385" s="493"/>
    </row>
    <row r="386" spans="2:11" ht="12.75">
      <c r="B386" s="495" t="str">
        <f t="shared" si="0"/>
        <v/>
      </c>
      <c r="C386" s="493"/>
      <c r="D386" s="493"/>
      <c r="E386" s="493"/>
      <c r="F386" s="493"/>
      <c r="G386" s="493"/>
      <c r="H386" s="493"/>
      <c r="I386" s="494"/>
      <c r="J386" s="493"/>
      <c r="K386" s="493"/>
    </row>
    <row r="387" spans="2:11" ht="12.75">
      <c r="B387" s="495" t="str">
        <f t="shared" si="0"/>
        <v/>
      </c>
      <c r="C387" s="493"/>
      <c r="D387" s="493"/>
      <c r="E387" s="493"/>
      <c r="F387" s="493"/>
      <c r="G387" s="493"/>
      <c r="H387" s="493"/>
      <c r="I387" s="494"/>
      <c r="J387" s="493"/>
      <c r="K387" s="493"/>
    </row>
    <row r="388" spans="2:11" ht="12.75">
      <c r="B388" s="495" t="str">
        <f t="shared" si="0"/>
        <v/>
      </c>
      <c r="C388" s="493"/>
      <c r="D388" s="493"/>
      <c r="E388" s="493"/>
      <c r="F388" s="493"/>
      <c r="G388" s="493"/>
      <c r="H388" s="493"/>
      <c r="I388" s="494"/>
      <c r="J388" s="493"/>
      <c r="K388" s="493"/>
    </row>
    <row r="389" spans="2:11" ht="12.75">
      <c r="B389" s="495" t="str">
        <f t="shared" si="0"/>
        <v/>
      </c>
      <c r="C389" s="493"/>
      <c r="D389" s="493"/>
      <c r="E389" s="493"/>
      <c r="F389" s="493"/>
      <c r="G389" s="493"/>
      <c r="H389" s="493"/>
      <c r="I389" s="494"/>
      <c r="J389" s="493"/>
      <c r="K389" s="493"/>
    </row>
    <row r="390" spans="2:11" ht="12.75">
      <c r="B390" s="495" t="str">
        <f t="shared" si="0"/>
        <v/>
      </c>
      <c r="C390" s="493"/>
      <c r="D390" s="493"/>
      <c r="E390" s="493"/>
      <c r="F390" s="493"/>
      <c r="G390" s="493"/>
      <c r="H390" s="493"/>
      <c r="I390" s="494"/>
      <c r="J390" s="493"/>
      <c r="K390" s="493"/>
    </row>
    <row r="391" spans="2:11" ht="12.75">
      <c r="B391" s="495" t="str">
        <f t="shared" si="0"/>
        <v/>
      </c>
      <c r="C391" s="493"/>
      <c r="D391" s="493"/>
      <c r="E391" s="493"/>
      <c r="F391" s="493"/>
      <c r="G391" s="493"/>
      <c r="H391" s="493"/>
      <c r="I391" s="494"/>
      <c r="J391" s="493"/>
      <c r="K391" s="493"/>
    </row>
    <row r="392" spans="2:11" ht="12.75">
      <c r="B392" s="495" t="str">
        <f t="shared" si="0"/>
        <v/>
      </c>
      <c r="C392" s="493"/>
      <c r="D392" s="493"/>
      <c r="E392" s="493"/>
      <c r="F392" s="493"/>
      <c r="G392" s="493"/>
      <c r="H392" s="493"/>
      <c r="I392" s="494"/>
      <c r="J392" s="493"/>
      <c r="K392" s="493"/>
    </row>
    <row r="393" spans="2:11" ht="12.75">
      <c r="B393" s="495" t="str">
        <f t="shared" si="0"/>
        <v/>
      </c>
      <c r="C393" s="493"/>
      <c r="D393" s="493"/>
      <c r="E393" s="493"/>
      <c r="F393" s="493"/>
      <c r="G393" s="493"/>
      <c r="H393" s="493"/>
      <c r="I393" s="494"/>
      <c r="J393" s="493"/>
      <c r="K393" s="493"/>
    </row>
    <row r="394" spans="2:11" ht="12.75">
      <c r="B394" s="495" t="str">
        <f t="shared" si="0"/>
        <v/>
      </c>
      <c r="C394" s="493"/>
      <c r="D394" s="493"/>
      <c r="E394" s="493"/>
      <c r="F394" s="493"/>
      <c r="G394" s="493"/>
      <c r="H394" s="493"/>
      <c r="I394" s="494"/>
      <c r="J394" s="493"/>
      <c r="K394" s="493"/>
    </row>
    <row r="395" spans="2:11" ht="12.75">
      <c r="B395" s="495" t="str">
        <f t="shared" si="0"/>
        <v/>
      </c>
      <c r="C395" s="493"/>
      <c r="D395" s="493"/>
      <c r="E395" s="493"/>
      <c r="F395" s="493"/>
      <c r="G395" s="493"/>
      <c r="H395" s="493"/>
      <c r="I395" s="494"/>
      <c r="J395" s="493"/>
      <c r="K395" s="493"/>
    </row>
    <row r="396" spans="2:11" ht="12.75">
      <c r="B396" s="495" t="str">
        <f t="shared" si="0"/>
        <v/>
      </c>
      <c r="C396" s="493"/>
      <c r="D396" s="493"/>
      <c r="E396" s="493"/>
      <c r="F396" s="493"/>
      <c r="G396" s="493"/>
      <c r="H396" s="493"/>
      <c r="I396" s="494"/>
      <c r="J396" s="493"/>
      <c r="K396" s="493"/>
    </row>
    <row r="397" spans="2:11" ht="12.75">
      <c r="B397" s="495" t="str">
        <f t="shared" si="0"/>
        <v/>
      </c>
      <c r="C397" s="493"/>
      <c r="D397" s="493"/>
      <c r="E397" s="493"/>
      <c r="F397" s="493"/>
      <c r="G397" s="493"/>
      <c r="H397" s="493"/>
      <c r="I397" s="494"/>
      <c r="J397" s="493"/>
      <c r="K397" s="493"/>
    </row>
    <row r="398" spans="2:11" ht="12.75">
      <c r="B398" s="495" t="str">
        <f t="shared" si="0"/>
        <v/>
      </c>
      <c r="C398" s="493"/>
      <c r="D398" s="493"/>
      <c r="E398" s="493"/>
      <c r="F398" s="493"/>
      <c r="G398" s="493"/>
      <c r="H398" s="493"/>
      <c r="I398" s="494"/>
      <c r="J398" s="493"/>
      <c r="K398" s="493"/>
    </row>
    <row r="399" spans="2:11" ht="12.75">
      <c r="B399" s="495" t="str">
        <f t="shared" si="0"/>
        <v/>
      </c>
      <c r="C399" s="493"/>
      <c r="D399" s="493"/>
      <c r="E399" s="493"/>
      <c r="F399" s="493"/>
      <c r="G399" s="493"/>
      <c r="H399" s="493"/>
      <c r="I399" s="494"/>
      <c r="J399" s="493"/>
      <c r="K399" s="493"/>
    </row>
    <row r="400" spans="2:11" ht="12.75">
      <c r="B400" s="495" t="str">
        <f t="shared" si="0"/>
        <v/>
      </c>
      <c r="C400" s="493"/>
      <c r="D400" s="493"/>
      <c r="E400" s="493"/>
      <c r="F400" s="493"/>
      <c r="G400" s="493"/>
      <c r="H400" s="493"/>
      <c r="I400" s="494"/>
      <c r="J400" s="493"/>
      <c r="K400" s="493"/>
    </row>
    <row r="401" spans="2:11" ht="12.75">
      <c r="B401" s="495" t="str">
        <f t="shared" si="0"/>
        <v/>
      </c>
      <c r="C401" s="493"/>
      <c r="D401" s="493"/>
      <c r="E401" s="493"/>
      <c r="F401" s="493"/>
      <c r="G401" s="493"/>
      <c r="H401" s="493"/>
      <c r="I401" s="494"/>
      <c r="J401" s="493"/>
      <c r="K401" s="493"/>
    </row>
    <row r="402" spans="2:11" ht="12.75">
      <c r="B402" s="495" t="str">
        <f t="shared" si="0"/>
        <v/>
      </c>
      <c r="C402" s="493"/>
      <c r="D402" s="493"/>
      <c r="E402" s="493"/>
      <c r="F402" s="493"/>
      <c r="G402" s="493"/>
      <c r="H402" s="493"/>
      <c r="I402" s="494"/>
      <c r="J402" s="493"/>
      <c r="K402" s="493"/>
    </row>
    <row r="403" spans="2:11" ht="12.75">
      <c r="B403" s="495" t="str">
        <f t="shared" si="0"/>
        <v/>
      </c>
      <c r="C403" s="493"/>
      <c r="D403" s="493"/>
      <c r="E403" s="493"/>
      <c r="F403" s="493"/>
      <c r="G403" s="493"/>
      <c r="H403" s="493"/>
      <c r="I403" s="494"/>
      <c r="J403" s="493"/>
      <c r="K403" s="493"/>
    </row>
    <row r="404" spans="2:11" ht="12.75">
      <c r="B404" s="495" t="str">
        <f t="shared" si="0"/>
        <v/>
      </c>
      <c r="C404" s="493"/>
      <c r="D404" s="493"/>
      <c r="E404" s="493"/>
      <c r="F404" s="493"/>
      <c r="G404" s="493"/>
      <c r="H404" s="493"/>
      <c r="I404" s="494"/>
      <c r="J404" s="493"/>
      <c r="K404" s="493"/>
    </row>
    <row r="405" spans="2:11" ht="12.75">
      <c r="B405" s="495" t="str">
        <f t="shared" si="0"/>
        <v/>
      </c>
      <c r="C405" s="493"/>
      <c r="D405" s="493"/>
      <c r="E405" s="493"/>
      <c r="F405" s="493"/>
      <c r="G405" s="493"/>
      <c r="H405" s="493"/>
      <c r="I405" s="494"/>
      <c r="J405" s="493"/>
      <c r="K405" s="493"/>
    </row>
    <row r="406" spans="2:11" ht="12.75">
      <c r="B406" s="495" t="str">
        <f t="shared" si="0"/>
        <v/>
      </c>
      <c r="C406" s="493"/>
      <c r="D406" s="493"/>
      <c r="E406" s="493"/>
      <c r="F406" s="493"/>
      <c r="G406" s="493"/>
      <c r="H406" s="493"/>
      <c r="I406" s="494"/>
      <c r="J406" s="493"/>
      <c r="K406" s="493"/>
    </row>
    <row r="407" spans="2:11" ht="12.75">
      <c r="B407" s="495" t="str">
        <f t="shared" si="0"/>
        <v/>
      </c>
      <c r="C407" s="493"/>
      <c r="D407" s="493"/>
      <c r="E407" s="493"/>
      <c r="F407" s="493"/>
      <c r="G407" s="493"/>
      <c r="H407" s="493"/>
      <c r="I407" s="494"/>
      <c r="J407" s="493"/>
      <c r="K407" s="493"/>
    </row>
    <row r="408" spans="2:11" ht="12.75">
      <c r="B408" s="495" t="str">
        <f t="shared" si="0"/>
        <v/>
      </c>
      <c r="C408" s="493"/>
      <c r="D408" s="493"/>
      <c r="E408" s="493"/>
      <c r="F408" s="493"/>
      <c r="G408" s="493"/>
      <c r="H408" s="493"/>
      <c r="I408" s="494"/>
      <c r="J408" s="493"/>
      <c r="K408" s="493"/>
    </row>
    <row r="409" spans="2:11" ht="12.75">
      <c r="B409" s="495" t="str">
        <f t="shared" si="0"/>
        <v/>
      </c>
      <c r="C409" s="493"/>
      <c r="D409" s="493"/>
      <c r="E409" s="493"/>
      <c r="F409" s="493"/>
      <c r="G409" s="493"/>
      <c r="H409" s="493"/>
      <c r="I409" s="494"/>
      <c r="J409" s="493"/>
      <c r="K409" s="493"/>
    </row>
    <row r="410" spans="2:11" ht="12.75">
      <c r="B410" s="495" t="str">
        <f t="shared" si="0"/>
        <v/>
      </c>
      <c r="C410" s="493"/>
      <c r="D410" s="493"/>
      <c r="E410" s="493"/>
      <c r="F410" s="493"/>
      <c r="G410" s="493"/>
      <c r="H410" s="493"/>
      <c r="I410" s="494"/>
      <c r="J410" s="493"/>
      <c r="K410" s="493"/>
    </row>
    <row r="411" spans="2:11" ht="12.75">
      <c r="B411" s="495" t="str">
        <f t="shared" si="0"/>
        <v/>
      </c>
      <c r="C411" s="493"/>
      <c r="D411" s="493"/>
      <c r="E411" s="493"/>
      <c r="F411" s="493"/>
      <c r="G411" s="493"/>
      <c r="H411" s="493"/>
      <c r="I411" s="494"/>
      <c r="J411" s="493"/>
      <c r="K411" s="493"/>
    </row>
    <row r="412" spans="2:11" ht="12.75">
      <c r="B412" s="495" t="str">
        <f t="shared" si="0"/>
        <v/>
      </c>
      <c r="C412" s="493"/>
      <c r="D412" s="493"/>
      <c r="E412" s="493"/>
      <c r="F412" s="493"/>
      <c r="G412" s="493"/>
      <c r="H412" s="493"/>
      <c r="I412" s="494"/>
      <c r="J412" s="493"/>
      <c r="K412" s="493"/>
    </row>
    <row r="413" spans="2:11" ht="12.75">
      <c r="B413" s="495" t="str">
        <f t="shared" si="0"/>
        <v/>
      </c>
      <c r="C413" s="493"/>
      <c r="D413" s="493"/>
      <c r="E413" s="493"/>
      <c r="F413" s="493"/>
      <c r="G413" s="493"/>
      <c r="H413" s="493"/>
      <c r="I413" s="494"/>
      <c r="J413" s="493"/>
      <c r="K413" s="493"/>
    </row>
    <row r="414" spans="2:11" ht="12.75">
      <c r="B414" s="495" t="str">
        <f t="shared" si="0"/>
        <v/>
      </c>
      <c r="C414" s="493"/>
      <c r="D414" s="493"/>
      <c r="E414" s="493"/>
      <c r="F414" s="493"/>
      <c r="G414" s="493"/>
      <c r="H414" s="493"/>
      <c r="I414" s="494"/>
      <c r="J414" s="493"/>
      <c r="K414" s="493"/>
    </row>
    <row r="415" spans="2:11" ht="12.75">
      <c r="B415" s="495" t="str">
        <f t="shared" si="0"/>
        <v/>
      </c>
      <c r="C415" s="493"/>
      <c r="D415" s="493"/>
      <c r="E415" s="493"/>
      <c r="F415" s="493"/>
      <c r="G415" s="493"/>
      <c r="H415" s="493"/>
      <c r="I415" s="494"/>
      <c r="J415" s="493"/>
      <c r="K415" s="493"/>
    </row>
    <row r="416" spans="2:11" ht="12.75">
      <c r="B416" s="495" t="str">
        <f t="shared" si="0"/>
        <v/>
      </c>
      <c r="C416" s="493"/>
      <c r="D416" s="493"/>
      <c r="E416" s="493"/>
      <c r="F416" s="493"/>
      <c r="G416" s="493"/>
      <c r="H416" s="493"/>
      <c r="I416" s="494"/>
      <c r="J416" s="493"/>
      <c r="K416" s="493"/>
    </row>
    <row r="417" spans="2:11" ht="12.75">
      <c r="B417" s="495" t="str">
        <f t="shared" si="0"/>
        <v/>
      </c>
      <c r="C417" s="493"/>
      <c r="D417" s="493"/>
      <c r="E417" s="493"/>
      <c r="F417" s="493"/>
      <c r="G417" s="493"/>
      <c r="H417" s="493"/>
      <c r="I417" s="494"/>
      <c r="J417" s="493"/>
      <c r="K417" s="493"/>
    </row>
    <row r="418" spans="2:11" ht="12.75">
      <c r="B418" s="495" t="str">
        <f t="shared" si="0"/>
        <v/>
      </c>
      <c r="C418" s="493"/>
      <c r="D418" s="493"/>
      <c r="E418" s="493"/>
      <c r="F418" s="493"/>
      <c r="G418" s="493"/>
      <c r="H418" s="493"/>
      <c r="I418" s="494"/>
      <c r="J418" s="493"/>
      <c r="K418" s="493"/>
    </row>
    <row r="419" spans="2:11" ht="12.75">
      <c r="B419" s="495" t="str">
        <f t="shared" si="0"/>
        <v/>
      </c>
      <c r="C419" s="493"/>
      <c r="D419" s="493"/>
      <c r="E419" s="493"/>
      <c r="F419" s="493"/>
      <c r="G419" s="493"/>
      <c r="H419" s="493"/>
      <c r="I419" s="494"/>
      <c r="J419" s="493"/>
      <c r="K419" s="493"/>
    </row>
    <row r="420" spans="2:11" ht="12.75">
      <c r="B420" s="495" t="str">
        <f t="shared" si="0"/>
        <v/>
      </c>
      <c r="C420" s="493"/>
      <c r="D420" s="493"/>
      <c r="E420" s="493"/>
      <c r="F420" s="493"/>
      <c r="G420" s="493"/>
      <c r="H420" s="493"/>
      <c r="I420" s="494"/>
      <c r="J420" s="493"/>
      <c r="K420" s="493"/>
    </row>
    <row r="421" spans="2:11" ht="12.75">
      <c r="B421" s="495" t="str">
        <f t="shared" si="0"/>
        <v/>
      </c>
      <c r="C421" s="493"/>
      <c r="D421" s="493"/>
      <c r="E421" s="493"/>
      <c r="F421" s="493"/>
      <c r="G421" s="493"/>
      <c r="H421" s="493"/>
      <c r="I421" s="494"/>
      <c r="J421" s="493"/>
      <c r="K421" s="493"/>
    </row>
    <row r="422" spans="2:11" ht="12.75">
      <c r="B422" s="495" t="str">
        <f t="shared" si="0"/>
        <v/>
      </c>
      <c r="C422" s="493"/>
      <c r="D422" s="493"/>
      <c r="E422" s="493"/>
      <c r="F422" s="493"/>
      <c r="G422" s="493"/>
      <c r="H422" s="493"/>
      <c r="I422" s="494"/>
      <c r="J422" s="493"/>
      <c r="K422" s="493"/>
    </row>
    <row r="423" spans="2:11" ht="12.75">
      <c r="B423" s="495" t="str">
        <f t="shared" si="0"/>
        <v/>
      </c>
      <c r="C423" s="493"/>
      <c r="D423" s="493"/>
      <c r="E423" s="493"/>
      <c r="F423" s="493"/>
      <c r="G423" s="493"/>
      <c r="H423" s="493"/>
      <c r="I423" s="494"/>
      <c r="J423" s="493"/>
      <c r="K423" s="493"/>
    </row>
    <row r="424" spans="2:11" ht="12.75">
      <c r="B424" s="495" t="str">
        <f t="shared" si="0"/>
        <v/>
      </c>
      <c r="C424" s="493"/>
      <c r="D424" s="493"/>
      <c r="E424" s="493"/>
      <c r="F424" s="493"/>
      <c r="G424" s="493"/>
      <c r="H424" s="493"/>
      <c r="I424" s="494"/>
      <c r="J424" s="493"/>
      <c r="K424" s="493"/>
    </row>
    <row r="425" spans="2:11" ht="12.75">
      <c r="B425" s="495" t="str">
        <f t="shared" si="0"/>
        <v/>
      </c>
      <c r="C425" s="493"/>
      <c r="D425" s="493"/>
      <c r="E425" s="493"/>
      <c r="F425" s="493"/>
      <c r="G425" s="493"/>
      <c r="H425" s="493"/>
      <c r="I425" s="494"/>
      <c r="J425" s="493"/>
      <c r="K425" s="493"/>
    </row>
    <row r="426" spans="2:11" ht="12.75">
      <c r="B426" s="495" t="str">
        <f t="shared" si="0"/>
        <v/>
      </c>
      <c r="C426" s="493"/>
      <c r="D426" s="493"/>
      <c r="E426" s="493"/>
      <c r="F426" s="493"/>
      <c r="G426" s="493"/>
      <c r="H426" s="493"/>
      <c r="I426" s="494"/>
      <c r="J426" s="493"/>
      <c r="K426" s="493"/>
    </row>
    <row r="427" spans="2:11" ht="12.75">
      <c r="B427" s="495" t="str">
        <f t="shared" si="0"/>
        <v/>
      </c>
      <c r="C427" s="493"/>
      <c r="D427" s="493"/>
      <c r="E427" s="493"/>
      <c r="F427" s="493"/>
      <c r="G427" s="493"/>
      <c r="H427" s="493"/>
      <c r="I427" s="494"/>
      <c r="J427" s="493"/>
      <c r="K427" s="493"/>
    </row>
    <row r="428" spans="2:11" ht="12.75">
      <c r="B428" s="495" t="str">
        <f t="shared" si="0"/>
        <v/>
      </c>
      <c r="C428" s="493"/>
      <c r="D428" s="493"/>
      <c r="E428" s="493"/>
      <c r="F428" s="493"/>
      <c r="G428" s="493"/>
      <c r="H428" s="493"/>
      <c r="I428" s="494"/>
      <c r="J428" s="493"/>
      <c r="K428" s="493"/>
    </row>
    <row r="429" spans="2:11" ht="12.75">
      <c r="B429" s="495" t="str">
        <f t="shared" si="0"/>
        <v/>
      </c>
      <c r="C429" s="493"/>
      <c r="D429" s="493"/>
      <c r="E429" s="493"/>
      <c r="F429" s="493"/>
      <c r="G429" s="493"/>
      <c r="H429" s="493"/>
      <c r="I429" s="494"/>
      <c r="J429" s="493"/>
      <c r="K429" s="493"/>
    </row>
    <row r="430" spans="2:11" ht="12.75">
      <c r="B430" s="495" t="str">
        <f t="shared" si="0"/>
        <v/>
      </c>
      <c r="C430" s="493"/>
      <c r="D430" s="493"/>
      <c r="E430" s="493"/>
      <c r="F430" s="493"/>
      <c r="G430" s="493"/>
      <c r="H430" s="493"/>
      <c r="I430" s="494"/>
      <c r="J430" s="493"/>
      <c r="K430" s="493"/>
    </row>
    <row r="431" spans="2:11" ht="12.75">
      <c r="B431" s="495" t="str">
        <f t="shared" si="0"/>
        <v/>
      </c>
      <c r="C431" s="493"/>
      <c r="D431" s="493"/>
      <c r="E431" s="493"/>
      <c r="F431" s="493"/>
      <c r="G431" s="493"/>
      <c r="H431" s="493"/>
      <c r="I431" s="494"/>
      <c r="J431" s="493"/>
      <c r="K431" s="493"/>
    </row>
    <row r="432" spans="2:11" ht="12.75">
      <c r="B432" s="495" t="str">
        <f t="shared" si="0"/>
        <v/>
      </c>
      <c r="C432" s="493"/>
      <c r="D432" s="493"/>
      <c r="E432" s="493"/>
      <c r="F432" s="493"/>
      <c r="G432" s="493"/>
      <c r="H432" s="493"/>
      <c r="I432" s="494"/>
      <c r="J432" s="493"/>
      <c r="K432" s="493"/>
    </row>
    <row r="433" spans="2:11" ht="12.75">
      <c r="B433" s="495" t="str">
        <f t="shared" si="0"/>
        <v/>
      </c>
      <c r="C433" s="493"/>
      <c r="D433" s="493"/>
      <c r="E433" s="493"/>
      <c r="F433" s="493"/>
      <c r="G433" s="493"/>
      <c r="H433" s="493"/>
      <c r="I433" s="494"/>
      <c r="J433" s="493"/>
      <c r="K433" s="493"/>
    </row>
    <row r="434" spans="2:11" ht="12.75">
      <c r="B434" s="495" t="str">
        <f t="shared" si="0"/>
        <v/>
      </c>
      <c r="C434" s="493"/>
      <c r="D434" s="493"/>
      <c r="E434" s="493"/>
      <c r="F434" s="493"/>
      <c r="G434" s="493"/>
      <c r="H434" s="493"/>
      <c r="I434" s="494"/>
      <c r="J434" s="493"/>
      <c r="K434" s="493"/>
    </row>
    <row r="435" spans="2:11" ht="12.75">
      <c r="B435" s="495" t="str">
        <f t="shared" si="0"/>
        <v/>
      </c>
      <c r="C435" s="493"/>
      <c r="D435" s="493"/>
      <c r="E435" s="493"/>
      <c r="F435" s="493"/>
      <c r="G435" s="493"/>
      <c r="H435" s="493"/>
      <c r="I435" s="494"/>
      <c r="J435" s="493"/>
      <c r="K435" s="493"/>
    </row>
    <row r="436" spans="2:11" ht="12.75">
      <c r="B436" s="495" t="str">
        <f t="shared" si="0"/>
        <v/>
      </c>
      <c r="C436" s="493"/>
      <c r="D436" s="493"/>
      <c r="E436" s="493"/>
      <c r="F436" s="493"/>
      <c r="G436" s="493"/>
      <c r="H436" s="493"/>
      <c r="I436" s="494"/>
      <c r="J436" s="493"/>
      <c r="K436" s="493"/>
    </row>
    <row r="437" spans="2:11" ht="12.75">
      <c r="B437" s="495" t="str">
        <f t="shared" si="0"/>
        <v/>
      </c>
      <c r="C437" s="493"/>
      <c r="D437" s="493"/>
      <c r="E437" s="493"/>
      <c r="F437" s="493"/>
      <c r="G437" s="493"/>
      <c r="H437" s="493"/>
      <c r="I437" s="494"/>
      <c r="J437" s="493"/>
      <c r="K437" s="493"/>
    </row>
    <row r="438" spans="2:11" ht="12.75">
      <c r="B438" s="495" t="str">
        <f t="shared" si="0"/>
        <v/>
      </c>
      <c r="C438" s="493"/>
      <c r="D438" s="493"/>
      <c r="E438" s="493"/>
      <c r="F438" s="493"/>
      <c r="G438" s="493"/>
      <c r="H438" s="493"/>
      <c r="I438" s="494"/>
      <c r="J438" s="493"/>
      <c r="K438" s="493"/>
    </row>
    <row r="439" spans="2:11" ht="12.75">
      <c r="B439" s="495" t="str">
        <f t="shared" si="0"/>
        <v/>
      </c>
      <c r="C439" s="493"/>
      <c r="D439" s="493"/>
      <c r="E439" s="493"/>
      <c r="F439" s="493"/>
      <c r="G439" s="493"/>
      <c r="H439" s="493"/>
      <c r="I439" s="494"/>
      <c r="J439" s="493"/>
      <c r="K439" s="493"/>
    </row>
    <row r="440" spans="2:11" ht="12.75">
      <c r="B440" s="495" t="str">
        <f t="shared" si="0"/>
        <v/>
      </c>
      <c r="C440" s="493"/>
      <c r="D440" s="493"/>
      <c r="E440" s="493"/>
      <c r="F440" s="493"/>
      <c r="G440" s="493"/>
      <c r="H440" s="493"/>
      <c r="I440" s="494"/>
      <c r="J440" s="493"/>
      <c r="K440" s="493"/>
    </row>
    <row r="441" spans="2:11" ht="12.75">
      <c r="B441" s="495" t="str">
        <f t="shared" si="0"/>
        <v/>
      </c>
      <c r="C441" s="493"/>
      <c r="D441" s="493"/>
      <c r="E441" s="493"/>
      <c r="F441" s="493"/>
      <c r="G441" s="493"/>
      <c r="H441" s="493"/>
      <c r="I441" s="494"/>
      <c r="J441" s="493"/>
      <c r="K441" s="493"/>
    </row>
    <row r="442" spans="2:11" ht="12.75">
      <c r="B442" s="495" t="str">
        <f t="shared" si="0"/>
        <v/>
      </c>
      <c r="C442" s="493"/>
      <c r="D442" s="493"/>
      <c r="E442" s="493"/>
      <c r="F442" s="493"/>
      <c r="G442" s="493"/>
      <c r="H442" s="493"/>
      <c r="I442" s="494"/>
      <c r="J442" s="493"/>
      <c r="K442" s="493"/>
    </row>
    <row r="443" spans="2:11" ht="12.75">
      <c r="B443" s="495" t="str">
        <f t="shared" si="0"/>
        <v/>
      </c>
      <c r="C443" s="493"/>
      <c r="D443" s="493"/>
      <c r="E443" s="493"/>
      <c r="F443" s="493"/>
      <c r="G443" s="493"/>
      <c r="H443" s="493"/>
      <c r="I443" s="494"/>
      <c r="J443" s="493"/>
      <c r="K443" s="493"/>
    </row>
    <row r="444" spans="2:11" ht="12.75">
      <c r="B444" s="495" t="str">
        <f t="shared" si="0"/>
        <v/>
      </c>
      <c r="C444" s="493"/>
      <c r="D444" s="493"/>
      <c r="E444" s="493"/>
      <c r="F444" s="493"/>
      <c r="G444" s="493"/>
      <c r="H444" s="493"/>
      <c r="I444" s="494"/>
      <c r="J444" s="493"/>
      <c r="K444" s="493"/>
    </row>
    <row r="445" spans="2:11" ht="12.75">
      <c r="B445" s="495" t="str">
        <f t="shared" si="0"/>
        <v/>
      </c>
      <c r="C445" s="493"/>
      <c r="D445" s="493"/>
      <c r="E445" s="493"/>
      <c r="F445" s="493"/>
      <c r="G445" s="493"/>
      <c r="H445" s="493"/>
      <c r="I445" s="494"/>
      <c r="J445" s="493"/>
      <c r="K445" s="493"/>
    </row>
    <row r="446" spans="2:11" ht="12.75">
      <c r="B446" s="495" t="str">
        <f t="shared" si="0"/>
        <v/>
      </c>
      <c r="C446" s="493"/>
      <c r="D446" s="493"/>
      <c r="E446" s="493"/>
      <c r="F446" s="493"/>
      <c r="G446" s="493"/>
      <c r="H446" s="493"/>
      <c r="I446" s="494"/>
      <c r="J446" s="493"/>
      <c r="K446" s="493"/>
    </row>
    <row r="447" spans="2:11" ht="12.75">
      <c r="B447" s="495" t="str">
        <f t="shared" si="0"/>
        <v/>
      </c>
      <c r="C447" s="493"/>
      <c r="D447" s="493"/>
      <c r="E447" s="493"/>
      <c r="F447" s="493"/>
      <c r="G447" s="493"/>
      <c r="H447" s="493"/>
      <c r="I447" s="494"/>
      <c r="J447" s="493"/>
      <c r="K447" s="493"/>
    </row>
    <row r="448" spans="2:11" ht="12.75">
      <c r="B448" s="495" t="str">
        <f t="shared" si="0"/>
        <v/>
      </c>
      <c r="C448" s="493"/>
      <c r="D448" s="493"/>
      <c r="E448" s="493"/>
      <c r="F448" s="493"/>
      <c r="G448" s="493"/>
      <c r="H448" s="493"/>
      <c r="I448" s="494"/>
      <c r="J448" s="493"/>
      <c r="K448" s="493"/>
    </row>
    <row r="449" spans="2:11" ht="12.75">
      <c r="B449" s="495" t="str">
        <f t="shared" si="0"/>
        <v/>
      </c>
      <c r="C449" s="493"/>
      <c r="D449" s="493"/>
      <c r="E449" s="493"/>
      <c r="F449" s="493"/>
      <c r="G449" s="493"/>
      <c r="H449" s="493"/>
      <c r="I449" s="494"/>
      <c r="J449" s="493"/>
      <c r="K449" s="493"/>
    </row>
    <row r="450" spans="2:11" ht="12.75">
      <c r="B450" s="495" t="str">
        <f t="shared" si="0"/>
        <v/>
      </c>
      <c r="C450" s="493"/>
      <c r="D450" s="493"/>
      <c r="E450" s="493"/>
      <c r="F450" s="493"/>
      <c r="G450" s="493"/>
      <c r="H450" s="493"/>
      <c r="I450" s="494"/>
      <c r="J450" s="493"/>
      <c r="K450" s="493"/>
    </row>
    <row r="451" spans="2:11" ht="12.75">
      <c r="B451" s="495" t="str">
        <f t="shared" si="0"/>
        <v/>
      </c>
      <c r="C451" s="493"/>
      <c r="D451" s="493"/>
      <c r="E451" s="493"/>
      <c r="F451" s="493"/>
      <c r="G451" s="493"/>
      <c r="H451" s="493"/>
      <c r="I451" s="494"/>
      <c r="J451" s="493"/>
      <c r="K451" s="493"/>
    </row>
    <row r="452" spans="2:11" ht="12.75">
      <c r="B452" s="495" t="str">
        <f t="shared" si="0"/>
        <v/>
      </c>
      <c r="C452" s="493"/>
      <c r="D452" s="493"/>
      <c r="E452" s="493"/>
      <c r="F452" s="493"/>
      <c r="G452" s="493"/>
      <c r="H452" s="493"/>
      <c r="I452" s="494"/>
      <c r="J452" s="493"/>
      <c r="K452" s="493"/>
    </row>
    <row r="453" spans="2:11" ht="12.75">
      <c r="B453" s="495" t="str">
        <f t="shared" si="0"/>
        <v/>
      </c>
      <c r="C453" s="493"/>
      <c r="D453" s="493"/>
      <c r="E453" s="493"/>
      <c r="F453" s="493"/>
      <c r="G453" s="493"/>
      <c r="H453" s="493"/>
      <c r="I453" s="494"/>
      <c r="J453" s="493"/>
      <c r="K453" s="493"/>
    </row>
    <row r="454" spans="2:11" ht="12.75">
      <c r="B454" s="495" t="str">
        <f t="shared" si="0"/>
        <v/>
      </c>
      <c r="C454" s="493"/>
      <c r="D454" s="493"/>
      <c r="E454" s="493"/>
      <c r="F454" s="493"/>
      <c r="G454" s="493"/>
      <c r="H454" s="493"/>
      <c r="I454" s="494"/>
      <c r="J454" s="493"/>
      <c r="K454" s="493"/>
    </row>
    <row r="455" spans="2:11" ht="12.75">
      <c r="B455" s="495" t="str">
        <f t="shared" si="0"/>
        <v/>
      </c>
      <c r="C455" s="493"/>
      <c r="D455" s="493"/>
      <c r="E455" s="493"/>
      <c r="F455" s="493"/>
      <c r="G455" s="493"/>
      <c r="H455" s="493"/>
      <c r="I455" s="494"/>
      <c r="J455" s="493"/>
      <c r="K455" s="493"/>
    </row>
    <row r="456" spans="2:11" ht="12.75">
      <c r="B456" s="495" t="str">
        <f t="shared" si="0"/>
        <v/>
      </c>
      <c r="C456" s="493"/>
      <c r="D456" s="493"/>
      <c r="E456" s="493"/>
      <c r="F456" s="493"/>
      <c r="G456" s="493"/>
      <c r="H456" s="493"/>
      <c r="I456" s="494"/>
      <c r="J456" s="493"/>
      <c r="K456" s="493"/>
    </row>
    <row r="457" spans="2:11" ht="12.75">
      <c r="B457" s="495" t="str">
        <f t="shared" si="0"/>
        <v/>
      </c>
      <c r="C457" s="493"/>
      <c r="D457" s="493"/>
      <c r="E457" s="493"/>
      <c r="F457" s="493"/>
      <c r="G457" s="493"/>
      <c r="H457" s="493"/>
      <c r="I457" s="494"/>
      <c r="J457" s="493"/>
      <c r="K457" s="493"/>
    </row>
    <row r="458" spans="2:11" ht="12.75">
      <c r="B458" s="495" t="str">
        <f t="shared" si="0"/>
        <v/>
      </c>
      <c r="C458" s="493"/>
      <c r="D458" s="493"/>
      <c r="E458" s="493"/>
      <c r="F458" s="493"/>
      <c r="G458" s="493"/>
      <c r="H458" s="493"/>
      <c r="I458" s="494"/>
      <c r="J458" s="493"/>
      <c r="K458" s="493"/>
    </row>
    <row r="459" spans="2:11" ht="12.75">
      <c r="B459" s="495" t="str">
        <f t="shared" si="0"/>
        <v/>
      </c>
      <c r="C459" s="493"/>
      <c r="D459" s="493"/>
      <c r="E459" s="493"/>
      <c r="F459" s="493"/>
      <c r="G459" s="493"/>
      <c r="H459" s="493"/>
      <c r="I459" s="494"/>
      <c r="J459" s="493"/>
      <c r="K459" s="493"/>
    </row>
    <row r="460" spans="2:11" ht="12.75">
      <c r="B460" s="495" t="str">
        <f t="shared" si="0"/>
        <v/>
      </c>
      <c r="C460" s="493"/>
      <c r="D460" s="493"/>
      <c r="E460" s="493"/>
      <c r="F460" s="493"/>
      <c r="G460" s="493"/>
      <c r="H460" s="493"/>
      <c r="I460" s="494"/>
      <c r="J460" s="493"/>
      <c r="K460" s="493"/>
    </row>
    <row r="461" spans="2:11" ht="12.75">
      <c r="B461" s="495" t="str">
        <f t="shared" si="0"/>
        <v/>
      </c>
      <c r="C461" s="493"/>
      <c r="D461" s="493"/>
      <c r="E461" s="493"/>
      <c r="F461" s="493"/>
      <c r="G461" s="493"/>
      <c r="H461" s="493"/>
      <c r="I461" s="494"/>
      <c r="J461" s="493"/>
      <c r="K461" s="493"/>
    </row>
    <row r="462" spans="2:11" ht="12.75">
      <c r="B462" s="495" t="str">
        <f t="shared" si="0"/>
        <v/>
      </c>
      <c r="C462" s="493"/>
      <c r="D462" s="493"/>
      <c r="E462" s="493"/>
      <c r="F462" s="493"/>
      <c r="G462" s="493"/>
      <c r="H462" s="493"/>
      <c r="I462" s="494"/>
      <c r="J462" s="493"/>
      <c r="K462" s="493"/>
    </row>
    <row r="463" spans="2:11" ht="12.75">
      <c r="B463" s="495" t="str">
        <f t="shared" si="0"/>
        <v/>
      </c>
      <c r="C463" s="493"/>
      <c r="D463" s="493"/>
      <c r="E463" s="493"/>
      <c r="F463" s="493"/>
      <c r="G463" s="493"/>
      <c r="H463" s="493"/>
      <c r="I463" s="494"/>
      <c r="J463" s="493"/>
      <c r="K463" s="493"/>
    </row>
    <row r="464" spans="2:11" ht="12.75">
      <c r="B464" s="495" t="str">
        <f t="shared" si="0"/>
        <v/>
      </c>
      <c r="C464" s="493"/>
      <c r="D464" s="493"/>
      <c r="E464" s="493"/>
      <c r="F464" s="493"/>
      <c r="G464" s="493"/>
      <c r="H464" s="493"/>
      <c r="I464" s="494"/>
      <c r="J464" s="493"/>
      <c r="K464" s="493"/>
    </row>
    <row r="465" spans="2:11" ht="12.75">
      <c r="B465" s="495" t="str">
        <f t="shared" si="0"/>
        <v/>
      </c>
      <c r="C465" s="493"/>
      <c r="D465" s="493"/>
      <c r="E465" s="493"/>
      <c r="F465" s="493"/>
      <c r="G465" s="493"/>
      <c r="H465" s="493"/>
      <c r="I465" s="494"/>
      <c r="J465" s="493"/>
      <c r="K465" s="493"/>
    </row>
    <row r="466" spans="2:11" ht="12.75">
      <c r="B466" s="495" t="str">
        <f t="shared" si="0"/>
        <v/>
      </c>
      <c r="C466" s="493"/>
      <c r="D466" s="493"/>
      <c r="E466" s="493"/>
      <c r="F466" s="493"/>
      <c r="G466" s="493"/>
      <c r="H466" s="493"/>
      <c r="I466" s="494"/>
      <c r="J466" s="493"/>
      <c r="K466" s="493"/>
    </row>
    <row r="467" spans="2:11" ht="12.75">
      <c r="B467" s="495" t="str">
        <f t="shared" si="0"/>
        <v/>
      </c>
      <c r="C467" s="493"/>
      <c r="D467" s="493"/>
      <c r="E467" s="493"/>
      <c r="F467" s="493"/>
      <c r="G467" s="493"/>
      <c r="H467" s="493"/>
      <c r="I467" s="494"/>
      <c r="J467" s="493"/>
      <c r="K467" s="493"/>
    </row>
    <row r="468" spans="2:11" ht="12.75">
      <c r="B468" s="495" t="str">
        <f t="shared" si="0"/>
        <v/>
      </c>
      <c r="C468" s="493"/>
      <c r="D468" s="493"/>
      <c r="E468" s="493"/>
      <c r="F468" s="493"/>
      <c r="G468" s="493"/>
      <c r="H468" s="493"/>
      <c r="I468" s="494"/>
      <c r="J468" s="493"/>
      <c r="K468" s="493"/>
    </row>
    <row r="469" spans="2:11" ht="12.75">
      <c r="B469" s="495" t="str">
        <f t="shared" si="0"/>
        <v/>
      </c>
      <c r="C469" s="493"/>
      <c r="D469" s="493"/>
      <c r="E469" s="493"/>
      <c r="F469" s="493"/>
      <c r="G469" s="493"/>
      <c r="H469" s="493"/>
      <c r="I469" s="494"/>
      <c r="J469" s="493"/>
      <c r="K469" s="493"/>
    </row>
    <row r="470" spans="2:11" ht="12.75">
      <c r="B470" s="495" t="str">
        <f t="shared" si="0"/>
        <v/>
      </c>
      <c r="C470" s="493"/>
      <c r="D470" s="493"/>
      <c r="E470" s="493"/>
      <c r="F470" s="493"/>
      <c r="G470" s="493"/>
      <c r="H470" s="493"/>
      <c r="I470" s="494"/>
      <c r="J470" s="493"/>
      <c r="K470" s="493"/>
    </row>
    <row r="471" spans="2:11" ht="12.75">
      <c r="B471" s="495" t="str">
        <f t="shared" si="0"/>
        <v/>
      </c>
      <c r="C471" s="493"/>
      <c r="D471" s="493"/>
      <c r="E471" s="493"/>
      <c r="F471" s="493"/>
      <c r="G471" s="493"/>
      <c r="H471" s="493"/>
      <c r="I471" s="494"/>
      <c r="J471" s="493"/>
      <c r="K471" s="493"/>
    </row>
    <row r="472" spans="2:11" ht="12.75">
      <c r="B472" s="495" t="str">
        <f t="shared" si="0"/>
        <v/>
      </c>
      <c r="C472" s="493"/>
      <c r="D472" s="493"/>
      <c r="E472" s="493"/>
      <c r="F472" s="493"/>
      <c r="G472" s="493"/>
      <c r="H472" s="493"/>
      <c r="I472" s="494"/>
      <c r="J472" s="493"/>
      <c r="K472" s="493"/>
    </row>
    <row r="473" spans="2:11" ht="12.75">
      <c r="B473" s="495" t="str">
        <f t="shared" si="0"/>
        <v/>
      </c>
      <c r="C473" s="493"/>
      <c r="D473" s="493"/>
      <c r="E473" s="493"/>
      <c r="F473" s="493"/>
      <c r="G473" s="493"/>
      <c r="H473" s="493"/>
      <c r="I473" s="494"/>
      <c r="J473" s="493"/>
      <c r="K473" s="493"/>
    </row>
    <row r="474" spans="2:11" ht="12.75">
      <c r="B474" s="495" t="str">
        <f t="shared" si="0"/>
        <v/>
      </c>
      <c r="C474" s="493"/>
      <c r="D474" s="493"/>
      <c r="E474" s="493"/>
      <c r="F474" s="493"/>
      <c r="G474" s="493"/>
      <c r="H474" s="493"/>
      <c r="I474" s="494"/>
      <c r="J474" s="493"/>
      <c r="K474" s="493"/>
    </row>
    <row r="475" spans="2:11" ht="12.75">
      <c r="B475" s="495" t="str">
        <f t="shared" si="0"/>
        <v/>
      </c>
      <c r="C475" s="493"/>
      <c r="D475" s="493"/>
      <c r="E475" s="493"/>
      <c r="F475" s="493"/>
      <c r="G475" s="493"/>
      <c r="H475" s="493"/>
      <c r="I475" s="494"/>
      <c r="J475" s="493"/>
      <c r="K475" s="493"/>
    </row>
    <row r="476" spans="2:11" ht="12.75">
      <c r="B476" s="495" t="str">
        <f t="shared" si="0"/>
        <v/>
      </c>
      <c r="C476" s="493"/>
      <c r="D476" s="493"/>
      <c r="E476" s="493"/>
      <c r="F476" s="493"/>
      <c r="G476" s="493"/>
      <c r="H476" s="493"/>
      <c r="I476" s="494"/>
      <c r="J476" s="493"/>
      <c r="K476" s="493"/>
    </row>
    <row r="477" spans="2:11" ht="12.75">
      <c r="B477" s="495" t="str">
        <f t="shared" si="0"/>
        <v/>
      </c>
      <c r="C477" s="493"/>
      <c r="D477" s="493"/>
      <c r="E477" s="493"/>
      <c r="F477" s="493"/>
      <c r="G477" s="493"/>
      <c r="H477" s="493"/>
      <c r="I477" s="494"/>
      <c r="J477" s="493"/>
      <c r="K477" s="493"/>
    </row>
    <row r="478" spans="2:11" ht="12.75">
      <c r="B478" s="495" t="str">
        <f t="shared" si="0"/>
        <v/>
      </c>
      <c r="C478" s="493"/>
      <c r="D478" s="493"/>
      <c r="E478" s="493"/>
      <c r="F478" s="493"/>
      <c r="G478" s="493"/>
      <c r="H478" s="493"/>
      <c r="I478" s="494"/>
      <c r="J478" s="493"/>
      <c r="K478" s="493"/>
    </row>
    <row r="479" spans="2:11" ht="12.75">
      <c r="B479" s="495" t="str">
        <f t="shared" si="0"/>
        <v/>
      </c>
      <c r="C479" s="493"/>
      <c r="D479" s="493"/>
      <c r="E479" s="493"/>
      <c r="F479" s="493"/>
      <c r="G479" s="493"/>
      <c r="H479" s="493"/>
      <c r="I479" s="494"/>
      <c r="J479" s="493"/>
      <c r="K479" s="493"/>
    </row>
    <row r="480" spans="2:11" ht="12.75">
      <c r="B480" s="495" t="str">
        <f t="shared" si="0"/>
        <v/>
      </c>
      <c r="C480" s="493"/>
      <c r="D480" s="493"/>
      <c r="E480" s="493"/>
      <c r="F480" s="493"/>
      <c r="G480" s="493"/>
      <c r="H480" s="493"/>
      <c r="I480" s="494"/>
      <c r="J480" s="493"/>
      <c r="K480" s="493"/>
    </row>
    <row r="481" spans="2:11" ht="12.75">
      <c r="B481" s="495" t="str">
        <f t="shared" si="0"/>
        <v/>
      </c>
      <c r="C481" s="493"/>
      <c r="D481" s="493"/>
      <c r="E481" s="493"/>
      <c r="F481" s="493"/>
      <c r="G481" s="493"/>
      <c r="H481" s="493"/>
      <c r="I481" s="494"/>
      <c r="J481" s="493"/>
      <c r="K481" s="493"/>
    </row>
    <row r="482" spans="2:11" ht="12.75">
      <c r="B482" s="495" t="str">
        <f t="shared" si="0"/>
        <v/>
      </c>
      <c r="C482" s="493"/>
      <c r="D482" s="493"/>
      <c r="E482" s="493"/>
      <c r="F482" s="493"/>
      <c r="G482" s="493"/>
      <c r="H482" s="493"/>
      <c r="I482" s="494"/>
      <c r="J482" s="493"/>
      <c r="K482" s="493"/>
    </row>
    <row r="483" spans="2:11" ht="12.75">
      <c r="B483" s="495" t="str">
        <f t="shared" si="0"/>
        <v/>
      </c>
      <c r="C483" s="493"/>
      <c r="D483" s="493"/>
      <c r="E483" s="493"/>
      <c r="F483" s="493"/>
      <c r="G483" s="493"/>
      <c r="H483" s="493"/>
      <c r="I483" s="494"/>
      <c r="J483" s="493"/>
      <c r="K483" s="493"/>
    </row>
    <row r="484" spans="2:11" ht="12.75">
      <c r="B484" s="495" t="str">
        <f t="shared" si="0"/>
        <v/>
      </c>
      <c r="C484" s="493"/>
      <c r="D484" s="493"/>
      <c r="E484" s="493"/>
      <c r="F484" s="493"/>
      <c r="G484" s="493"/>
      <c r="H484" s="493"/>
      <c r="I484" s="494"/>
      <c r="J484" s="493"/>
      <c r="K484" s="493"/>
    </row>
    <row r="485" spans="2:11" ht="12.75">
      <c r="B485" s="495" t="str">
        <f t="shared" si="0"/>
        <v/>
      </c>
      <c r="C485" s="493"/>
      <c r="D485" s="493"/>
      <c r="E485" s="493"/>
      <c r="F485" s="493"/>
      <c r="G485" s="493"/>
      <c r="H485" s="493"/>
      <c r="I485" s="494"/>
      <c r="J485" s="493"/>
      <c r="K485" s="493"/>
    </row>
    <row r="486" spans="2:11" ht="12.75">
      <c r="B486" s="495" t="str">
        <f t="shared" si="0"/>
        <v/>
      </c>
      <c r="C486" s="493"/>
      <c r="D486" s="493"/>
      <c r="E486" s="493"/>
      <c r="F486" s="493"/>
      <c r="G486" s="493"/>
      <c r="H486" s="493"/>
      <c r="I486" s="494"/>
      <c r="J486" s="493"/>
      <c r="K486" s="493"/>
    </row>
    <row r="487" spans="2:11" ht="12.75">
      <c r="B487" s="495" t="str">
        <f t="shared" si="0"/>
        <v/>
      </c>
      <c r="C487" s="493"/>
      <c r="D487" s="493"/>
      <c r="E487" s="493"/>
      <c r="F487" s="493"/>
      <c r="G487" s="493"/>
      <c r="H487" s="493"/>
      <c r="I487" s="494"/>
      <c r="J487" s="493"/>
      <c r="K487" s="493"/>
    </row>
    <row r="488" spans="2:11" ht="12.75">
      <c r="B488" s="495" t="str">
        <f t="shared" si="0"/>
        <v/>
      </c>
      <c r="C488" s="493"/>
      <c r="D488" s="493"/>
      <c r="E488" s="493"/>
      <c r="F488" s="493"/>
      <c r="G488" s="493"/>
      <c r="H488" s="493"/>
      <c r="I488" s="494"/>
      <c r="J488" s="493"/>
      <c r="K488" s="493"/>
    </row>
    <row r="489" spans="2:11" ht="12.75">
      <c r="B489" s="495" t="str">
        <f t="shared" si="0"/>
        <v/>
      </c>
      <c r="C489" s="493"/>
      <c r="D489" s="493"/>
      <c r="E489" s="493"/>
      <c r="F489" s="493"/>
      <c r="G489" s="493"/>
      <c r="H489" s="493"/>
      <c r="I489" s="494"/>
      <c r="J489" s="493"/>
      <c r="K489" s="493"/>
    </row>
    <row r="490" spans="2:11" ht="12.75">
      <c r="B490" s="495" t="str">
        <f t="shared" si="0"/>
        <v/>
      </c>
      <c r="C490" s="493"/>
      <c r="D490" s="493"/>
      <c r="E490" s="493"/>
      <c r="F490" s="493"/>
      <c r="G490" s="493"/>
      <c r="H490" s="493"/>
      <c r="I490" s="494"/>
      <c r="J490" s="493"/>
      <c r="K490" s="493"/>
    </row>
    <row r="491" spans="2:11" ht="12.75">
      <c r="B491" s="495" t="str">
        <f t="shared" si="0"/>
        <v/>
      </c>
      <c r="C491" s="493"/>
      <c r="D491" s="493"/>
      <c r="E491" s="493"/>
      <c r="F491" s="493"/>
      <c r="G491" s="493"/>
      <c r="H491" s="493"/>
      <c r="I491" s="494"/>
      <c r="J491" s="493"/>
      <c r="K491" s="493"/>
    </row>
    <row r="492" spans="2:11" ht="12.75">
      <c r="B492" s="495" t="str">
        <f t="shared" si="0"/>
        <v/>
      </c>
      <c r="C492" s="493"/>
      <c r="D492" s="493"/>
      <c r="E492" s="493"/>
      <c r="F492" s="493"/>
      <c r="G492" s="493"/>
      <c r="H492" s="493"/>
      <c r="I492" s="494"/>
      <c r="J492" s="493"/>
      <c r="K492" s="493"/>
    </row>
    <row r="493" spans="2:11" ht="12.75">
      <c r="B493" s="495" t="str">
        <f t="shared" si="0"/>
        <v/>
      </c>
      <c r="C493" s="493"/>
      <c r="D493" s="493"/>
      <c r="E493" s="493"/>
      <c r="F493" s="493"/>
      <c r="G493" s="493"/>
      <c r="H493" s="493"/>
      <c r="I493" s="494"/>
      <c r="J493" s="493"/>
      <c r="K493" s="493"/>
    </row>
    <row r="494" spans="2:11" ht="12.75">
      <c r="B494" s="495" t="str">
        <f t="shared" si="0"/>
        <v/>
      </c>
      <c r="C494" s="493"/>
      <c r="D494" s="493"/>
      <c r="E494" s="493"/>
      <c r="F494" s="493"/>
      <c r="G494" s="493"/>
      <c r="H494" s="493"/>
      <c r="I494" s="494"/>
      <c r="J494" s="493"/>
      <c r="K494" s="493"/>
    </row>
    <row r="495" spans="2:11" ht="12.75">
      <c r="B495" s="495" t="str">
        <f t="shared" si="0"/>
        <v/>
      </c>
      <c r="C495" s="493"/>
      <c r="D495" s="493"/>
      <c r="E495" s="493"/>
      <c r="F495" s="493"/>
      <c r="G495" s="493"/>
      <c r="H495" s="493"/>
      <c r="I495" s="494"/>
      <c r="J495" s="493"/>
      <c r="K495" s="493"/>
    </row>
    <row r="496" spans="2:11" ht="12.75">
      <c r="B496" s="495" t="str">
        <f t="shared" si="0"/>
        <v/>
      </c>
      <c r="C496" s="493"/>
      <c r="D496" s="493"/>
      <c r="E496" s="493"/>
      <c r="F496" s="493"/>
      <c r="G496" s="493"/>
      <c r="H496" s="493"/>
      <c r="I496" s="494"/>
      <c r="J496" s="493"/>
      <c r="K496" s="493"/>
    </row>
    <row r="497" spans="2:11" ht="12.75">
      <c r="B497" s="495" t="str">
        <f t="shared" si="0"/>
        <v/>
      </c>
      <c r="C497" s="493"/>
      <c r="D497" s="493"/>
      <c r="E497" s="493"/>
      <c r="F497" s="493"/>
      <c r="G497" s="493"/>
      <c r="H497" s="493"/>
      <c r="I497" s="494"/>
      <c r="J497" s="493"/>
      <c r="K497" s="493"/>
    </row>
    <row r="498" spans="2:11" ht="12.75">
      <c r="B498" s="495" t="str">
        <f t="shared" si="0"/>
        <v/>
      </c>
      <c r="C498" s="493"/>
      <c r="D498" s="493"/>
      <c r="E498" s="493"/>
      <c r="F498" s="493"/>
      <c r="G498" s="493"/>
      <c r="H498" s="493"/>
      <c r="I498" s="494"/>
      <c r="J498" s="493"/>
      <c r="K498" s="493"/>
    </row>
    <row r="499" spans="2:11" ht="12.75">
      <c r="B499" s="495" t="str">
        <f t="shared" si="0"/>
        <v/>
      </c>
      <c r="C499" s="493"/>
      <c r="D499" s="493"/>
      <c r="E499" s="493"/>
      <c r="F499" s="493"/>
      <c r="G499" s="493"/>
      <c r="H499" s="493"/>
      <c r="I499" s="494"/>
      <c r="J499" s="493"/>
      <c r="K499" s="493"/>
    </row>
    <row r="500" spans="2:11" ht="12.75">
      <c r="B500" s="495" t="str">
        <f t="shared" si="0"/>
        <v/>
      </c>
      <c r="C500" s="493"/>
      <c r="D500" s="493"/>
      <c r="E500" s="493"/>
      <c r="F500" s="493"/>
      <c r="G500" s="493"/>
      <c r="H500" s="493"/>
      <c r="I500" s="494"/>
      <c r="J500" s="493"/>
      <c r="K500" s="493"/>
    </row>
    <row r="501" spans="2:11" ht="12.75">
      <c r="B501" s="495" t="str">
        <f t="shared" si="0"/>
        <v/>
      </c>
      <c r="C501" s="493"/>
      <c r="D501" s="493"/>
      <c r="E501" s="493"/>
      <c r="F501" s="493"/>
      <c r="G501" s="493"/>
      <c r="H501" s="493"/>
      <c r="I501" s="494"/>
      <c r="J501" s="493"/>
      <c r="K501" s="493"/>
    </row>
    <row r="502" spans="2:11" ht="12.75">
      <c r="B502" s="495" t="str">
        <f t="shared" si="0"/>
        <v/>
      </c>
      <c r="C502" s="493"/>
      <c r="D502" s="493"/>
      <c r="E502" s="493"/>
      <c r="F502" s="493"/>
      <c r="G502" s="493"/>
      <c r="H502" s="493"/>
      <c r="I502" s="494"/>
      <c r="J502" s="493"/>
      <c r="K502" s="493"/>
    </row>
    <row r="503" spans="2:11" ht="12.75">
      <c r="B503" s="495" t="str">
        <f t="shared" si="0"/>
        <v/>
      </c>
      <c r="C503" s="493"/>
      <c r="D503" s="493"/>
      <c r="E503" s="493"/>
      <c r="F503" s="493"/>
      <c r="G503" s="493"/>
      <c r="H503" s="493"/>
      <c r="I503" s="494"/>
      <c r="J503" s="493"/>
      <c r="K503" s="493"/>
    </row>
    <row r="504" spans="2:11" ht="12.75">
      <c r="B504" s="495" t="str">
        <f t="shared" si="0"/>
        <v/>
      </c>
      <c r="C504" s="493"/>
      <c r="D504" s="493"/>
      <c r="E504" s="493"/>
      <c r="F504" s="493"/>
      <c r="G504" s="493"/>
      <c r="H504" s="493"/>
      <c r="I504" s="494"/>
      <c r="J504" s="493"/>
      <c r="K504" s="493"/>
    </row>
    <row r="505" spans="2:11" ht="12.75">
      <c r="B505" s="495" t="str">
        <f t="shared" si="0"/>
        <v/>
      </c>
      <c r="C505" s="493"/>
      <c r="D505" s="493"/>
      <c r="E505" s="493"/>
      <c r="F505" s="493"/>
      <c r="G505" s="493"/>
      <c r="H505" s="493"/>
      <c r="I505" s="494"/>
      <c r="J505" s="493"/>
      <c r="K505" s="493"/>
    </row>
    <row r="506" spans="2:11" ht="12.75">
      <c r="B506" s="495" t="str">
        <f t="shared" si="0"/>
        <v/>
      </c>
      <c r="C506" s="493"/>
      <c r="D506" s="493"/>
      <c r="E506" s="493"/>
      <c r="F506" s="493"/>
      <c r="G506" s="493"/>
      <c r="H506" s="493"/>
      <c r="I506" s="494"/>
      <c r="J506" s="493"/>
      <c r="K506" s="493"/>
    </row>
    <row r="507" spans="2:11" ht="12.75">
      <c r="B507" s="495" t="str">
        <f t="shared" si="0"/>
        <v/>
      </c>
      <c r="C507" s="493"/>
      <c r="D507" s="493"/>
      <c r="E507" s="493"/>
      <c r="F507" s="493"/>
      <c r="G507" s="493"/>
      <c r="H507" s="493"/>
      <c r="I507" s="494"/>
      <c r="J507" s="493"/>
      <c r="K507" s="493"/>
    </row>
    <row r="508" spans="2:11" ht="12.75">
      <c r="B508" s="495" t="str">
        <f t="shared" si="0"/>
        <v/>
      </c>
      <c r="C508" s="493"/>
      <c r="D508" s="493"/>
      <c r="E508" s="493"/>
      <c r="F508" s="493"/>
      <c r="G508" s="493"/>
      <c r="H508" s="493"/>
      <c r="I508" s="494"/>
      <c r="J508" s="493"/>
      <c r="K508" s="493"/>
    </row>
    <row r="509" spans="2:11" ht="12.75">
      <c r="B509" s="495" t="str">
        <f t="shared" si="0"/>
        <v/>
      </c>
      <c r="C509" s="493"/>
      <c r="D509" s="493"/>
      <c r="E509" s="493"/>
      <c r="F509" s="493"/>
      <c r="G509" s="493"/>
      <c r="H509" s="493"/>
      <c r="I509" s="494"/>
      <c r="J509" s="493"/>
      <c r="K509" s="493"/>
    </row>
    <row r="510" spans="2:11" ht="12.75">
      <c r="B510" s="495" t="str">
        <f t="shared" si="0"/>
        <v/>
      </c>
      <c r="C510" s="493"/>
      <c r="D510" s="493"/>
      <c r="E510" s="493"/>
      <c r="F510" s="493"/>
      <c r="G510" s="493"/>
      <c r="H510" s="493"/>
      <c r="I510" s="494"/>
      <c r="J510" s="493"/>
      <c r="K510" s="493"/>
    </row>
    <row r="511" spans="2:11" ht="12.75">
      <c r="B511" s="495" t="str">
        <f t="shared" si="0"/>
        <v/>
      </c>
      <c r="C511" s="493"/>
      <c r="D511" s="493"/>
      <c r="E511" s="493"/>
      <c r="F511" s="493"/>
      <c r="G511" s="493"/>
      <c r="H511" s="493"/>
      <c r="I511" s="494"/>
      <c r="J511" s="493"/>
      <c r="K511" s="493"/>
    </row>
    <row r="512" spans="2:11" ht="12.75">
      <c r="B512" s="495" t="str">
        <f t="shared" si="0"/>
        <v/>
      </c>
      <c r="C512" s="493"/>
      <c r="D512" s="493"/>
      <c r="E512" s="493"/>
      <c r="F512" s="493"/>
      <c r="G512" s="493"/>
      <c r="H512" s="493"/>
      <c r="I512" s="494"/>
      <c r="J512" s="493"/>
      <c r="K512" s="493"/>
    </row>
    <row r="513" spans="2:11" ht="12.75">
      <c r="B513" s="495" t="str">
        <f t="shared" si="0"/>
        <v/>
      </c>
      <c r="C513" s="493"/>
      <c r="D513" s="493"/>
      <c r="E513" s="493"/>
      <c r="F513" s="493"/>
      <c r="G513" s="493"/>
      <c r="H513" s="493"/>
      <c r="I513" s="494"/>
      <c r="J513" s="493"/>
      <c r="K513" s="493"/>
    </row>
    <row r="514" spans="2:11" ht="12.75">
      <c r="B514" s="495" t="str">
        <f t="shared" si="0"/>
        <v/>
      </c>
      <c r="C514" s="493"/>
      <c r="D514" s="493"/>
      <c r="E514" s="493"/>
      <c r="F514" s="493"/>
      <c r="G514" s="493"/>
      <c r="H514" s="493"/>
      <c r="I514" s="494"/>
      <c r="J514" s="493"/>
      <c r="K514" s="493"/>
    </row>
    <row r="515" spans="2:11" ht="12.75">
      <c r="B515" s="495" t="str">
        <f t="shared" si="0"/>
        <v/>
      </c>
      <c r="C515" s="493"/>
      <c r="D515" s="493"/>
      <c r="E515" s="493"/>
      <c r="F515" s="493"/>
      <c r="G515" s="493"/>
      <c r="H515" s="493"/>
      <c r="I515" s="494"/>
      <c r="J515" s="493"/>
      <c r="K515" s="493"/>
    </row>
    <row r="516" spans="2:11" ht="12.75">
      <c r="B516" s="495" t="str">
        <f t="shared" si="0"/>
        <v/>
      </c>
      <c r="C516" s="493"/>
      <c r="D516" s="493"/>
      <c r="E516" s="493"/>
      <c r="F516" s="493"/>
      <c r="G516" s="493"/>
      <c r="H516" s="493"/>
      <c r="I516" s="494"/>
      <c r="J516" s="493"/>
      <c r="K516" s="493"/>
    </row>
    <row r="517" spans="2:11" ht="12.75">
      <c r="B517" s="495" t="str">
        <f t="shared" si="0"/>
        <v/>
      </c>
      <c r="C517" s="493"/>
      <c r="D517" s="493"/>
      <c r="E517" s="493"/>
      <c r="F517" s="493"/>
      <c r="G517" s="493"/>
      <c r="H517" s="493"/>
      <c r="I517" s="494"/>
      <c r="J517" s="493"/>
      <c r="K517" s="493"/>
    </row>
    <row r="518" spans="2:11" ht="12.75">
      <c r="B518" s="495" t="str">
        <f t="shared" si="0"/>
        <v/>
      </c>
      <c r="C518" s="493"/>
      <c r="D518" s="493"/>
      <c r="E518" s="493"/>
      <c r="F518" s="493"/>
      <c r="G518" s="493"/>
      <c r="H518" s="493"/>
      <c r="I518" s="494"/>
      <c r="J518" s="493"/>
      <c r="K518" s="493"/>
    </row>
    <row r="519" spans="2:11" ht="12.75">
      <c r="B519" s="495" t="str">
        <f t="shared" si="0"/>
        <v/>
      </c>
      <c r="C519" s="493"/>
      <c r="D519" s="493"/>
      <c r="E519" s="493"/>
      <c r="F519" s="493"/>
      <c r="G519" s="493"/>
      <c r="H519" s="493"/>
      <c r="I519" s="494"/>
      <c r="J519" s="493"/>
      <c r="K519" s="493"/>
    </row>
    <row r="520" spans="2:11" ht="12.75">
      <c r="B520" s="495" t="str">
        <f t="shared" si="0"/>
        <v/>
      </c>
      <c r="C520" s="493"/>
      <c r="D520" s="493"/>
      <c r="E520" s="493"/>
      <c r="F520" s="493"/>
      <c r="G520" s="493"/>
      <c r="H520" s="493"/>
      <c r="I520" s="494"/>
      <c r="J520" s="493"/>
      <c r="K520" s="493"/>
    </row>
    <row r="521" spans="2:11" ht="12.75">
      <c r="B521" s="495" t="str">
        <f t="shared" si="0"/>
        <v/>
      </c>
      <c r="C521" s="493"/>
      <c r="D521" s="493"/>
      <c r="E521" s="493"/>
      <c r="F521" s="493"/>
      <c r="G521" s="493"/>
      <c r="H521" s="493"/>
      <c r="I521" s="494"/>
      <c r="J521" s="493"/>
      <c r="K521" s="493"/>
    </row>
    <row r="522" spans="2:11" ht="12.75">
      <c r="B522" s="495" t="str">
        <f t="shared" si="0"/>
        <v/>
      </c>
      <c r="C522" s="493"/>
      <c r="D522" s="493"/>
      <c r="E522" s="493"/>
      <c r="F522" s="493"/>
      <c r="G522" s="493"/>
      <c r="H522" s="493"/>
      <c r="I522" s="494"/>
      <c r="J522" s="493"/>
      <c r="K522" s="493"/>
    </row>
    <row r="523" spans="2:11" ht="12.75">
      <c r="B523" s="495" t="str">
        <f t="shared" si="0"/>
        <v/>
      </c>
      <c r="C523" s="493"/>
      <c r="D523" s="493"/>
      <c r="E523" s="493"/>
      <c r="F523" s="493"/>
      <c r="G523" s="493"/>
      <c r="H523" s="493"/>
      <c r="I523" s="494"/>
      <c r="J523" s="493"/>
      <c r="K523" s="493"/>
    </row>
    <row r="524" spans="2:11" ht="12.75">
      <c r="B524" s="495" t="str">
        <f t="shared" si="0"/>
        <v/>
      </c>
      <c r="C524" s="493"/>
      <c r="D524" s="493"/>
      <c r="E524" s="493"/>
      <c r="F524" s="493"/>
      <c r="G524" s="493"/>
      <c r="H524" s="493"/>
      <c r="I524" s="494"/>
      <c r="J524" s="493"/>
      <c r="K524" s="493"/>
    </row>
    <row r="525" spans="2:11" ht="12.75">
      <c r="B525" s="495" t="str">
        <f t="shared" si="0"/>
        <v/>
      </c>
      <c r="C525" s="493"/>
      <c r="D525" s="493"/>
      <c r="E525" s="493"/>
      <c r="F525" s="493"/>
      <c r="G525" s="493"/>
      <c r="H525" s="493"/>
      <c r="I525" s="494"/>
      <c r="J525" s="493"/>
      <c r="K525" s="493"/>
    </row>
    <row r="526" spans="2:11" ht="12.75">
      <c r="B526" s="495" t="str">
        <f t="shared" si="0"/>
        <v/>
      </c>
      <c r="C526" s="493"/>
      <c r="D526" s="493"/>
      <c r="E526" s="493"/>
      <c r="F526" s="493"/>
      <c r="G526" s="493"/>
      <c r="H526" s="493"/>
      <c r="I526" s="494"/>
      <c r="J526" s="493"/>
      <c r="K526" s="493"/>
    </row>
    <row r="527" spans="2:11" ht="12.75">
      <c r="B527" s="495" t="str">
        <f t="shared" si="0"/>
        <v/>
      </c>
      <c r="C527" s="493"/>
      <c r="D527" s="493"/>
      <c r="E527" s="493"/>
      <c r="F527" s="493"/>
      <c r="G527" s="493"/>
      <c r="H527" s="493"/>
      <c r="I527" s="494"/>
      <c r="J527" s="493"/>
      <c r="K527" s="493"/>
    </row>
    <row r="528" spans="2:11" ht="12.75">
      <c r="B528" s="495" t="str">
        <f t="shared" si="0"/>
        <v/>
      </c>
      <c r="C528" s="493"/>
      <c r="D528" s="493"/>
      <c r="E528" s="493"/>
      <c r="F528" s="493"/>
      <c r="G528" s="493"/>
      <c r="H528" s="493"/>
      <c r="I528" s="494"/>
      <c r="J528" s="493"/>
      <c r="K528" s="493"/>
    </row>
    <row r="529" spans="2:11" ht="12.75">
      <c r="B529" s="495" t="str">
        <f t="shared" si="0"/>
        <v/>
      </c>
      <c r="C529" s="493"/>
      <c r="D529" s="493"/>
      <c r="E529" s="493"/>
      <c r="F529" s="493"/>
      <c r="G529" s="493"/>
      <c r="H529" s="493"/>
      <c r="I529" s="494"/>
      <c r="J529" s="493"/>
      <c r="K529" s="493"/>
    </row>
    <row r="530" spans="2:11" ht="12.75">
      <c r="B530" s="495" t="str">
        <f t="shared" si="0"/>
        <v/>
      </c>
      <c r="C530" s="493"/>
      <c r="D530" s="493"/>
      <c r="E530" s="493"/>
      <c r="F530" s="493"/>
      <c r="G530" s="493"/>
      <c r="H530" s="493"/>
      <c r="I530" s="494"/>
      <c r="J530" s="493"/>
      <c r="K530" s="493"/>
    </row>
    <row r="531" spans="2:11" ht="12.75">
      <c r="B531" s="495" t="str">
        <f t="shared" si="0"/>
        <v/>
      </c>
      <c r="C531" s="493"/>
      <c r="D531" s="493"/>
      <c r="E531" s="493"/>
      <c r="F531" s="493"/>
      <c r="G531" s="493"/>
      <c r="H531" s="493"/>
      <c r="I531" s="494"/>
      <c r="J531" s="493"/>
      <c r="K531" s="493"/>
    </row>
    <row r="532" spans="2:11" ht="12.75">
      <c r="B532" s="495" t="str">
        <f t="shared" si="0"/>
        <v/>
      </c>
      <c r="C532" s="493"/>
      <c r="D532" s="493"/>
      <c r="E532" s="493"/>
      <c r="F532" s="493"/>
      <c r="G532" s="493"/>
      <c r="H532" s="493"/>
      <c r="I532" s="494"/>
      <c r="J532" s="493"/>
      <c r="K532" s="493"/>
    </row>
    <row r="533" spans="2:11" ht="12.75">
      <c r="B533" s="495" t="str">
        <f t="shared" si="0"/>
        <v/>
      </c>
      <c r="C533" s="493"/>
      <c r="D533" s="493"/>
      <c r="E533" s="493"/>
      <c r="F533" s="493"/>
      <c r="G533" s="493"/>
      <c r="H533" s="493"/>
      <c r="I533" s="494"/>
      <c r="J533" s="493"/>
      <c r="K533" s="493"/>
    </row>
    <row r="534" spans="2:11" ht="12.75">
      <c r="B534" s="495" t="str">
        <f t="shared" si="0"/>
        <v/>
      </c>
      <c r="C534" s="493"/>
      <c r="D534" s="493"/>
      <c r="E534" s="493"/>
      <c r="F534" s="493"/>
      <c r="G534" s="493"/>
      <c r="H534" s="493"/>
      <c r="I534" s="494"/>
      <c r="J534" s="493"/>
      <c r="K534" s="493"/>
    </row>
    <row r="535" spans="2:11" ht="12.75">
      <c r="B535" s="495" t="str">
        <f t="shared" si="0"/>
        <v/>
      </c>
      <c r="C535" s="493"/>
      <c r="D535" s="493"/>
      <c r="E535" s="493"/>
      <c r="F535" s="493"/>
      <c r="G535" s="493"/>
      <c r="H535" s="493"/>
      <c r="I535" s="494"/>
      <c r="J535" s="493"/>
      <c r="K535" s="493"/>
    </row>
    <row r="536" spans="2:11" ht="12.75">
      <c r="B536" s="495" t="str">
        <f t="shared" si="0"/>
        <v/>
      </c>
      <c r="C536" s="493"/>
      <c r="D536" s="493"/>
      <c r="E536" s="493"/>
      <c r="F536" s="493"/>
      <c r="G536" s="493"/>
      <c r="H536" s="493"/>
      <c r="I536" s="494"/>
      <c r="J536" s="493"/>
      <c r="K536" s="493"/>
    </row>
    <row r="537" spans="2:11" ht="12.75">
      <c r="B537" s="495" t="str">
        <f t="shared" si="0"/>
        <v/>
      </c>
      <c r="C537" s="493"/>
      <c r="D537" s="493"/>
      <c r="E537" s="493"/>
      <c r="F537" s="493"/>
      <c r="G537" s="493"/>
      <c r="H537" s="493"/>
      <c r="I537" s="494"/>
      <c r="J537" s="493"/>
      <c r="K537" s="493"/>
    </row>
    <row r="538" spans="2:11" ht="12.75">
      <c r="B538" s="495" t="str">
        <f t="shared" si="0"/>
        <v/>
      </c>
      <c r="C538" s="493"/>
      <c r="D538" s="493"/>
      <c r="E538" s="493"/>
      <c r="F538" s="493"/>
      <c r="G538" s="493"/>
      <c r="H538" s="493"/>
      <c r="I538" s="494"/>
      <c r="J538" s="493"/>
      <c r="K538" s="493"/>
    </row>
    <row r="539" spans="2:11" ht="12.75">
      <c r="B539" s="495" t="str">
        <f t="shared" si="0"/>
        <v/>
      </c>
      <c r="C539" s="493"/>
      <c r="D539" s="493"/>
      <c r="E539" s="493"/>
      <c r="F539" s="493"/>
      <c r="G539" s="493"/>
      <c r="H539" s="493"/>
      <c r="I539" s="494"/>
      <c r="J539" s="493"/>
      <c r="K539" s="493"/>
    </row>
    <row r="540" spans="2:11" ht="12.75">
      <c r="B540" s="495" t="str">
        <f t="shared" si="0"/>
        <v/>
      </c>
      <c r="C540" s="493"/>
      <c r="D540" s="493"/>
      <c r="E540" s="493"/>
      <c r="F540" s="493"/>
      <c r="G540" s="493"/>
      <c r="H540" s="493"/>
      <c r="I540" s="494"/>
      <c r="J540" s="493"/>
      <c r="K540" s="493"/>
    </row>
    <row r="541" spans="2:11" ht="12.75">
      <c r="B541" s="495" t="str">
        <f t="shared" si="0"/>
        <v/>
      </c>
      <c r="C541" s="493"/>
      <c r="D541" s="493"/>
      <c r="E541" s="493"/>
      <c r="F541" s="493"/>
      <c r="G541" s="493"/>
      <c r="H541" s="493"/>
      <c r="I541" s="494"/>
      <c r="J541" s="493"/>
      <c r="K541" s="493"/>
    </row>
    <row r="542" spans="2:11" ht="12.75">
      <c r="B542" s="495" t="str">
        <f t="shared" si="0"/>
        <v/>
      </c>
      <c r="C542" s="493"/>
      <c r="D542" s="493"/>
      <c r="E542" s="493"/>
      <c r="F542" s="493"/>
      <c r="G542" s="493"/>
      <c r="H542" s="493"/>
      <c r="I542" s="494"/>
      <c r="J542" s="493"/>
      <c r="K542" s="493"/>
    </row>
    <row r="543" spans="2:11" ht="12.75">
      <c r="B543" s="495" t="str">
        <f t="shared" si="0"/>
        <v/>
      </c>
      <c r="C543" s="493"/>
      <c r="D543" s="493"/>
      <c r="E543" s="493"/>
      <c r="F543" s="493"/>
      <c r="G543" s="493"/>
      <c r="H543" s="493"/>
      <c r="I543" s="494"/>
      <c r="J543" s="493"/>
      <c r="K543" s="493"/>
    </row>
    <row r="544" spans="2:11" ht="12.75">
      <c r="B544" s="495" t="str">
        <f t="shared" si="0"/>
        <v/>
      </c>
      <c r="C544" s="493"/>
      <c r="D544" s="493"/>
      <c r="E544" s="493"/>
      <c r="F544" s="493"/>
      <c r="G544" s="493"/>
      <c r="H544" s="493"/>
      <c r="I544" s="494"/>
      <c r="J544" s="493"/>
      <c r="K544" s="493"/>
    </row>
    <row r="545" spans="2:11" ht="12.75">
      <c r="B545" s="495" t="str">
        <f t="shared" si="0"/>
        <v/>
      </c>
      <c r="C545" s="493"/>
      <c r="D545" s="493"/>
      <c r="E545" s="493"/>
      <c r="F545" s="493"/>
      <c r="G545" s="493"/>
      <c r="H545" s="493"/>
      <c r="I545" s="494"/>
      <c r="J545" s="493"/>
      <c r="K545" s="493"/>
    </row>
    <row r="546" spans="2:11" ht="12.75">
      <c r="B546" s="495" t="str">
        <f t="shared" si="0"/>
        <v/>
      </c>
      <c r="C546" s="493"/>
      <c r="D546" s="493"/>
      <c r="E546" s="493"/>
      <c r="F546" s="493"/>
      <c r="G546" s="493"/>
      <c r="H546" s="493"/>
      <c r="I546" s="494"/>
      <c r="J546" s="493"/>
      <c r="K546" s="493"/>
    </row>
    <row r="547" spans="2:11" ht="12.75">
      <c r="B547" s="495" t="str">
        <f t="shared" si="0"/>
        <v/>
      </c>
      <c r="C547" s="493"/>
      <c r="D547" s="493"/>
      <c r="E547" s="493"/>
      <c r="F547" s="493"/>
      <c r="G547" s="493"/>
      <c r="H547" s="493"/>
      <c r="I547" s="494"/>
      <c r="J547" s="493"/>
      <c r="K547" s="493"/>
    </row>
    <row r="548" spans="2:11" ht="12.75">
      <c r="B548" s="495" t="str">
        <f t="shared" si="0"/>
        <v/>
      </c>
      <c r="C548" s="493"/>
      <c r="D548" s="493"/>
      <c r="E548" s="493"/>
      <c r="F548" s="493"/>
      <c r="G548" s="493"/>
      <c r="H548" s="493"/>
      <c r="I548" s="494"/>
      <c r="J548" s="493"/>
      <c r="K548" s="493"/>
    </row>
    <row r="549" spans="2:11" ht="12.75">
      <c r="B549" s="495" t="str">
        <f t="shared" si="0"/>
        <v/>
      </c>
      <c r="C549" s="493"/>
      <c r="D549" s="493"/>
      <c r="E549" s="493"/>
      <c r="F549" s="493"/>
      <c r="G549" s="493"/>
      <c r="H549" s="493"/>
      <c r="I549" s="494"/>
      <c r="J549" s="493"/>
      <c r="K549" s="493"/>
    </row>
    <row r="550" spans="2:11" ht="12.75">
      <c r="B550" s="495" t="str">
        <f t="shared" si="0"/>
        <v/>
      </c>
      <c r="C550" s="493"/>
      <c r="D550" s="493"/>
      <c r="E550" s="493"/>
      <c r="F550" s="493"/>
      <c r="G550" s="493"/>
      <c r="H550" s="493"/>
      <c r="I550" s="494"/>
      <c r="J550" s="493"/>
      <c r="K550" s="493"/>
    </row>
    <row r="551" spans="2:11" ht="12.75">
      <c r="B551" s="495" t="str">
        <f t="shared" si="0"/>
        <v/>
      </c>
      <c r="C551" s="493"/>
      <c r="D551" s="493"/>
      <c r="E551" s="493"/>
      <c r="F551" s="493"/>
      <c r="G551" s="493"/>
      <c r="H551" s="493"/>
      <c r="I551" s="494"/>
      <c r="J551" s="493"/>
      <c r="K551" s="493"/>
    </row>
    <row r="552" spans="2:11" ht="12.75">
      <c r="B552" s="495" t="str">
        <f t="shared" si="0"/>
        <v/>
      </c>
      <c r="C552" s="493"/>
      <c r="D552" s="493"/>
      <c r="E552" s="493"/>
      <c r="F552" s="493"/>
      <c r="G552" s="493"/>
      <c r="H552" s="493"/>
      <c r="I552" s="494"/>
      <c r="J552" s="493"/>
      <c r="K552" s="493"/>
    </row>
    <row r="553" spans="2:11" ht="12.75">
      <c r="B553" s="495" t="str">
        <f t="shared" si="0"/>
        <v/>
      </c>
      <c r="C553" s="493"/>
      <c r="D553" s="493"/>
      <c r="E553" s="493"/>
      <c r="F553" s="493"/>
      <c r="G553" s="493"/>
      <c r="H553" s="493"/>
      <c r="I553" s="494"/>
      <c r="J553" s="493"/>
      <c r="K553" s="493"/>
    </row>
    <row r="554" spans="2:11" ht="12.75">
      <c r="B554" s="495" t="str">
        <f t="shared" si="0"/>
        <v/>
      </c>
      <c r="C554" s="493"/>
      <c r="D554" s="493"/>
      <c r="E554" s="493"/>
      <c r="F554" s="493"/>
      <c r="G554" s="493"/>
      <c r="H554" s="493"/>
      <c r="I554" s="494"/>
      <c r="J554" s="493"/>
      <c r="K554" s="493"/>
    </row>
    <row r="555" spans="2:11" ht="12.75">
      <c r="B555" s="495" t="str">
        <f t="shared" si="0"/>
        <v/>
      </c>
      <c r="C555" s="493"/>
      <c r="D555" s="493"/>
      <c r="E555" s="493"/>
      <c r="F555" s="493"/>
      <c r="G555" s="493"/>
      <c r="H555" s="493"/>
      <c r="I555" s="494"/>
      <c r="J555" s="493"/>
      <c r="K555" s="493"/>
    </row>
    <row r="556" spans="2:11" ht="12.75">
      <c r="B556" s="495" t="str">
        <f t="shared" si="0"/>
        <v/>
      </c>
      <c r="C556" s="493"/>
      <c r="D556" s="493"/>
      <c r="E556" s="493"/>
      <c r="F556" s="493"/>
      <c r="G556" s="493"/>
      <c r="H556" s="493"/>
      <c r="I556" s="494"/>
      <c r="J556" s="493"/>
      <c r="K556" s="493"/>
    </row>
    <row r="557" spans="2:11" ht="12.75">
      <c r="B557" s="495" t="str">
        <f t="shared" si="0"/>
        <v/>
      </c>
      <c r="C557" s="493"/>
      <c r="D557" s="493"/>
      <c r="E557" s="493"/>
      <c r="F557" s="493"/>
      <c r="G557" s="493"/>
      <c r="H557" s="493"/>
      <c r="I557" s="494"/>
      <c r="J557" s="493"/>
      <c r="K557" s="493"/>
    </row>
    <row r="558" spans="2:11" ht="12.75">
      <c r="B558" s="495" t="str">
        <f t="shared" si="0"/>
        <v/>
      </c>
      <c r="C558" s="493"/>
      <c r="D558" s="493"/>
      <c r="E558" s="493"/>
      <c r="F558" s="493"/>
      <c r="G558" s="493"/>
      <c r="H558" s="493"/>
      <c r="I558" s="494"/>
      <c r="J558" s="493"/>
      <c r="K558" s="493"/>
    </row>
    <row r="559" spans="2:11" ht="12.75">
      <c r="B559" s="495" t="str">
        <f t="shared" si="0"/>
        <v/>
      </c>
      <c r="C559" s="493"/>
      <c r="D559" s="493"/>
      <c r="E559" s="493"/>
      <c r="F559" s="493"/>
      <c r="G559" s="493"/>
      <c r="H559" s="493"/>
      <c r="I559" s="494"/>
      <c r="J559" s="493"/>
      <c r="K559" s="493"/>
    </row>
    <row r="560" spans="2:11" ht="12.75">
      <c r="B560" s="495" t="str">
        <f t="shared" si="0"/>
        <v/>
      </c>
      <c r="C560" s="493"/>
      <c r="D560" s="493"/>
      <c r="E560" s="493"/>
      <c r="F560" s="493"/>
      <c r="G560" s="493"/>
      <c r="H560" s="493"/>
      <c r="I560" s="494"/>
      <c r="J560" s="493"/>
      <c r="K560" s="493"/>
    </row>
    <row r="561" spans="2:11" ht="12.75">
      <c r="B561" s="495" t="str">
        <f t="shared" si="0"/>
        <v/>
      </c>
      <c r="C561" s="493"/>
      <c r="D561" s="493"/>
      <c r="E561" s="493"/>
      <c r="F561" s="493"/>
      <c r="G561" s="493"/>
      <c r="H561" s="493"/>
      <c r="I561" s="494"/>
      <c r="J561" s="493"/>
      <c r="K561" s="493"/>
    </row>
    <row r="562" spans="2:11" ht="12.75">
      <c r="B562" s="495" t="str">
        <f t="shared" si="0"/>
        <v/>
      </c>
      <c r="C562" s="493"/>
      <c r="D562" s="493"/>
      <c r="E562" s="493"/>
      <c r="F562" s="493"/>
      <c r="G562" s="493"/>
      <c r="H562" s="493"/>
      <c r="I562" s="494"/>
      <c r="J562" s="493"/>
      <c r="K562" s="493"/>
    </row>
    <row r="563" spans="2:11" ht="12.75">
      <c r="B563" s="495" t="str">
        <f t="shared" si="0"/>
        <v/>
      </c>
      <c r="C563" s="493"/>
      <c r="D563" s="493"/>
      <c r="E563" s="493"/>
      <c r="F563" s="493"/>
      <c r="G563" s="493"/>
      <c r="H563" s="493"/>
      <c r="I563" s="494"/>
      <c r="J563" s="493"/>
      <c r="K563" s="493"/>
    </row>
    <row r="564" spans="2:11" ht="12.75">
      <c r="B564" s="495" t="str">
        <f t="shared" si="0"/>
        <v/>
      </c>
      <c r="C564" s="493"/>
      <c r="D564" s="493"/>
      <c r="E564" s="493"/>
      <c r="F564" s="493"/>
      <c r="G564" s="493"/>
      <c r="H564" s="493"/>
      <c r="I564" s="494"/>
      <c r="J564" s="493"/>
      <c r="K564" s="493"/>
    </row>
    <row r="565" spans="2:11" ht="12.75">
      <c r="B565" s="495" t="str">
        <f t="shared" si="0"/>
        <v/>
      </c>
      <c r="C565" s="493"/>
      <c r="D565" s="493"/>
      <c r="E565" s="493"/>
      <c r="F565" s="493"/>
      <c r="G565" s="493"/>
      <c r="H565" s="493"/>
      <c r="I565" s="494"/>
      <c r="J565" s="493"/>
      <c r="K565" s="493"/>
    </row>
    <row r="566" spans="2:11" ht="12.75">
      <c r="B566" s="495" t="str">
        <f t="shared" si="0"/>
        <v/>
      </c>
      <c r="C566" s="493"/>
      <c r="D566" s="493"/>
      <c r="E566" s="493"/>
      <c r="F566" s="493"/>
      <c r="G566" s="493"/>
      <c r="H566" s="493"/>
      <c r="I566" s="494"/>
      <c r="J566" s="493"/>
      <c r="K566" s="493"/>
    </row>
    <row r="567" spans="2:11" ht="12.75">
      <c r="B567" s="495" t="str">
        <f t="shared" si="0"/>
        <v/>
      </c>
      <c r="C567" s="493"/>
      <c r="D567" s="493"/>
      <c r="E567" s="493"/>
      <c r="F567" s="493"/>
      <c r="G567" s="493"/>
      <c r="H567" s="493"/>
      <c r="I567" s="494"/>
      <c r="J567" s="493"/>
      <c r="K567" s="493"/>
    </row>
    <row r="568" spans="2:11" ht="12.75">
      <c r="B568" s="495" t="str">
        <f t="shared" si="0"/>
        <v/>
      </c>
      <c r="C568" s="493"/>
      <c r="D568" s="493"/>
      <c r="E568" s="493"/>
      <c r="F568" s="493"/>
      <c r="G568" s="493"/>
      <c r="H568" s="493"/>
      <c r="I568" s="494"/>
      <c r="J568" s="493"/>
      <c r="K568" s="493"/>
    </row>
    <row r="569" spans="2:11" ht="12.75">
      <c r="B569" s="495" t="str">
        <f t="shared" si="0"/>
        <v/>
      </c>
      <c r="C569" s="493"/>
      <c r="D569" s="493"/>
      <c r="E569" s="493"/>
      <c r="F569" s="493"/>
      <c r="G569" s="493"/>
      <c r="H569" s="493"/>
      <c r="I569" s="494"/>
      <c r="J569" s="493"/>
      <c r="K569" s="493"/>
    </row>
    <row r="570" spans="2:11" ht="12.75">
      <c r="B570" s="495" t="str">
        <f t="shared" si="0"/>
        <v/>
      </c>
      <c r="C570" s="493"/>
      <c r="D570" s="493"/>
      <c r="E570" s="493"/>
      <c r="F570" s="493"/>
      <c r="G570" s="493"/>
      <c r="H570" s="493"/>
      <c r="I570" s="494"/>
      <c r="J570" s="493"/>
      <c r="K570" s="493"/>
    </row>
    <row r="571" spans="2:11" ht="12.75">
      <c r="B571" s="495" t="str">
        <f t="shared" si="0"/>
        <v/>
      </c>
      <c r="C571" s="493"/>
      <c r="D571" s="493"/>
      <c r="E571" s="493"/>
      <c r="F571" s="493"/>
      <c r="G571" s="493"/>
      <c r="H571" s="493"/>
      <c r="I571" s="494"/>
      <c r="J571" s="493"/>
      <c r="K571" s="493"/>
    </row>
    <row r="572" spans="2:11" ht="12.75">
      <c r="B572" s="495" t="str">
        <f t="shared" si="0"/>
        <v/>
      </c>
      <c r="C572" s="493"/>
      <c r="D572" s="493"/>
      <c r="E572" s="493"/>
      <c r="F572" s="493"/>
      <c r="G572" s="493"/>
      <c r="H572" s="493"/>
      <c r="I572" s="494"/>
      <c r="J572" s="493"/>
      <c r="K572" s="493"/>
    </row>
    <row r="573" spans="2:11" ht="12.75">
      <c r="B573" s="495" t="str">
        <f t="shared" si="0"/>
        <v/>
      </c>
      <c r="C573" s="493"/>
      <c r="D573" s="493"/>
      <c r="E573" s="493"/>
      <c r="F573" s="493"/>
      <c r="G573" s="493"/>
      <c r="H573" s="493"/>
      <c r="I573" s="494"/>
      <c r="J573" s="493"/>
      <c r="K573" s="493"/>
    </row>
    <row r="574" spans="2:11" ht="12.75">
      <c r="B574" s="495" t="str">
        <f t="shared" si="0"/>
        <v/>
      </c>
      <c r="C574" s="493"/>
      <c r="D574" s="493"/>
      <c r="E574" s="493"/>
      <c r="F574" s="493"/>
      <c r="G574" s="493"/>
      <c r="H574" s="493"/>
      <c r="I574" s="494"/>
      <c r="J574" s="493"/>
      <c r="K574" s="493"/>
    </row>
    <row r="575" spans="2:11" ht="12.75">
      <c r="B575" s="495" t="str">
        <f t="shared" si="0"/>
        <v/>
      </c>
      <c r="C575" s="493"/>
      <c r="D575" s="493"/>
      <c r="E575" s="493"/>
      <c r="F575" s="493"/>
      <c r="G575" s="493"/>
      <c r="H575" s="493"/>
      <c r="I575" s="494"/>
      <c r="J575" s="493"/>
      <c r="K575" s="493"/>
    </row>
    <row r="576" spans="2:11" ht="12.75">
      <c r="B576" s="495" t="str">
        <f t="shared" si="0"/>
        <v/>
      </c>
      <c r="C576" s="493"/>
      <c r="D576" s="493"/>
      <c r="E576" s="493"/>
      <c r="F576" s="493"/>
      <c r="G576" s="493"/>
      <c r="H576" s="493"/>
      <c r="I576" s="494"/>
      <c r="J576" s="493"/>
      <c r="K576" s="493"/>
    </row>
    <row r="577" spans="2:11" ht="12.75">
      <c r="B577" s="495" t="str">
        <f t="shared" si="0"/>
        <v/>
      </c>
      <c r="C577" s="493"/>
      <c r="D577" s="493"/>
      <c r="E577" s="493"/>
      <c r="F577" s="493"/>
      <c r="G577" s="493"/>
      <c r="H577" s="493"/>
      <c r="I577" s="494"/>
      <c r="J577" s="493"/>
      <c r="K577" s="493"/>
    </row>
    <row r="578" spans="2:11" ht="12.75">
      <c r="B578" s="495" t="str">
        <f t="shared" si="0"/>
        <v/>
      </c>
      <c r="C578" s="493"/>
      <c r="D578" s="493"/>
      <c r="E578" s="493"/>
      <c r="F578" s="493"/>
      <c r="G578" s="493"/>
      <c r="H578" s="493"/>
      <c r="I578" s="494"/>
      <c r="J578" s="493"/>
      <c r="K578" s="493"/>
    </row>
    <row r="579" spans="2:11" ht="12.75">
      <c r="B579" s="495" t="str">
        <f t="shared" si="0"/>
        <v/>
      </c>
      <c r="C579" s="493"/>
      <c r="D579" s="493"/>
      <c r="E579" s="493"/>
      <c r="F579" s="493"/>
      <c r="G579" s="493"/>
      <c r="H579" s="493"/>
      <c r="I579" s="494"/>
      <c r="J579" s="493"/>
      <c r="K579" s="493"/>
    </row>
    <row r="580" spans="2:11" ht="12.75">
      <c r="B580" s="495" t="str">
        <f t="shared" si="0"/>
        <v/>
      </c>
      <c r="C580" s="493"/>
      <c r="D580" s="493"/>
      <c r="E580" s="493"/>
      <c r="F580" s="493"/>
      <c r="G580" s="493"/>
      <c r="H580" s="493"/>
      <c r="I580" s="494"/>
      <c r="J580" s="493"/>
      <c r="K580" s="493"/>
    </row>
    <row r="581" spans="2:11" ht="12.75">
      <c r="B581" s="495" t="str">
        <f t="shared" si="0"/>
        <v/>
      </c>
      <c r="C581" s="493"/>
      <c r="D581" s="493"/>
      <c r="E581" s="493"/>
      <c r="F581" s="493"/>
      <c r="G581" s="493"/>
      <c r="H581" s="493"/>
      <c r="I581" s="494"/>
      <c r="J581" s="493"/>
      <c r="K581" s="493"/>
    </row>
    <row r="582" spans="2:11" ht="12.75">
      <c r="B582" s="495" t="str">
        <f t="shared" si="0"/>
        <v/>
      </c>
      <c r="C582" s="493"/>
      <c r="D582" s="493"/>
      <c r="E582" s="493"/>
      <c r="F582" s="493"/>
      <c r="G582" s="493"/>
      <c r="H582" s="493"/>
      <c r="I582" s="494"/>
      <c r="J582" s="493"/>
      <c r="K582" s="493"/>
    </row>
    <row r="583" spans="2:11" ht="12.75">
      <c r="B583" s="495" t="str">
        <f t="shared" si="0"/>
        <v/>
      </c>
      <c r="C583" s="493"/>
      <c r="D583" s="493"/>
      <c r="E583" s="493"/>
      <c r="F583" s="493"/>
      <c r="G583" s="493"/>
      <c r="H583" s="493"/>
      <c r="I583" s="494"/>
      <c r="J583" s="493"/>
      <c r="K583" s="493"/>
    </row>
    <row r="584" spans="2:11" ht="12.75">
      <c r="B584" s="495" t="str">
        <f t="shared" si="0"/>
        <v/>
      </c>
      <c r="C584" s="493"/>
      <c r="D584" s="493"/>
      <c r="E584" s="493"/>
      <c r="F584" s="493"/>
      <c r="G584" s="493"/>
      <c r="H584" s="493"/>
      <c r="I584" s="494"/>
      <c r="J584" s="493"/>
      <c r="K584" s="493"/>
    </row>
    <row r="585" spans="2:11" ht="12.75">
      <c r="B585" s="495" t="str">
        <f t="shared" si="0"/>
        <v/>
      </c>
      <c r="C585" s="493"/>
      <c r="D585" s="493"/>
      <c r="E585" s="493"/>
      <c r="F585" s="493"/>
      <c r="G585" s="493"/>
      <c r="H585" s="493"/>
      <c r="I585" s="494"/>
      <c r="J585" s="493"/>
      <c r="K585" s="493"/>
    </row>
    <row r="586" spans="2:11" ht="12.75">
      <c r="B586" s="495" t="str">
        <f t="shared" si="0"/>
        <v/>
      </c>
      <c r="C586" s="493"/>
      <c r="D586" s="493"/>
      <c r="E586" s="493"/>
      <c r="F586" s="493"/>
      <c r="G586" s="493"/>
      <c r="H586" s="493"/>
      <c r="I586" s="494"/>
      <c r="J586" s="493"/>
      <c r="K586" s="493"/>
    </row>
    <row r="587" spans="2:11" ht="12.75">
      <c r="B587" s="495" t="str">
        <f t="shared" si="0"/>
        <v/>
      </c>
      <c r="C587" s="493"/>
      <c r="D587" s="493"/>
      <c r="E587" s="493"/>
      <c r="F587" s="493"/>
      <c r="G587" s="493"/>
      <c r="H587" s="493"/>
      <c r="I587" s="494"/>
      <c r="J587" s="493"/>
      <c r="K587" s="493"/>
    </row>
    <row r="588" spans="2:11" ht="12.75">
      <c r="B588" s="495" t="str">
        <f t="shared" si="0"/>
        <v/>
      </c>
      <c r="C588" s="493"/>
      <c r="D588" s="493"/>
      <c r="E588" s="493"/>
      <c r="F588" s="493"/>
      <c r="G588" s="493"/>
      <c r="H588" s="493"/>
      <c r="I588" s="494"/>
      <c r="J588" s="493"/>
      <c r="K588" s="493"/>
    </row>
    <row r="589" spans="2:11" ht="12.75">
      <c r="B589" s="495" t="str">
        <f t="shared" si="0"/>
        <v/>
      </c>
      <c r="C589" s="493"/>
      <c r="D589" s="493"/>
      <c r="E589" s="493"/>
      <c r="F589" s="493"/>
      <c r="G589" s="493"/>
      <c r="H589" s="493"/>
      <c r="I589" s="494"/>
      <c r="J589" s="493"/>
      <c r="K589" s="493"/>
    </row>
    <row r="590" spans="2:11" ht="12.75">
      <c r="B590" s="495" t="str">
        <f t="shared" si="0"/>
        <v/>
      </c>
      <c r="C590" s="493"/>
      <c r="D590" s="493"/>
      <c r="E590" s="493"/>
      <c r="F590" s="493"/>
      <c r="G590" s="493"/>
      <c r="H590" s="493"/>
      <c r="I590" s="494"/>
      <c r="J590" s="493"/>
      <c r="K590" s="493"/>
    </row>
    <row r="591" spans="2:11" ht="12.75">
      <c r="B591" s="495" t="str">
        <f t="shared" si="0"/>
        <v/>
      </c>
      <c r="C591" s="493"/>
      <c r="D591" s="493"/>
      <c r="E591" s="493"/>
      <c r="F591" s="493"/>
      <c r="G591" s="493"/>
      <c r="H591" s="493"/>
      <c r="I591" s="494"/>
      <c r="J591" s="493"/>
      <c r="K591" s="493"/>
    </row>
    <row r="592" spans="2:11" ht="12.75">
      <c r="B592" s="495" t="str">
        <f t="shared" si="0"/>
        <v/>
      </c>
      <c r="C592" s="493"/>
      <c r="D592" s="493"/>
      <c r="E592" s="493"/>
      <c r="F592" s="493"/>
      <c r="G592" s="493"/>
      <c r="H592" s="493"/>
      <c r="I592" s="494"/>
      <c r="J592" s="493"/>
      <c r="K592" s="493"/>
    </row>
    <row r="593" spans="2:11" ht="12.75">
      <c r="B593" s="495" t="str">
        <f t="shared" si="0"/>
        <v/>
      </c>
      <c r="C593" s="493"/>
      <c r="D593" s="493"/>
      <c r="E593" s="493"/>
      <c r="F593" s="493"/>
      <c r="G593" s="493"/>
      <c r="H593" s="493"/>
      <c r="I593" s="494"/>
      <c r="J593" s="493"/>
      <c r="K593" s="493"/>
    </row>
    <row r="594" spans="2:11" ht="12.75">
      <c r="B594" s="495" t="str">
        <f t="shared" si="0"/>
        <v/>
      </c>
      <c r="C594" s="493"/>
      <c r="D594" s="493"/>
      <c r="E594" s="493"/>
      <c r="F594" s="493"/>
      <c r="G594" s="493"/>
      <c r="H594" s="493"/>
      <c r="I594" s="494"/>
      <c r="J594" s="493"/>
      <c r="K594" s="493"/>
    </row>
    <row r="595" spans="2:11" ht="12.75">
      <c r="B595" s="495" t="str">
        <f t="shared" si="0"/>
        <v/>
      </c>
      <c r="C595" s="493"/>
      <c r="D595" s="493"/>
      <c r="E595" s="493"/>
      <c r="F595" s="493"/>
      <c r="G595" s="493"/>
      <c r="H595" s="493"/>
      <c r="I595" s="494"/>
      <c r="J595" s="493"/>
      <c r="K595" s="493"/>
    </row>
    <row r="596" spans="2:11" ht="12.75">
      <c r="B596" s="495" t="str">
        <f t="shared" si="0"/>
        <v/>
      </c>
      <c r="C596" s="493"/>
      <c r="D596" s="493"/>
      <c r="E596" s="493"/>
      <c r="F596" s="493"/>
      <c r="G596" s="493"/>
      <c r="H596" s="493"/>
      <c r="I596" s="494"/>
      <c r="J596" s="493"/>
      <c r="K596" s="493"/>
    </row>
    <row r="597" spans="2:11" ht="12.75">
      <c r="B597" s="495" t="str">
        <f t="shared" si="0"/>
        <v/>
      </c>
      <c r="C597" s="493"/>
      <c r="D597" s="493"/>
      <c r="E597" s="493"/>
      <c r="F597" s="493"/>
      <c r="G597" s="493"/>
      <c r="H597" s="493"/>
      <c r="I597" s="494"/>
      <c r="J597" s="493"/>
      <c r="K597" s="493"/>
    </row>
    <row r="598" spans="2:11" ht="12.75">
      <c r="B598" s="495" t="str">
        <f t="shared" si="0"/>
        <v/>
      </c>
      <c r="C598" s="493"/>
      <c r="D598" s="493"/>
      <c r="E598" s="493"/>
      <c r="F598" s="493"/>
      <c r="G598" s="493"/>
      <c r="H598" s="493"/>
      <c r="I598" s="494"/>
      <c r="J598" s="493"/>
      <c r="K598" s="493"/>
    </row>
    <row r="599" spans="2:11" ht="12.75">
      <c r="B599" s="495" t="str">
        <f t="shared" si="0"/>
        <v/>
      </c>
      <c r="C599" s="493"/>
      <c r="D599" s="493"/>
      <c r="E599" s="493"/>
      <c r="F599" s="493"/>
      <c r="G599" s="493"/>
      <c r="H599" s="493"/>
      <c r="I599" s="494"/>
      <c r="J599" s="493"/>
      <c r="K599" s="493"/>
    </row>
    <row r="600" spans="2:11" ht="12.75">
      <c r="B600" s="495" t="str">
        <f t="shared" si="0"/>
        <v/>
      </c>
      <c r="C600" s="493"/>
      <c r="D600" s="493"/>
      <c r="E600" s="493"/>
      <c r="F600" s="493"/>
      <c r="G600" s="493"/>
      <c r="H600" s="493"/>
      <c r="I600" s="494"/>
      <c r="J600" s="493"/>
      <c r="K600" s="493"/>
    </row>
    <row r="601" spans="2:11" ht="12.75">
      <c r="B601" s="495" t="str">
        <f t="shared" si="0"/>
        <v/>
      </c>
      <c r="C601" s="493"/>
      <c r="D601" s="493"/>
      <c r="E601" s="493"/>
      <c r="F601" s="493"/>
      <c r="G601" s="493"/>
      <c r="H601" s="493"/>
      <c r="I601" s="494"/>
      <c r="J601" s="493"/>
      <c r="K601" s="493"/>
    </row>
    <row r="602" spans="2:11" ht="12.75">
      <c r="B602" s="495" t="str">
        <f t="shared" si="0"/>
        <v/>
      </c>
      <c r="C602" s="493"/>
      <c r="D602" s="493"/>
      <c r="E602" s="493"/>
      <c r="F602" s="493"/>
      <c r="G602" s="493"/>
      <c r="H602" s="493"/>
      <c r="I602" s="494"/>
      <c r="J602" s="493"/>
      <c r="K602" s="493"/>
    </row>
    <row r="603" spans="2:11" ht="12.75">
      <c r="B603" s="495" t="str">
        <f t="shared" si="0"/>
        <v/>
      </c>
      <c r="C603" s="493"/>
      <c r="D603" s="493"/>
      <c r="E603" s="493"/>
      <c r="F603" s="493"/>
      <c r="G603" s="493"/>
      <c r="H603" s="493"/>
      <c r="I603" s="494"/>
      <c r="J603" s="493"/>
      <c r="K603" s="493"/>
    </row>
    <row r="604" spans="2:11" ht="12.75">
      <c r="B604" s="495" t="str">
        <f t="shared" si="0"/>
        <v/>
      </c>
      <c r="C604" s="493"/>
      <c r="D604" s="493"/>
      <c r="E604" s="493"/>
      <c r="F604" s="493"/>
      <c r="G604" s="493"/>
      <c r="H604" s="493"/>
      <c r="I604" s="494"/>
      <c r="J604" s="493"/>
      <c r="K604" s="493"/>
    </row>
    <row r="605" spans="2:11" ht="12.75">
      <c r="B605" s="495" t="str">
        <f t="shared" si="0"/>
        <v/>
      </c>
      <c r="C605" s="493"/>
      <c r="D605" s="493"/>
      <c r="E605" s="493"/>
      <c r="F605" s="493"/>
      <c r="G605" s="493"/>
      <c r="H605" s="493"/>
      <c r="I605" s="494"/>
      <c r="J605" s="493"/>
      <c r="K605" s="493"/>
    </row>
    <row r="606" spans="2:11" ht="12.75">
      <c r="B606" s="495" t="str">
        <f t="shared" si="0"/>
        <v/>
      </c>
      <c r="C606" s="493"/>
      <c r="D606" s="493"/>
      <c r="E606" s="493"/>
      <c r="F606" s="493"/>
      <c r="G606" s="493"/>
      <c r="H606" s="493"/>
      <c r="I606" s="494"/>
      <c r="J606" s="493"/>
      <c r="K606" s="493"/>
    </row>
    <row r="607" spans="2:11" ht="12.75">
      <c r="B607" s="495" t="str">
        <f t="shared" si="0"/>
        <v/>
      </c>
      <c r="C607" s="493"/>
      <c r="D607" s="493"/>
      <c r="E607" s="493"/>
      <c r="F607" s="493"/>
      <c r="G607" s="493"/>
      <c r="H607" s="493"/>
      <c r="I607" s="494"/>
      <c r="J607" s="493"/>
      <c r="K607" s="493"/>
    </row>
    <row r="608" spans="2:11" ht="12.75">
      <c r="B608" s="495" t="str">
        <f t="shared" si="0"/>
        <v/>
      </c>
      <c r="C608" s="493"/>
      <c r="D608" s="493"/>
      <c r="E608" s="493"/>
      <c r="F608" s="493"/>
      <c r="G608" s="493"/>
      <c r="H608" s="493"/>
      <c r="I608" s="494"/>
      <c r="J608" s="493"/>
      <c r="K608" s="493"/>
    </row>
    <row r="609" spans="2:11" ht="12.75">
      <c r="B609" s="495" t="str">
        <f t="shared" si="0"/>
        <v/>
      </c>
      <c r="C609" s="493"/>
      <c r="D609" s="493"/>
      <c r="E609" s="493"/>
      <c r="F609" s="493"/>
      <c r="G609" s="493"/>
      <c r="H609" s="493"/>
      <c r="I609" s="494"/>
      <c r="J609" s="493"/>
      <c r="K609" s="493"/>
    </row>
    <row r="610" spans="2:11" ht="12.75">
      <c r="B610" s="495" t="str">
        <f t="shared" si="0"/>
        <v/>
      </c>
      <c r="C610" s="493"/>
      <c r="D610" s="493"/>
      <c r="E610" s="493"/>
      <c r="F610" s="493"/>
      <c r="G610" s="493"/>
      <c r="H610" s="493"/>
      <c r="I610" s="494"/>
      <c r="J610" s="493"/>
      <c r="K610" s="493"/>
    </row>
    <row r="611" spans="2:11" ht="12.75">
      <c r="B611" s="495" t="str">
        <f t="shared" si="0"/>
        <v/>
      </c>
      <c r="C611" s="493"/>
      <c r="D611" s="493"/>
      <c r="E611" s="493"/>
      <c r="F611" s="493"/>
      <c r="G611" s="493"/>
      <c r="H611" s="493"/>
      <c r="I611" s="494"/>
      <c r="J611" s="493"/>
      <c r="K611" s="493"/>
    </row>
    <row r="612" spans="2:11" ht="12.75">
      <c r="B612" s="495" t="str">
        <f t="shared" si="0"/>
        <v/>
      </c>
      <c r="C612" s="493"/>
      <c r="D612" s="493"/>
      <c r="E612" s="493"/>
      <c r="F612" s="493"/>
      <c r="G612" s="493"/>
      <c r="H612" s="493"/>
      <c r="I612" s="494"/>
      <c r="J612" s="493"/>
      <c r="K612" s="493"/>
    </row>
    <row r="613" spans="2:11" ht="12.75">
      <c r="B613" s="495" t="str">
        <f t="shared" si="0"/>
        <v/>
      </c>
      <c r="C613" s="493"/>
      <c r="D613" s="493"/>
      <c r="E613" s="493"/>
      <c r="F613" s="493"/>
      <c r="G613" s="493"/>
      <c r="H613" s="493"/>
      <c r="I613" s="494"/>
      <c r="J613" s="493"/>
      <c r="K613" s="493"/>
    </row>
    <row r="614" spans="2:11" ht="12.75">
      <c r="B614" s="495" t="str">
        <f t="shared" si="0"/>
        <v/>
      </c>
      <c r="C614" s="493"/>
      <c r="D614" s="493"/>
      <c r="E614" s="493"/>
      <c r="F614" s="493"/>
      <c r="G614" s="493"/>
      <c r="H614" s="493"/>
      <c r="I614" s="494"/>
      <c r="J614" s="493"/>
      <c r="K614" s="493"/>
    </row>
    <row r="615" spans="2:11" ht="12.75">
      <c r="B615" s="495" t="str">
        <f t="shared" si="0"/>
        <v/>
      </c>
      <c r="C615" s="493"/>
      <c r="D615" s="493"/>
      <c r="E615" s="493"/>
      <c r="F615" s="493"/>
      <c r="G615" s="493"/>
      <c r="H615" s="493"/>
      <c r="I615" s="494"/>
      <c r="J615" s="493"/>
      <c r="K615" s="493"/>
    </row>
    <row r="616" spans="2:11" ht="12.75">
      <c r="B616" s="495" t="str">
        <f t="shared" si="0"/>
        <v/>
      </c>
      <c r="C616" s="493"/>
      <c r="D616" s="493"/>
      <c r="E616" s="493"/>
      <c r="F616" s="493"/>
      <c r="G616" s="493"/>
      <c r="H616" s="493"/>
      <c r="I616" s="494"/>
      <c r="J616" s="493"/>
      <c r="K616" s="493"/>
    </row>
    <row r="617" spans="2:11" ht="12.75">
      <c r="B617" s="495" t="str">
        <f t="shared" si="0"/>
        <v/>
      </c>
      <c r="C617" s="493"/>
      <c r="D617" s="493"/>
      <c r="E617" s="493"/>
      <c r="F617" s="493"/>
      <c r="G617" s="493"/>
      <c r="H617" s="493"/>
      <c r="I617" s="494"/>
      <c r="J617" s="493"/>
      <c r="K617" s="493"/>
    </row>
    <row r="618" spans="2:11" ht="12.75">
      <c r="B618" s="495" t="str">
        <f t="shared" si="0"/>
        <v/>
      </c>
      <c r="C618" s="493"/>
      <c r="D618" s="493"/>
      <c r="E618" s="493"/>
      <c r="F618" s="493"/>
      <c r="G618" s="493"/>
      <c r="H618" s="493"/>
      <c r="I618" s="494"/>
      <c r="J618" s="493"/>
      <c r="K618" s="493"/>
    </row>
    <row r="619" spans="2:11" ht="12.75">
      <c r="B619" s="495" t="str">
        <f t="shared" si="0"/>
        <v/>
      </c>
      <c r="C619" s="493"/>
      <c r="D619" s="493"/>
      <c r="E619" s="493"/>
      <c r="F619" s="493"/>
      <c r="G619" s="493"/>
      <c r="H619" s="493"/>
      <c r="I619" s="494"/>
      <c r="J619" s="493"/>
      <c r="K619" s="493"/>
    </row>
    <row r="620" spans="2:11" ht="12.75">
      <c r="B620" s="495" t="str">
        <f t="shared" si="0"/>
        <v/>
      </c>
      <c r="C620" s="493"/>
      <c r="D620" s="493"/>
      <c r="E620" s="493"/>
      <c r="F620" s="493"/>
      <c r="G620" s="493"/>
      <c r="H620" s="493"/>
      <c r="I620" s="494"/>
      <c r="J620" s="493"/>
      <c r="K620" s="493"/>
    </row>
    <row r="621" spans="2:11" ht="12.75">
      <c r="B621" s="495" t="str">
        <f t="shared" si="0"/>
        <v/>
      </c>
      <c r="C621" s="493"/>
      <c r="D621" s="493"/>
      <c r="E621" s="493"/>
      <c r="F621" s="493"/>
      <c r="G621" s="493"/>
      <c r="H621" s="493"/>
      <c r="I621" s="494"/>
      <c r="J621" s="493"/>
      <c r="K621" s="493"/>
    </row>
    <row r="622" spans="2:11" ht="12.75">
      <c r="B622" s="495" t="str">
        <f t="shared" si="0"/>
        <v/>
      </c>
      <c r="C622" s="493"/>
      <c r="D622" s="493"/>
      <c r="E622" s="493"/>
      <c r="F622" s="493"/>
      <c r="G622" s="493"/>
      <c r="H622" s="493"/>
      <c r="I622" s="494"/>
      <c r="J622" s="493"/>
      <c r="K622" s="493"/>
    </row>
    <row r="623" spans="2:11" ht="12.75">
      <c r="B623" s="495" t="str">
        <f t="shared" si="0"/>
        <v/>
      </c>
      <c r="C623" s="493"/>
      <c r="D623" s="493"/>
      <c r="E623" s="493"/>
      <c r="F623" s="493"/>
      <c r="G623" s="493"/>
      <c r="H623" s="493"/>
      <c r="I623" s="494"/>
      <c r="J623" s="493"/>
      <c r="K623" s="493"/>
    </row>
    <row r="624" spans="2:11" ht="12.75">
      <c r="B624" s="495" t="str">
        <f t="shared" si="0"/>
        <v/>
      </c>
      <c r="C624" s="493"/>
      <c r="D624" s="493"/>
      <c r="E624" s="493"/>
      <c r="F624" s="493"/>
      <c r="G624" s="493"/>
      <c r="H624" s="493"/>
      <c r="I624" s="494"/>
      <c r="J624" s="493"/>
      <c r="K624" s="493"/>
    </row>
    <row r="625" spans="2:11" ht="12.75">
      <c r="B625" s="495" t="str">
        <f t="shared" si="0"/>
        <v/>
      </c>
      <c r="C625" s="493"/>
      <c r="D625" s="493"/>
      <c r="E625" s="493"/>
      <c r="F625" s="493"/>
      <c r="G625" s="493"/>
      <c r="H625" s="493"/>
      <c r="I625" s="494"/>
      <c r="J625" s="493"/>
      <c r="K625" s="493"/>
    </row>
    <row r="626" spans="2:11" ht="12.75">
      <c r="B626" s="495" t="str">
        <f t="shared" si="0"/>
        <v/>
      </c>
      <c r="C626" s="493"/>
      <c r="D626" s="493"/>
      <c r="E626" s="493"/>
      <c r="F626" s="493"/>
      <c r="G626" s="493"/>
      <c r="H626" s="493"/>
      <c r="I626" s="494"/>
      <c r="J626" s="493"/>
      <c r="K626" s="493"/>
    </row>
    <row r="627" spans="2:11" ht="12.75">
      <c r="B627" s="495" t="str">
        <f t="shared" si="0"/>
        <v/>
      </c>
      <c r="C627" s="493"/>
      <c r="D627" s="493"/>
      <c r="E627" s="493"/>
      <c r="F627" s="493"/>
      <c r="G627" s="493"/>
      <c r="H627" s="493"/>
      <c r="I627" s="494"/>
      <c r="J627" s="493"/>
      <c r="K627" s="493"/>
    </row>
    <row r="628" spans="2:11" ht="12.75">
      <c r="B628" s="495" t="str">
        <f t="shared" si="0"/>
        <v/>
      </c>
      <c r="C628" s="493"/>
      <c r="D628" s="493"/>
      <c r="E628" s="493"/>
      <c r="F628" s="493"/>
      <c r="G628" s="493"/>
      <c r="H628" s="493"/>
      <c r="I628" s="494"/>
      <c r="J628" s="493"/>
      <c r="K628" s="493"/>
    </row>
    <row r="629" spans="2:11" ht="12.75">
      <c r="B629" s="495" t="str">
        <f t="shared" si="0"/>
        <v/>
      </c>
      <c r="C629" s="493"/>
      <c r="D629" s="493"/>
      <c r="E629" s="493"/>
      <c r="F629" s="493"/>
      <c r="G629" s="493"/>
      <c r="H629" s="493"/>
      <c r="I629" s="494"/>
      <c r="J629" s="493"/>
      <c r="K629" s="493"/>
    </row>
    <row r="630" spans="2:11" ht="12.75">
      <c r="B630" s="495" t="str">
        <f t="shared" si="0"/>
        <v/>
      </c>
      <c r="C630" s="493"/>
      <c r="D630" s="493"/>
      <c r="E630" s="493"/>
      <c r="F630" s="493"/>
      <c r="G630" s="493"/>
      <c r="H630" s="493"/>
      <c r="I630" s="494"/>
      <c r="J630" s="493"/>
      <c r="K630" s="493"/>
    </row>
    <row r="631" spans="2:11" ht="12.75">
      <c r="B631" s="495" t="str">
        <f t="shared" si="0"/>
        <v/>
      </c>
      <c r="C631" s="493"/>
      <c r="D631" s="493"/>
      <c r="E631" s="493"/>
      <c r="F631" s="493"/>
      <c r="G631" s="493"/>
      <c r="H631" s="493"/>
      <c r="I631" s="494"/>
      <c r="J631" s="493"/>
      <c r="K631" s="493"/>
    </row>
    <row r="632" spans="2:11" ht="12.75">
      <c r="B632" s="495" t="str">
        <f t="shared" si="0"/>
        <v/>
      </c>
      <c r="C632" s="493"/>
      <c r="D632" s="493"/>
      <c r="E632" s="493"/>
      <c r="F632" s="493"/>
      <c r="G632" s="493"/>
      <c r="H632" s="493"/>
      <c r="I632" s="494"/>
      <c r="J632" s="493"/>
      <c r="K632" s="493"/>
    </row>
    <row r="633" spans="2:11" ht="12.75">
      <c r="B633" s="495" t="str">
        <f t="shared" si="0"/>
        <v/>
      </c>
      <c r="C633" s="493"/>
      <c r="D633" s="493"/>
      <c r="E633" s="493"/>
      <c r="F633" s="493"/>
      <c r="G633" s="493"/>
      <c r="H633" s="493"/>
      <c r="I633" s="494"/>
      <c r="J633" s="493"/>
      <c r="K633" s="493"/>
    </row>
    <row r="634" spans="2:11" ht="12.75">
      <c r="B634" s="495" t="str">
        <f t="shared" si="0"/>
        <v/>
      </c>
      <c r="C634" s="493"/>
      <c r="D634" s="493"/>
      <c r="E634" s="493"/>
      <c r="F634" s="493"/>
      <c r="G634" s="493"/>
      <c r="H634" s="493"/>
      <c r="I634" s="494"/>
      <c r="J634" s="493"/>
      <c r="K634" s="493"/>
    </row>
    <row r="635" spans="2:11" ht="12.75">
      <c r="B635" s="495" t="str">
        <f t="shared" si="0"/>
        <v/>
      </c>
      <c r="C635" s="493"/>
      <c r="D635" s="493"/>
      <c r="E635" s="493"/>
      <c r="F635" s="493"/>
      <c r="G635" s="493"/>
      <c r="H635" s="493"/>
      <c r="I635" s="494"/>
      <c r="J635" s="493"/>
      <c r="K635" s="493"/>
    </row>
    <row r="636" spans="2:11" ht="12.75">
      <c r="B636" s="495" t="str">
        <f t="shared" si="0"/>
        <v/>
      </c>
      <c r="C636" s="493"/>
      <c r="D636" s="493"/>
      <c r="E636" s="493"/>
      <c r="F636" s="493"/>
      <c r="G636" s="493"/>
      <c r="H636" s="493"/>
      <c r="I636" s="494"/>
      <c r="J636" s="493"/>
      <c r="K636" s="493"/>
    </row>
    <row r="637" spans="2:11" ht="12.75">
      <c r="B637" s="495" t="str">
        <f t="shared" si="0"/>
        <v/>
      </c>
      <c r="C637" s="493"/>
      <c r="D637" s="493"/>
      <c r="E637" s="493"/>
      <c r="F637" s="493"/>
      <c r="G637" s="493"/>
      <c r="H637" s="493"/>
      <c r="I637" s="494"/>
      <c r="J637" s="493"/>
      <c r="K637" s="493"/>
    </row>
    <row r="638" spans="2:11" ht="12.75">
      <c r="B638" s="495" t="str">
        <f t="shared" si="0"/>
        <v/>
      </c>
      <c r="C638" s="493"/>
      <c r="D638" s="493"/>
      <c r="E638" s="493"/>
      <c r="F638" s="493"/>
      <c r="G638" s="493"/>
      <c r="H638" s="493"/>
      <c r="I638" s="494"/>
      <c r="J638" s="493"/>
      <c r="K638" s="493"/>
    </row>
    <row r="639" spans="2:11" ht="12.75">
      <c r="B639" s="495" t="str">
        <f t="shared" si="0"/>
        <v/>
      </c>
      <c r="C639" s="493"/>
      <c r="D639" s="493"/>
      <c r="E639" s="493"/>
      <c r="F639" s="493"/>
      <c r="G639" s="493"/>
      <c r="H639" s="493"/>
      <c r="I639" s="494"/>
      <c r="J639" s="493"/>
      <c r="K639" s="493"/>
    </row>
    <row r="640" spans="2:11" ht="12.75">
      <c r="B640" s="495" t="str">
        <f t="shared" si="0"/>
        <v/>
      </c>
      <c r="C640" s="493"/>
      <c r="D640" s="493"/>
      <c r="E640" s="493"/>
      <c r="F640" s="493"/>
      <c r="G640" s="493"/>
      <c r="H640" s="493"/>
      <c r="I640" s="494"/>
      <c r="J640" s="493"/>
      <c r="K640" s="493"/>
    </row>
    <row r="641" spans="2:11" ht="12.75">
      <c r="B641" s="495" t="str">
        <f t="shared" si="0"/>
        <v/>
      </c>
      <c r="C641" s="493"/>
      <c r="D641" s="493"/>
      <c r="E641" s="493"/>
      <c r="F641" s="493"/>
      <c r="G641" s="493"/>
      <c r="H641" s="493"/>
      <c r="I641" s="494"/>
      <c r="J641" s="493"/>
      <c r="K641" s="493"/>
    </row>
    <row r="642" spans="2:11" ht="12.75">
      <c r="B642" s="495" t="str">
        <f t="shared" si="0"/>
        <v/>
      </c>
      <c r="C642" s="493"/>
      <c r="D642" s="493"/>
      <c r="E642" s="493"/>
      <c r="F642" s="493"/>
      <c r="G642" s="493"/>
      <c r="H642" s="493"/>
      <c r="I642" s="494"/>
      <c r="J642" s="493"/>
      <c r="K642" s="493"/>
    </row>
    <row r="643" spans="2:11" ht="12.75">
      <c r="B643" s="495" t="str">
        <f t="shared" si="0"/>
        <v/>
      </c>
      <c r="C643" s="493"/>
      <c r="D643" s="493"/>
      <c r="E643" s="493"/>
      <c r="F643" s="493"/>
      <c r="G643" s="493"/>
      <c r="H643" s="493"/>
      <c r="I643" s="494"/>
      <c r="J643" s="493"/>
      <c r="K643" s="493"/>
    </row>
    <row r="644" spans="2:11" ht="12.75">
      <c r="B644" s="495" t="str">
        <f t="shared" si="0"/>
        <v/>
      </c>
      <c r="C644" s="493"/>
      <c r="D644" s="493"/>
      <c r="E644" s="493"/>
      <c r="F644" s="493"/>
      <c r="G644" s="493"/>
      <c r="H644" s="493"/>
      <c r="I644" s="494"/>
      <c r="J644" s="493"/>
      <c r="K644" s="493"/>
    </row>
    <row r="645" spans="2:11" ht="12.75">
      <c r="B645" s="495" t="str">
        <f t="shared" si="0"/>
        <v/>
      </c>
      <c r="C645" s="493"/>
      <c r="D645" s="493"/>
      <c r="E645" s="493"/>
      <c r="F645" s="493"/>
      <c r="G645" s="493"/>
      <c r="H645" s="493"/>
      <c r="I645" s="494"/>
      <c r="J645" s="493"/>
      <c r="K645" s="493"/>
    </row>
    <row r="646" spans="2:11" ht="12.75">
      <c r="B646" s="495" t="str">
        <f t="shared" si="0"/>
        <v/>
      </c>
      <c r="C646" s="493"/>
      <c r="D646" s="493"/>
      <c r="E646" s="493"/>
      <c r="F646" s="493"/>
      <c r="G646" s="493"/>
      <c r="H646" s="493"/>
      <c r="I646" s="494"/>
      <c r="J646" s="493"/>
      <c r="K646" s="493"/>
    </row>
    <row r="647" spans="2:11" ht="12.75">
      <c r="B647" s="495" t="str">
        <f t="shared" si="0"/>
        <v/>
      </c>
      <c r="C647" s="493"/>
      <c r="D647" s="493"/>
      <c r="E647" s="493"/>
      <c r="F647" s="493"/>
      <c r="G647" s="493"/>
      <c r="H647" s="493"/>
      <c r="I647" s="494"/>
      <c r="J647" s="493"/>
      <c r="K647" s="493"/>
    </row>
    <row r="648" spans="2:11" ht="12.75">
      <c r="B648" s="495" t="str">
        <f t="shared" si="0"/>
        <v/>
      </c>
      <c r="C648" s="493"/>
      <c r="D648" s="493"/>
      <c r="E648" s="493"/>
      <c r="F648" s="493"/>
      <c r="G648" s="493"/>
      <c r="H648" s="493"/>
      <c r="I648" s="494"/>
      <c r="J648" s="493"/>
      <c r="K648" s="493"/>
    </row>
    <row r="649" spans="2:11" ht="12.75">
      <c r="B649" s="495" t="str">
        <f t="shared" si="0"/>
        <v/>
      </c>
      <c r="C649" s="493"/>
      <c r="D649" s="493"/>
      <c r="E649" s="493"/>
      <c r="F649" s="493"/>
      <c r="G649" s="493"/>
      <c r="H649" s="493"/>
      <c r="I649" s="494"/>
      <c r="J649" s="493"/>
      <c r="K649" s="493"/>
    </row>
    <row r="650" spans="2:11" ht="12.75">
      <c r="B650" s="495" t="str">
        <f t="shared" si="0"/>
        <v/>
      </c>
      <c r="C650" s="493"/>
      <c r="D650" s="493"/>
      <c r="E650" s="493"/>
      <c r="F650" s="493"/>
      <c r="G650" s="493"/>
      <c r="H650" s="493"/>
      <c r="I650" s="494"/>
      <c r="J650" s="493"/>
      <c r="K650" s="493"/>
    </row>
    <row r="651" spans="2:11" ht="12.75">
      <c r="B651" s="495" t="str">
        <f t="shared" si="0"/>
        <v/>
      </c>
      <c r="C651" s="493"/>
      <c r="D651" s="493"/>
      <c r="E651" s="493"/>
      <c r="F651" s="493"/>
      <c r="G651" s="493"/>
      <c r="H651" s="493"/>
      <c r="I651" s="494"/>
      <c r="J651" s="493"/>
      <c r="K651" s="493"/>
    </row>
    <row r="652" spans="2:11" ht="12.75">
      <c r="B652" s="495" t="str">
        <f t="shared" si="0"/>
        <v/>
      </c>
      <c r="C652" s="493"/>
      <c r="D652" s="493"/>
      <c r="E652" s="493"/>
      <c r="F652" s="493"/>
      <c r="G652" s="493"/>
      <c r="H652" s="493"/>
      <c r="I652" s="494"/>
      <c r="J652" s="493"/>
      <c r="K652" s="493"/>
    </row>
    <row r="653" spans="2:11" ht="12.75">
      <c r="B653" s="495" t="str">
        <f t="shared" si="0"/>
        <v/>
      </c>
      <c r="C653" s="493"/>
      <c r="D653" s="493"/>
      <c r="E653" s="493"/>
      <c r="F653" s="493"/>
      <c r="G653" s="493"/>
      <c r="H653" s="493"/>
      <c r="I653" s="494"/>
      <c r="J653" s="493"/>
      <c r="K653" s="493"/>
    </row>
    <row r="654" spans="2:11" ht="12.75">
      <c r="B654" s="495" t="str">
        <f t="shared" si="0"/>
        <v/>
      </c>
      <c r="C654" s="493"/>
      <c r="D654" s="493"/>
      <c r="E654" s="493"/>
      <c r="F654" s="493"/>
      <c r="G654" s="493"/>
      <c r="H654" s="493"/>
      <c r="I654" s="494"/>
      <c r="J654" s="493"/>
      <c r="K654" s="493"/>
    </row>
    <row r="655" spans="2:11" ht="12.75">
      <c r="B655" s="495" t="str">
        <f t="shared" si="0"/>
        <v/>
      </c>
      <c r="C655" s="493"/>
      <c r="D655" s="493"/>
      <c r="E655" s="493"/>
      <c r="F655" s="493"/>
      <c r="G655" s="493"/>
      <c r="H655" s="493"/>
      <c r="I655" s="494"/>
      <c r="J655" s="493"/>
      <c r="K655" s="493"/>
    </row>
    <row r="656" spans="2:11" ht="12.75">
      <c r="B656" s="495" t="str">
        <f t="shared" si="0"/>
        <v/>
      </c>
      <c r="C656" s="493"/>
      <c r="D656" s="493"/>
      <c r="E656" s="493"/>
      <c r="F656" s="493"/>
      <c r="G656" s="493"/>
      <c r="H656" s="493"/>
      <c r="I656" s="494"/>
      <c r="J656" s="493"/>
      <c r="K656" s="493"/>
    </row>
    <row r="657" spans="2:11" ht="12.75">
      <c r="B657" s="495" t="str">
        <f t="shared" si="0"/>
        <v/>
      </c>
      <c r="C657" s="493"/>
      <c r="D657" s="493"/>
      <c r="E657" s="493"/>
      <c r="F657" s="493"/>
      <c r="G657" s="493"/>
      <c r="H657" s="493"/>
      <c r="I657" s="494"/>
      <c r="J657" s="493"/>
      <c r="K657" s="493"/>
    </row>
    <row r="658" spans="2:11" ht="12.75">
      <c r="B658" s="495" t="str">
        <f t="shared" si="0"/>
        <v/>
      </c>
      <c r="C658" s="493"/>
      <c r="D658" s="493"/>
      <c r="E658" s="493"/>
      <c r="F658" s="493"/>
      <c r="G658" s="493"/>
      <c r="H658" s="493"/>
      <c r="I658" s="494"/>
      <c r="J658" s="493"/>
      <c r="K658" s="493"/>
    </row>
    <row r="659" spans="2:11" ht="12.75">
      <c r="B659" s="495" t="str">
        <f t="shared" si="0"/>
        <v/>
      </c>
      <c r="C659" s="493"/>
      <c r="D659" s="493"/>
      <c r="E659" s="493"/>
      <c r="F659" s="493"/>
      <c r="G659" s="493"/>
      <c r="H659" s="493"/>
      <c r="I659" s="494"/>
      <c r="J659" s="493"/>
      <c r="K659" s="493"/>
    </row>
    <row r="660" spans="2:11" ht="12.75">
      <c r="B660" s="495" t="str">
        <f t="shared" si="0"/>
        <v/>
      </c>
      <c r="C660" s="493"/>
      <c r="D660" s="493"/>
      <c r="E660" s="493"/>
      <c r="F660" s="493"/>
      <c r="G660" s="493"/>
      <c r="H660" s="493"/>
      <c r="I660" s="494"/>
      <c r="J660" s="493"/>
      <c r="K660" s="493"/>
    </row>
    <row r="661" spans="2:11" ht="12.75">
      <c r="B661" s="495" t="str">
        <f t="shared" si="0"/>
        <v/>
      </c>
      <c r="C661" s="493"/>
      <c r="D661" s="493"/>
      <c r="E661" s="493"/>
      <c r="F661" s="493"/>
      <c r="G661" s="493"/>
      <c r="H661" s="493"/>
      <c r="I661" s="494"/>
      <c r="J661" s="493"/>
      <c r="K661" s="493"/>
    </row>
    <row r="662" spans="2:11" ht="12.75">
      <c r="B662" s="495" t="str">
        <f t="shared" si="0"/>
        <v/>
      </c>
      <c r="C662" s="493"/>
      <c r="D662" s="493"/>
      <c r="E662" s="493"/>
      <c r="F662" s="493"/>
      <c r="G662" s="493"/>
      <c r="H662" s="493"/>
      <c r="I662" s="494"/>
      <c r="J662" s="493"/>
      <c r="K662" s="493"/>
    </row>
    <row r="663" spans="2:11" ht="12.75">
      <c r="B663" s="495" t="str">
        <f t="shared" si="0"/>
        <v/>
      </c>
      <c r="C663" s="493"/>
      <c r="D663" s="493"/>
      <c r="E663" s="493"/>
      <c r="F663" s="493"/>
      <c r="G663" s="493"/>
      <c r="H663" s="493"/>
      <c r="I663" s="494"/>
      <c r="J663" s="493"/>
      <c r="K663" s="493"/>
    </row>
    <row r="664" spans="2:11" ht="12.75">
      <c r="B664" s="495" t="str">
        <f t="shared" si="0"/>
        <v/>
      </c>
      <c r="C664" s="493"/>
      <c r="D664" s="493"/>
      <c r="E664" s="493"/>
      <c r="F664" s="493"/>
      <c r="G664" s="493"/>
      <c r="H664" s="493"/>
      <c r="I664" s="494"/>
      <c r="J664" s="493"/>
      <c r="K664" s="493"/>
    </row>
    <row r="665" spans="2:11" ht="12.75">
      <c r="B665" s="495" t="str">
        <f t="shared" si="0"/>
        <v/>
      </c>
      <c r="C665" s="493"/>
      <c r="D665" s="493"/>
      <c r="E665" s="493"/>
      <c r="F665" s="493"/>
      <c r="G665" s="493"/>
      <c r="H665" s="493"/>
      <c r="I665" s="494"/>
      <c r="J665" s="493"/>
      <c r="K665" s="493"/>
    </row>
    <row r="666" spans="2:11" ht="12.75">
      <c r="B666" s="495" t="str">
        <f t="shared" si="0"/>
        <v/>
      </c>
      <c r="C666" s="493"/>
      <c r="D666" s="493"/>
      <c r="E666" s="493"/>
      <c r="F666" s="493"/>
      <c r="G666" s="493"/>
      <c r="H666" s="493"/>
      <c r="I666" s="494"/>
      <c r="J666" s="493"/>
      <c r="K666" s="493"/>
    </row>
    <row r="667" spans="2:11" ht="12.75">
      <c r="B667" s="495" t="str">
        <f t="shared" si="0"/>
        <v/>
      </c>
      <c r="C667" s="493"/>
      <c r="D667" s="493"/>
      <c r="E667" s="493"/>
      <c r="F667" s="493"/>
      <c r="G667" s="493"/>
      <c r="H667" s="493"/>
      <c r="I667" s="494"/>
      <c r="J667" s="493"/>
      <c r="K667" s="493"/>
    </row>
    <row r="668" spans="2:11" ht="12.75">
      <c r="B668" s="495" t="str">
        <f t="shared" si="0"/>
        <v/>
      </c>
      <c r="C668" s="493"/>
      <c r="D668" s="493"/>
      <c r="E668" s="493"/>
      <c r="F668" s="493"/>
      <c r="G668" s="493"/>
      <c r="H668" s="493"/>
      <c r="I668" s="494"/>
      <c r="J668" s="493"/>
      <c r="K668" s="493"/>
    </row>
    <row r="669" spans="2:11" ht="12.75">
      <c r="B669" s="495" t="str">
        <f t="shared" si="0"/>
        <v/>
      </c>
      <c r="C669" s="493"/>
      <c r="D669" s="493"/>
      <c r="E669" s="493"/>
      <c r="F669" s="493"/>
      <c r="G669" s="493"/>
      <c r="H669" s="493"/>
      <c r="I669" s="494"/>
      <c r="J669" s="493"/>
      <c r="K669" s="493"/>
    </row>
    <row r="670" spans="2:11" ht="12.75">
      <c r="B670" s="495" t="str">
        <f t="shared" si="0"/>
        <v/>
      </c>
      <c r="C670" s="493"/>
      <c r="D670" s="493"/>
      <c r="E670" s="493"/>
      <c r="F670" s="493"/>
      <c r="G670" s="493"/>
      <c r="H670" s="493"/>
      <c r="I670" s="494"/>
      <c r="J670" s="493"/>
      <c r="K670" s="493"/>
    </row>
    <row r="671" spans="2:11" ht="12.75">
      <c r="B671" s="495" t="str">
        <f t="shared" si="0"/>
        <v/>
      </c>
      <c r="C671" s="493"/>
      <c r="D671" s="493"/>
      <c r="E671" s="493"/>
      <c r="F671" s="493"/>
      <c r="G671" s="493"/>
      <c r="H671" s="493"/>
      <c r="I671" s="494"/>
      <c r="J671" s="493"/>
      <c r="K671" s="493"/>
    </row>
    <row r="672" spans="2:11" ht="12.75">
      <c r="B672" s="495" t="str">
        <f t="shared" si="0"/>
        <v/>
      </c>
      <c r="C672" s="493"/>
      <c r="D672" s="493"/>
      <c r="E672" s="493"/>
      <c r="F672" s="493"/>
      <c r="G672" s="493"/>
      <c r="H672" s="493"/>
      <c r="I672" s="494"/>
      <c r="J672" s="493"/>
      <c r="K672" s="493"/>
    </row>
    <row r="673" spans="2:11" ht="12.75">
      <c r="B673" s="495" t="str">
        <f t="shared" si="0"/>
        <v/>
      </c>
      <c r="C673" s="493"/>
      <c r="D673" s="493"/>
      <c r="E673" s="493"/>
      <c r="F673" s="493"/>
      <c r="G673" s="493"/>
      <c r="H673" s="493"/>
      <c r="I673" s="494"/>
      <c r="J673" s="493"/>
      <c r="K673" s="493"/>
    </row>
    <row r="674" spans="2:11" ht="12.75">
      <c r="B674" s="495" t="str">
        <f t="shared" si="0"/>
        <v/>
      </c>
      <c r="C674" s="493"/>
      <c r="D674" s="493"/>
      <c r="E674" s="493"/>
      <c r="F674" s="493"/>
      <c r="G674" s="493"/>
      <c r="H674" s="493"/>
      <c r="I674" s="494"/>
      <c r="J674" s="493"/>
      <c r="K674" s="493"/>
    </row>
    <row r="675" spans="2:11" ht="12.75">
      <c r="B675" s="495" t="str">
        <f t="shared" si="0"/>
        <v/>
      </c>
      <c r="C675" s="493"/>
      <c r="D675" s="493"/>
      <c r="E675" s="493"/>
      <c r="F675" s="493"/>
      <c r="G675" s="493"/>
      <c r="H675" s="493"/>
      <c r="I675" s="494"/>
      <c r="J675" s="493"/>
      <c r="K675" s="493"/>
    </row>
    <row r="676" spans="2:11" ht="12.75">
      <c r="B676" s="495" t="str">
        <f t="shared" si="0"/>
        <v/>
      </c>
      <c r="C676" s="493"/>
      <c r="D676" s="493"/>
      <c r="E676" s="493"/>
      <c r="F676" s="493"/>
      <c r="G676" s="493"/>
      <c r="H676" s="493"/>
      <c r="I676" s="494"/>
      <c r="J676" s="493"/>
      <c r="K676" s="493"/>
    </row>
    <row r="677" spans="2:11" ht="12.75">
      <c r="B677" s="495" t="str">
        <f t="shared" si="0"/>
        <v/>
      </c>
      <c r="C677" s="493"/>
      <c r="D677" s="493"/>
      <c r="E677" s="493"/>
      <c r="F677" s="493"/>
      <c r="G677" s="493"/>
      <c r="H677" s="493"/>
      <c r="I677" s="494"/>
      <c r="J677" s="493"/>
      <c r="K677" s="493"/>
    </row>
    <row r="678" spans="2:11" ht="12.75">
      <c r="B678" s="495" t="str">
        <f t="shared" si="0"/>
        <v/>
      </c>
      <c r="C678" s="493"/>
      <c r="D678" s="493"/>
      <c r="E678" s="493"/>
      <c r="F678" s="493"/>
      <c r="G678" s="493"/>
      <c r="H678" s="493"/>
      <c r="I678" s="494"/>
      <c r="J678" s="493"/>
      <c r="K678" s="493"/>
    </row>
    <row r="679" spans="2:11" ht="12.75">
      <c r="B679" s="495" t="str">
        <f t="shared" si="0"/>
        <v/>
      </c>
      <c r="C679" s="493"/>
      <c r="D679" s="493"/>
      <c r="E679" s="493"/>
      <c r="F679" s="493"/>
      <c r="G679" s="493"/>
      <c r="H679" s="493"/>
      <c r="I679" s="494"/>
      <c r="J679" s="493"/>
      <c r="K679" s="493"/>
    </row>
    <row r="680" spans="2:11" ht="12.75">
      <c r="B680" s="495" t="str">
        <f t="shared" si="0"/>
        <v/>
      </c>
      <c r="C680" s="493"/>
      <c r="D680" s="493"/>
      <c r="E680" s="493"/>
      <c r="F680" s="493"/>
      <c r="G680" s="493"/>
      <c r="H680" s="493"/>
      <c r="I680" s="494"/>
      <c r="J680" s="493"/>
      <c r="K680" s="493"/>
    </row>
    <row r="681" spans="2:11" ht="12.75">
      <c r="B681" s="495" t="str">
        <f t="shared" si="0"/>
        <v/>
      </c>
      <c r="C681" s="493"/>
      <c r="D681" s="493"/>
      <c r="E681" s="493"/>
      <c r="F681" s="493"/>
      <c r="G681" s="493"/>
      <c r="H681" s="493"/>
      <c r="I681" s="494"/>
      <c r="J681" s="493"/>
      <c r="K681" s="493"/>
    </row>
    <row r="682" spans="2:11" ht="12.75">
      <c r="B682" s="495" t="str">
        <f t="shared" si="0"/>
        <v/>
      </c>
      <c r="C682" s="493"/>
      <c r="D682" s="493"/>
      <c r="E682" s="493"/>
      <c r="F682" s="493"/>
      <c r="G682" s="493"/>
      <c r="H682" s="493"/>
      <c r="I682" s="494"/>
      <c r="J682" s="493"/>
      <c r="K682" s="493"/>
    </row>
    <row r="683" spans="2:11" ht="12.75">
      <c r="B683" s="495" t="str">
        <f t="shared" si="0"/>
        <v/>
      </c>
      <c r="C683" s="493"/>
      <c r="D683" s="493"/>
      <c r="E683" s="493"/>
      <c r="F683" s="493"/>
      <c r="G683" s="493"/>
      <c r="H683" s="493"/>
      <c r="I683" s="494"/>
      <c r="J683" s="493"/>
      <c r="K683" s="493"/>
    </row>
    <row r="684" spans="2:11" ht="12.75">
      <c r="B684" s="495" t="str">
        <f t="shared" si="0"/>
        <v/>
      </c>
      <c r="C684" s="493"/>
      <c r="D684" s="493"/>
      <c r="E684" s="493"/>
      <c r="F684" s="493"/>
      <c r="G684" s="493"/>
      <c r="H684" s="493"/>
      <c r="I684" s="494"/>
      <c r="J684" s="493"/>
      <c r="K684" s="493"/>
    </row>
    <row r="685" spans="2:11" ht="12.75">
      <c r="B685" s="495" t="str">
        <f t="shared" si="0"/>
        <v/>
      </c>
      <c r="C685" s="493"/>
      <c r="D685" s="493"/>
      <c r="E685" s="493"/>
      <c r="F685" s="493"/>
      <c r="G685" s="493"/>
      <c r="H685" s="493"/>
      <c r="I685" s="494"/>
      <c r="J685" s="493"/>
      <c r="K685" s="493"/>
    </row>
    <row r="686" spans="2:11" ht="12.75">
      <c r="B686" s="495" t="str">
        <f t="shared" si="0"/>
        <v/>
      </c>
      <c r="C686" s="493"/>
      <c r="D686" s="493"/>
      <c r="E686" s="493"/>
      <c r="F686" s="493"/>
      <c r="G686" s="493"/>
      <c r="H686" s="493"/>
      <c r="I686" s="494"/>
      <c r="J686" s="493"/>
      <c r="K686" s="493"/>
    </row>
    <row r="687" spans="2:11" ht="12.75">
      <c r="B687" s="495" t="str">
        <f t="shared" si="0"/>
        <v/>
      </c>
      <c r="C687" s="493"/>
      <c r="D687" s="493"/>
      <c r="E687" s="493"/>
      <c r="F687" s="493"/>
      <c r="G687" s="493"/>
      <c r="H687" s="493"/>
      <c r="I687" s="494"/>
      <c r="J687" s="493"/>
      <c r="K687" s="493"/>
    </row>
    <row r="688" spans="2:11" ht="12.75">
      <c r="B688" s="495" t="str">
        <f t="shared" si="0"/>
        <v/>
      </c>
      <c r="C688" s="493"/>
      <c r="D688" s="493"/>
      <c r="E688" s="493"/>
      <c r="F688" s="493"/>
      <c r="G688" s="493"/>
      <c r="H688" s="493"/>
      <c r="I688" s="494"/>
      <c r="J688" s="493"/>
      <c r="K688" s="493"/>
    </row>
    <row r="689" spans="2:11" ht="12.75">
      <c r="B689" s="495" t="str">
        <f t="shared" si="0"/>
        <v/>
      </c>
      <c r="C689" s="493"/>
      <c r="D689" s="493"/>
      <c r="E689" s="493"/>
      <c r="F689" s="493"/>
      <c r="G689" s="493"/>
      <c r="H689" s="493"/>
      <c r="I689" s="494"/>
      <c r="J689" s="493"/>
      <c r="K689" s="493"/>
    </row>
    <row r="690" spans="2:11" ht="12.75">
      <c r="B690" s="495" t="str">
        <f t="shared" si="0"/>
        <v/>
      </c>
      <c r="C690" s="493"/>
      <c r="D690" s="493"/>
      <c r="E690" s="493"/>
      <c r="F690" s="493"/>
      <c r="G690" s="493"/>
      <c r="H690" s="493"/>
      <c r="I690" s="494"/>
      <c r="J690" s="493"/>
      <c r="K690" s="493"/>
    </row>
    <row r="691" spans="2:11" ht="12.75">
      <c r="B691" s="495" t="str">
        <f t="shared" si="0"/>
        <v/>
      </c>
      <c r="C691" s="493"/>
      <c r="D691" s="493"/>
      <c r="E691" s="493"/>
      <c r="F691" s="493"/>
      <c r="G691" s="493"/>
      <c r="H691" s="493"/>
      <c r="I691" s="494"/>
      <c r="J691" s="493"/>
      <c r="K691" s="493"/>
    </row>
    <row r="692" spans="2:11" ht="12.75">
      <c r="B692" s="495" t="str">
        <f t="shared" si="0"/>
        <v/>
      </c>
      <c r="C692" s="493"/>
      <c r="D692" s="493"/>
      <c r="E692" s="493"/>
      <c r="F692" s="493"/>
      <c r="G692" s="493"/>
      <c r="H692" s="493"/>
      <c r="I692" s="494"/>
      <c r="J692" s="493"/>
      <c r="K692" s="493"/>
    </row>
    <row r="693" spans="2:11" ht="12.75">
      <c r="B693" s="495" t="str">
        <f t="shared" si="0"/>
        <v/>
      </c>
      <c r="C693" s="493"/>
      <c r="D693" s="493"/>
      <c r="E693" s="493"/>
      <c r="F693" s="493"/>
      <c r="G693" s="493"/>
      <c r="H693" s="493"/>
      <c r="I693" s="494"/>
      <c r="J693" s="493"/>
      <c r="K693" s="493"/>
    </row>
    <row r="694" spans="2:11" ht="12.75">
      <c r="B694" s="495" t="str">
        <f t="shared" si="0"/>
        <v/>
      </c>
      <c r="C694" s="493"/>
      <c r="D694" s="493"/>
      <c r="E694" s="493"/>
      <c r="F694" s="493"/>
      <c r="G694" s="493"/>
      <c r="H694" s="493"/>
      <c r="I694" s="494"/>
      <c r="J694" s="493"/>
      <c r="K694" s="493"/>
    </row>
    <row r="695" spans="2:11" ht="12.75">
      <c r="B695" s="495" t="str">
        <f t="shared" si="0"/>
        <v/>
      </c>
      <c r="C695" s="493"/>
      <c r="D695" s="493"/>
      <c r="E695" s="493"/>
      <c r="F695" s="493"/>
      <c r="G695" s="493"/>
      <c r="H695" s="493"/>
      <c r="I695" s="494"/>
      <c r="J695" s="493"/>
      <c r="K695" s="493"/>
    </row>
    <row r="696" spans="2:11" ht="12.75">
      <c r="B696" s="495" t="str">
        <f t="shared" si="0"/>
        <v/>
      </c>
      <c r="C696" s="493"/>
      <c r="D696" s="493"/>
      <c r="E696" s="493"/>
      <c r="F696" s="493"/>
      <c r="G696" s="493"/>
      <c r="H696" s="493"/>
      <c r="I696" s="494"/>
      <c r="J696" s="493"/>
      <c r="K696" s="493"/>
    </row>
    <row r="697" spans="2:11" ht="12.75">
      <c r="B697" s="495" t="str">
        <f t="shared" si="0"/>
        <v/>
      </c>
      <c r="C697" s="493"/>
      <c r="D697" s="493"/>
      <c r="E697" s="493"/>
      <c r="F697" s="493"/>
      <c r="G697" s="493"/>
      <c r="H697" s="493"/>
      <c r="I697" s="494"/>
      <c r="J697" s="493"/>
      <c r="K697" s="493"/>
    </row>
    <row r="698" spans="2:11" ht="12.75">
      <c r="B698" s="495" t="str">
        <f t="shared" si="0"/>
        <v/>
      </c>
      <c r="C698" s="493"/>
      <c r="D698" s="493"/>
      <c r="E698" s="493"/>
      <c r="F698" s="493"/>
      <c r="G698" s="493"/>
      <c r="H698" s="493"/>
      <c r="I698" s="494"/>
      <c r="J698" s="493"/>
      <c r="K698" s="493"/>
    </row>
    <row r="699" spans="2:11" ht="12.75">
      <c r="B699" s="495" t="str">
        <f t="shared" si="0"/>
        <v/>
      </c>
      <c r="C699" s="493"/>
      <c r="D699" s="493"/>
      <c r="E699" s="493"/>
      <c r="F699" s="493"/>
      <c r="G699" s="493"/>
      <c r="H699" s="493"/>
      <c r="I699" s="494"/>
      <c r="J699" s="493"/>
      <c r="K699" s="493"/>
    </row>
    <row r="700" spans="2:11" ht="12.75">
      <c r="B700" s="495" t="str">
        <f t="shared" si="0"/>
        <v/>
      </c>
      <c r="C700" s="493"/>
      <c r="D700" s="493"/>
      <c r="E700" s="493"/>
      <c r="F700" s="493"/>
      <c r="G700" s="493"/>
      <c r="H700" s="493"/>
      <c r="I700" s="494"/>
      <c r="J700" s="493"/>
      <c r="K700" s="493"/>
    </row>
    <row r="701" spans="2:11" ht="12.75">
      <c r="B701" s="495" t="str">
        <f t="shared" si="0"/>
        <v/>
      </c>
      <c r="C701" s="493"/>
      <c r="D701" s="493"/>
      <c r="E701" s="493"/>
      <c r="F701" s="493"/>
      <c r="G701" s="493"/>
      <c r="H701" s="493"/>
      <c r="I701" s="494"/>
      <c r="J701" s="493"/>
      <c r="K701" s="493"/>
    </row>
    <row r="702" spans="2:11" ht="12.75">
      <c r="B702" s="495" t="str">
        <f t="shared" si="0"/>
        <v/>
      </c>
      <c r="C702" s="493"/>
      <c r="D702" s="493"/>
      <c r="E702" s="493"/>
      <c r="F702" s="493"/>
      <c r="G702" s="493"/>
      <c r="H702" s="493"/>
      <c r="I702" s="494"/>
      <c r="J702" s="493"/>
      <c r="K702" s="493"/>
    </row>
    <row r="703" spans="2:11" ht="12.75">
      <c r="B703" s="495" t="str">
        <f t="shared" si="0"/>
        <v/>
      </c>
      <c r="C703" s="493"/>
      <c r="D703" s="493"/>
      <c r="E703" s="493"/>
      <c r="F703" s="493"/>
      <c r="G703" s="493"/>
      <c r="H703" s="493"/>
      <c r="I703" s="494"/>
      <c r="J703" s="493"/>
      <c r="K703" s="493"/>
    </row>
    <row r="704" spans="2:11" ht="12.75">
      <c r="B704" s="495" t="str">
        <f t="shared" si="0"/>
        <v/>
      </c>
      <c r="C704" s="493"/>
      <c r="D704" s="493"/>
      <c r="E704" s="493"/>
      <c r="F704" s="493"/>
      <c r="G704" s="493"/>
      <c r="H704" s="493"/>
      <c r="I704" s="494"/>
      <c r="J704" s="493"/>
      <c r="K704" s="493"/>
    </row>
    <row r="705" spans="2:11" ht="12.75">
      <c r="B705" s="495" t="str">
        <f t="shared" si="0"/>
        <v/>
      </c>
      <c r="C705" s="493"/>
      <c r="D705" s="493"/>
      <c r="E705" s="493"/>
      <c r="F705" s="493"/>
      <c r="G705" s="493"/>
      <c r="H705" s="493"/>
      <c r="I705" s="494"/>
      <c r="J705" s="493"/>
      <c r="K705" s="493"/>
    </row>
    <row r="706" spans="2:11" ht="12.75">
      <c r="B706" s="495" t="str">
        <f t="shared" si="0"/>
        <v/>
      </c>
      <c r="C706" s="493"/>
      <c r="D706" s="493"/>
      <c r="E706" s="493"/>
      <c r="F706" s="493"/>
      <c r="G706" s="493"/>
      <c r="H706" s="493"/>
      <c r="I706" s="494"/>
      <c r="J706" s="493"/>
      <c r="K706" s="493"/>
    </row>
    <row r="707" spans="2:11" ht="12.75">
      <c r="B707" s="495" t="str">
        <f t="shared" si="0"/>
        <v/>
      </c>
      <c r="C707" s="493"/>
      <c r="D707" s="493"/>
      <c r="E707" s="493"/>
      <c r="F707" s="493"/>
      <c r="G707" s="493"/>
      <c r="H707" s="493"/>
      <c r="I707" s="494"/>
      <c r="J707" s="493"/>
      <c r="K707" s="493"/>
    </row>
    <row r="708" spans="2:11" ht="12.75">
      <c r="B708" s="495" t="str">
        <f t="shared" si="0"/>
        <v/>
      </c>
      <c r="C708" s="493"/>
      <c r="D708" s="493"/>
      <c r="E708" s="493"/>
      <c r="F708" s="493"/>
      <c r="G708" s="493"/>
      <c r="H708" s="493"/>
      <c r="I708" s="494"/>
      <c r="J708" s="493"/>
      <c r="K708" s="493"/>
    </row>
    <row r="709" spans="2:11" ht="12.75">
      <c r="B709" s="495" t="str">
        <f t="shared" si="0"/>
        <v/>
      </c>
      <c r="C709" s="493"/>
      <c r="D709" s="493"/>
      <c r="E709" s="493"/>
      <c r="F709" s="493"/>
      <c r="G709" s="493"/>
      <c r="H709" s="493"/>
      <c r="I709" s="494"/>
      <c r="J709" s="493"/>
      <c r="K709" s="493"/>
    </row>
    <row r="710" spans="2:11" ht="12.75">
      <c r="B710" s="495" t="str">
        <f t="shared" si="0"/>
        <v/>
      </c>
      <c r="C710" s="493"/>
      <c r="D710" s="493"/>
      <c r="E710" s="493"/>
      <c r="F710" s="493"/>
      <c r="G710" s="493"/>
      <c r="H710" s="493"/>
      <c r="I710" s="494"/>
      <c r="J710" s="493"/>
      <c r="K710" s="493"/>
    </row>
    <row r="711" spans="2:11" ht="12.75">
      <c r="B711" s="495" t="str">
        <f t="shared" si="0"/>
        <v/>
      </c>
      <c r="C711" s="493"/>
      <c r="D711" s="493"/>
      <c r="E711" s="493"/>
      <c r="F711" s="493"/>
      <c r="G711" s="493"/>
      <c r="H711" s="493"/>
      <c r="I711" s="494"/>
      <c r="J711" s="493"/>
      <c r="K711" s="493"/>
    </row>
    <row r="712" spans="2:11" ht="12.75">
      <c r="B712" s="495" t="str">
        <f t="shared" si="0"/>
        <v/>
      </c>
      <c r="C712" s="493"/>
      <c r="D712" s="493"/>
      <c r="E712" s="493"/>
      <c r="F712" s="493"/>
      <c r="G712" s="493"/>
      <c r="H712" s="493"/>
      <c r="I712" s="494"/>
      <c r="J712" s="493"/>
      <c r="K712" s="493"/>
    </row>
    <row r="713" spans="2:11" ht="12.75">
      <c r="B713" s="495" t="str">
        <f t="shared" si="0"/>
        <v/>
      </c>
      <c r="C713" s="493"/>
      <c r="D713" s="493"/>
      <c r="E713" s="493"/>
      <c r="F713" s="493"/>
      <c r="G713" s="493"/>
      <c r="H713" s="493"/>
      <c r="I713" s="494"/>
      <c r="J713" s="493"/>
      <c r="K713" s="493"/>
    </row>
    <row r="714" spans="2:11" ht="12.75">
      <c r="B714" s="495" t="str">
        <f t="shared" si="0"/>
        <v/>
      </c>
      <c r="C714" s="493"/>
      <c r="D714" s="493"/>
      <c r="E714" s="493"/>
      <c r="F714" s="493"/>
      <c r="G714" s="493"/>
      <c r="H714" s="493"/>
      <c r="I714" s="494"/>
      <c r="J714" s="493"/>
      <c r="K714" s="493"/>
    </row>
    <row r="715" spans="2:11" ht="12.75">
      <c r="B715" s="495" t="str">
        <f t="shared" si="0"/>
        <v/>
      </c>
      <c r="C715" s="493"/>
      <c r="D715" s="493"/>
      <c r="E715" s="493"/>
      <c r="F715" s="493"/>
      <c r="G715" s="493"/>
      <c r="H715" s="493"/>
      <c r="I715" s="494"/>
      <c r="J715" s="493"/>
      <c r="K715" s="493"/>
    </row>
    <row r="716" spans="2:11" ht="12.75">
      <c r="B716" s="495" t="str">
        <f t="shared" si="0"/>
        <v/>
      </c>
      <c r="C716" s="493"/>
      <c r="D716" s="493"/>
      <c r="E716" s="493"/>
      <c r="F716" s="493"/>
      <c r="G716" s="493"/>
      <c r="H716" s="493"/>
      <c r="I716" s="494"/>
      <c r="J716" s="493"/>
      <c r="K716" s="493"/>
    </row>
    <row r="717" spans="2:11" ht="12.75">
      <c r="B717" s="495" t="str">
        <f t="shared" si="0"/>
        <v/>
      </c>
      <c r="C717" s="493"/>
      <c r="D717" s="493"/>
      <c r="E717" s="493"/>
      <c r="F717" s="493"/>
      <c r="G717" s="493"/>
      <c r="H717" s="493"/>
      <c r="I717" s="494"/>
      <c r="J717" s="493"/>
      <c r="K717" s="493"/>
    </row>
    <row r="718" spans="2:11" ht="12.75">
      <c r="B718" s="495" t="str">
        <f t="shared" si="0"/>
        <v/>
      </c>
      <c r="C718" s="493"/>
      <c r="D718" s="493"/>
      <c r="E718" s="493"/>
      <c r="F718" s="493"/>
      <c r="G718" s="493"/>
      <c r="H718" s="493"/>
      <c r="I718" s="494"/>
      <c r="J718" s="493"/>
      <c r="K718" s="493"/>
    </row>
    <row r="719" spans="2:11" ht="12.75">
      <c r="B719" s="495" t="str">
        <f t="shared" si="0"/>
        <v/>
      </c>
      <c r="C719" s="493"/>
      <c r="D719" s="493"/>
      <c r="E719" s="493"/>
      <c r="F719" s="493"/>
      <c r="G719" s="493"/>
      <c r="H719" s="493"/>
      <c r="I719" s="494"/>
      <c r="J719" s="493"/>
      <c r="K719" s="493"/>
    </row>
    <row r="720" spans="2:11" ht="12.75">
      <c r="B720" s="495" t="str">
        <f t="shared" si="0"/>
        <v/>
      </c>
      <c r="C720" s="493"/>
      <c r="D720" s="493"/>
      <c r="E720" s="493"/>
      <c r="F720" s="493"/>
      <c r="G720" s="493"/>
      <c r="H720" s="493"/>
      <c r="I720" s="494"/>
      <c r="J720" s="493"/>
      <c r="K720" s="493"/>
    </row>
    <row r="721" spans="2:11" ht="12.75">
      <c r="B721" s="495" t="str">
        <f t="shared" si="0"/>
        <v/>
      </c>
      <c r="C721" s="493"/>
      <c r="D721" s="493"/>
      <c r="E721" s="493"/>
      <c r="F721" s="493"/>
      <c r="G721" s="493"/>
      <c r="H721" s="493"/>
      <c r="I721" s="494"/>
      <c r="J721" s="493"/>
      <c r="K721" s="493"/>
    </row>
    <row r="722" spans="2:11" ht="12.75">
      <c r="B722" s="495" t="str">
        <f t="shared" si="0"/>
        <v/>
      </c>
      <c r="C722" s="493"/>
      <c r="D722" s="493"/>
      <c r="E722" s="493"/>
      <c r="F722" s="493"/>
      <c r="G722" s="493"/>
      <c r="H722" s="493"/>
      <c r="I722" s="494"/>
      <c r="J722" s="493"/>
      <c r="K722" s="493"/>
    </row>
    <row r="723" spans="2:11" ht="12.75">
      <c r="B723" s="495" t="str">
        <f t="shared" si="0"/>
        <v/>
      </c>
      <c r="C723" s="493"/>
      <c r="D723" s="493"/>
      <c r="E723" s="493"/>
      <c r="F723" s="493"/>
      <c r="G723" s="493"/>
      <c r="H723" s="493"/>
      <c r="I723" s="494"/>
      <c r="J723" s="493"/>
      <c r="K723" s="493"/>
    </row>
    <row r="724" spans="2:11" ht="12.75">
      <c r="B724" s="495" t="str">
        <f t="shared" si="0"/>
        <v/>
      </c>
      <c r="C724" s="493"/>
      <c r="D724" s="493"/>
      <c r="E724" s="493"/>
      <c r="F724" s="493"/>
      <c r="G724" s="493"/>
      <c r="H724" s="493"/>
      <c r="I724" s="494"/>
      <c r="J724" s="493"/>
      <c r="K724" s="493"/>
    </row>
    <row r="725" spans="2:11" ht="12.75">
      <c r="B725" s="495" t="str">
        <f t="shared" si="0"/>
        <v/>
      </c>
      <c r="C725" s="493"/>
      <c r="D725" s="493"/>
      <c r="E725" s="493"/>
      <c r="F725" s="493"/>
      <c r="G725" s="493"/>
      <c r="H725" s="493"/>
      <c r="I725" s="494"/>
      <c r="J725" s="493"/>
      <c r="K725" s="493"/>
    </row>
    <row r="726" spans="2:11" ht="12.75">
      <c r="B726" s="495" t="str">
        <f t="shared" si="0"/>
        <v/>
      </c>
      <c r="C726" s="493"/>
      <c r="D726" s="493"/>
      <c r="E726" s="493"/>
      <c r="F726" s="493"/>
      <c r="G726" s="493"/>
      <c r="H726" s="493"/>
      <c r="I726" s="494"/>
      <c r="J726" s="493"/>
      <c r="K726" s="493"/>
    </row>
    <row r="727" spans="2:11" ht="12.75">
      <c r="B727" s="495" t="str">
        <f t="shared" si="0"/>
        <v/>
      </c>
      <c r="C727" s="493"/>
      <c r="D727" s="493"/>
      <c r="E727" s="493"/>
      <c r="F727" s="493"/>
      <c r="G727" s="493"/>
      <c r="H727" s="493"/>
      <c r="I727" s="494"/>
      <c r="J727" s="493"/>
      <c r="K727" s="493"/>
    </row>
    <row r="728" spans="2:11" ht="12.75">
      <c r="B728" s="495" t="str">
        <f t="shared" si="0"/>
        <v/>
      </c>
      <c r="C728" s="493"/>
      <c r="D728" s="493"/>
      <c r="E728" s="493"/>
      <c r="F728" s="493"/>
      <c r="G728" s="493"/>
      <c r="H728" s="493"/>
      <c r="I728" s="494"/>
      <c r="J728" s="493"/>
      <c r="K728" s="493"/>
    </row>
    <row r="729" spans="2:11" ht="12.75">
      <c r="B729" s="495" t="str">
        <f t="shared" si="0"/>
        <v/>
      </c>
      <c r="C729" s="493"/>
      <c r="D729" s="493"/>
      <c r="E729" s="493"/>
      <c r="F729" s="493"/>
      <c r="G729" s="493"/>
      <c r="H729" s="493"/>
      <c r="I729" s="494"/>
      <c r="J729" s="493"/>
      <c r="K729" s="493"/>
    </row>
    <row r="730" spans="2:11" ht="12.75">
      <c r="B730" s="495" t="str">
        <f t="shared" si="0"/>
        <v/>
      </c>
      <c r="C730" s="493"/>
      <c r="D730" s="493"/>
      <c r="E730" s="493"/>
      <c r="F730" s="493"/>
      <c r="G730" s="493"/>
      <c r="H730" s="493"/>
      <c r="I730" s="494"/>
      <c r="J730" s="493"/>
      <c r="K730" s="493"/>
    </row>
    <row r="731" spans="2:11" ht="12.75">
      <c r="B731" s="495" t="str">
        <f t="shared" si="0"/>
        <v/>
      </c>
      <c r="C731" s="493"/>
      <c r="D731" s="493"/>
      <c r="E731" s="493"/>
      <c r="F731" s="493"/>
      <c r="G731" s="493"/>
      <c r="H731" s="493"/>
      <c r="I731" s="494"/>
      <c r="J731" s="493"/>
      <c r="K731" s="493"/>
    </row>
    <row r="732" spans="2:11" ht="12.75">
      <c r="B732" s="495" t="str">
        <f t="shared" si="0"/>
        <v/>
      </c>
      <c r="C732" s="493"/>
      <c r="D732" s="493"/>
      <c r="E732" s="493"/>
      <c r="F732" s="493"/>
      <c r="G732" s="493"/>
      <c r="H732" s="493"/>
      <c r="I732" s="494"/>
      <c r="J732" s="493"/>
      <c r="K732" s="493"/>
    </row>
    <row r="733" spans="2:11" ht="12.75">
      <c r="B733" s="495" t="str">
        <f t="shared" si="0"/>
        <v/>
      </c>
      <c r="C733" s="493"/>
      <c r="D733" s="493"/>
      <c r="E733" s="493"/>
      <c r="F733" s="493"/>
      <c r="G733" s="493"/>
      <c r="H733" s="493"/>
      <c r="I733" s="494"/>
      <c r="J733" s="493"/>
      <c r="K733" s="493"/>
    </row>
    <row r="734" spans="2:11" ht="12.75">
      <c r="B734" s="495" t="str">
        <f t="shared" si="0"/>
        <v/>
      </c>
      <c r="C734" s="493"/>
      <c r="D734" s="493"/>
      <c r="E734" s="493"/>
      <c r="F734" s="493"/>
      <c r="G734" s="493"/>
      <c r="H734" s="493"/>
      <c r="I734" s="494"/>
      <c r="J734" s="493"/>
      <c r="K734" s="493"/>
    </row>
    <row r="735" spans="2:11" ht="12.75">
      <c r="B735" s="495" t="str">
        <f t="shared" si="0"/>
        <v/>
      </c>
      <c r="C735" s="493"/>
      <c r="D735" s="493"/>
      <c r="E735" s="493"/>
      <c r="F735" s="493"/>
      <c r="G735" s="493"/>
      <c r="H735" s="493"/>
      <c r="I735" s="494"/>
      <c r="J735" s="493"/>
      <c r="K735" s="493"/>
    </row>
    <row r="736" spans="2:11" ht="12.75">
      <c r="B736" s="495" t="str">
        <f t="shared" si="0"/>
        <v/>
      </c>
      <c r="C736" s="493"/>
      <c r="D736" s="493"/>
      <c r="E736" s="493"/>
      <c r="F736" s="493"/>
      <c r="G736" s="493"/>
      <c r="H736" s="493"/>
      <c r="I736" s="494"/>
      <c r="J736" s="493"/>
      <c r="K736" s="493"/>
    </row>
    <row r="737" spans="2:11" ht="12.75">
      <c r="B737" s="495" t="str">
        <f t="shared" si="0"/>
        <v/>
      </c>
      <c r="C737" s="493"/>
      <c r="D737" s="493"/>
      <c r="E737" s="493"/>
      <c r="F737" s="493"/>
      <c r="G737" s="493"/>
      <c r="H737" s="493"/>
      <c r="I737" s="494"/>
      <c r="J737" s="493"/>
      <c r="K737" s="493"/>
    </row>
    <row r="738" spans="2:11" ht="12.75">
      <c r="B738" s="495" t="str">
        <f t="shared" si="0"/>
        <v/>
      </c>
      <c r="C738" s="493"/>
      <c r="D738" s="493"/>
      <c r="E738" s="493"/>
      <c r="F738" s="493"/>
      <c r="G738" s="493"/>
      <c r="H738" s="493"/>
      <c r="I738" s="494"/>
      <c r="J738" s="493"/>
      <c r="K738" s="493"/>
    </row>
    <row r="739" spans="2:11" ht="12.75">
      <c r="B739" s="495" t="str">
        <f t="shared" si="0"/>
        <v/>
      </c>
      <c r="C739" s="493"/>
      <c r="D739" s="493"/>
      <c r="E739" s="493"/>
      <c r="F739" s="493"/>
      <c r="G739" s="493"/>
      <c r="H739" s="493"/>
      <c r="I739" s="494"/>
      <c r="J739" s="493"/>
      <c r="K739" s="493"/>
    </row>
    <row r="740" spans="2:11" ht="12.75">
      <c r="B740" s="495" t="str">
        <f t="shared" si="0"/>
        <v/>
      </c>
      <c r="C740" s="493"/>
      <c r="D740" s="493"/>
      <c r="E740" s="493"/>
      <c r="F740" s="493"/>
      <c r="G740" s="493"/>
      <c r="H740" s="493"/>
      <c r="I740" s="494"/>
      <c r="J740" s="493"/>
      <c r="K740" s="493"/>
    </row>
    <row r="741" spans="2:11" ht="12.75">
      <c r="B741" s="495" t="str">
        <f t="shared" si="0"/>
        <v/>
      </c>
      <c r="C741" s="493"/>
      <c r="D741" s="493"/>
      <c r="E741" s="493"/>
      <c r="F741" s="493"/>
      <c r="G741" s="493"/>
      <c r="H741" s="493"/>
      <c r="I741" s="494"/>
      <c r="J741" s="493"/>
      <c r="K741" s="493"/>
    </row>
    <row r="742" spans="2:11" ht="12.75">
      <c r="B742" s="495" t="str">
        <f t="shared" si="0"/>
        <v/>
      </c>
      <c r="C742" s="493"/>
      <c r="D742" s="493"/>
      <c r="E742" s="493"/>
      <c r="F742" s="493"/>
      <c r="G742" s="493"/>
      <c r="H742" s="493"/>
      <c r="I742" s="494"/>
      <c r="J742" s="493"/>
      <c r="K742" s="493"/>
    </row>
    <row r="743" spans="2:11" ht="12.75">
      <c r="B743" s="495" t="str">
        <f t="shared" si="0"/>
        <v/>
      </c>
      <c r="C743" s="493"/>
      <c r="D743" s="493"/>
      <c r="E743" s="493"/>
      <c r="F743" s="493"/>
      <c r="G743" s="493"/>
      <c r="H743" s="493"/>
      <c r="I743" s="494"/>
      <c r="J743" s="493"/>
      <c r="K743" s="493"/>
    </row>
    <row r="744" spans="2:11" ht="12.75">
      <c r="B744" s="495" t="str">
        <f t="shared" si="0"/>
        <v/>
      </c>
      <c r="C744" s="493"/>
      <c r="D744" s="493"/>
      <c r="E744" s="493"/>
      <c r="F744" s="493"/>
      <c r="G744" s="493"/>
      <c r="H744" s="493"/>
      <c r="I744" s="494"/>
      <c r="J744" s="493"/>
      <c r="K744" s="493"/>
    </row>
    <row r="745" spans="2:11" ht="12.75">
      <c r="B745" s="495" t="str">
        <f t="shared" si="0"/>
        <v/>
      </c>
      <c r="C745" s="493"/>
      <c r="D745" s="493"/>
      <c r="E745" s="493"/>
      <c r="F745" s="493"/>
      <c r="G745" s="493"/>
      <c r="H745" s="493"/>
      <c r="I745" s="494"/>
      <c r="J745" s="493"/>
      <c r="K745" s="493"/>
    </row>
    <row r="746" spans="2:11" ht="12.75">
      <c r="B746" s="495" t="str">
        <f t="shared" si="0"/>
        <v/>
      </c>
      <c r="C746" s="493"/>
      <c r="D746" s="493"/>
      <c r="E746" s="493"/>
      <c r="F746" s="493"/>
      <c r="G746" s="493"/>
      <c r="H746" s="493"/>
      <c r="I746" s="494"/>
      <c r="J746" s="493"/>
      <c r="K746" s="493"/>
    </row>
    <row r="747" spans="2:11" ht="12.75">
      <c r="B747" s="495" t="str">
        <f t="shared" si="0"/>
        <v/>
      </c>
      <c r="C747" s="493"/>
      <c r="D747" s="493"/>
      <c r="E747" s="493"/>
      <c r="F747" s="493"/>
      <c r="G747" s="493"/>
      <c r="H747" s="493"/>
      <c r="I747" s="494"/>
      <c r="J747" s="493"/>
      <c r="K747" s="493"/>
    </row>
    <row r="748" spans="2:11" ht="12.75">
      <c r="B748" s="495" t="str">
        <f t="shared" si="0"/>
        <v/>
      </c>
      <c r="C748" s="493"/>
      <c r="D748" s="493"/>
      <c r="E748" s="493"/>
      <c r="F748" s="493"/>
      <c r="G748" s="493"/>
      <c r="H748" s="493"/>
      <c r="I748" s="494"/>
      <c r="J748" s="493"/>
      <c r="K748" s="493"/>
    </row>
    <row r="749" spans="2:11" ht="12.75">
      <c r="B749" s="495" t="str">
        <f t="shared" si="0"/>
        <v/>
      </c>
      <c r="C749" s="493"/>
      <c r="D749" s="493"/>
      <c r="E749" s="493"/>
      <c r="F749" s="493"/>
      <c r="G749" s="493"/>
      <c r="H749" s="493"/>
      <c r="I749" s="494"/>
      <c r="J749" s="493"/>
      <c r="K749" s="493"/>
    </row>
    <row r="750" spans="2:11" ht="12.75">
      <c r="B750" s="495" t="str">
        <f t="shared" si="0"/>
        <v/>
      </c>
      <c r="C750" s="493"/>
      <c r="D750" s="493"/>
      <c r="E750" s="493"/>
      <c r="F750" s="493"/>
      <c r="G750" s="493"/>
      <c r="H750" s="493"/>
      <c r="I750" s="494"/>
      <c r="J750" s="493"/>
      <c r="K750" s="493"/>
    </row>
    <row r="751" spans="2:11" ht="12.75">
      <c r="B751" s="495" t="str">
        <f t="shared" si="0"/>
        <v/>
      </c>
      <c r="C751" s="493"/>
      <c r="D751" s="493"/>
      <c r="E751" s="493"/>
      <c r="F751" s="493"/>
      <c r="G751" s="493"/>
      <c r="H751" s="493"/>
      <c r="I751" s="494"/>
      <c r="J751" s="493"/>
      <c r="K751" s="493"/>
    </row>
    <row r="752" spans="2:11" ht="12.75">
      <c r="B752" s="495" t="str">
        <f t="shared" si="0"/>
        <v/>
      </c>
      <c r="C752" s="493"/>
      <c r="D752" s="493"/>
      <c r="E752" s="493"/>
      <c r="F752" s="493"/>
      <c r="G752" s="493"/>
      <c r="H752" s="493"/>
      <c r="I752" s="494"/>
      <c r="J752" s="493"/>
      <c r="K752" s="493"/>
    </row>
    <row r="753" spans="2:11" ht="12.75">
      <c r="B753" s="495" t="str">
        <f t="shared" si="0"/>
        <v/>
      </c>
      <c r="C753" s="493"/>
      <c r="D753" s="493"/>
      <c r="E753" s="493"/>
      <c r="F753" s="493"/>
      <c r="G753" s="493"/>
      <c r="H753" s="493"/>
      <c r="I753" s="494"/>
      <c r="J753" s="493"/>
      <c r="K753" s="493"/>
    </row>
    <row r="754" spans="2:11" ht="12.75">
      <c r="B754" s="495" t="str">
        <f t="shared" si="0"/>
        <v/>
      </c>
      <c r="C754" s="493"/>
      <c r="D754" s="493"/>
      <c r="E754" s="493"/>
      <c r="F754" s="493"/>
      <c r="G754" s="493"/>
      <c r="H754" s="493"/>
      <c r="I754" s="494"/>
      <c r="J754" s="493"/>
      <c r="K754" s="493"/>
    </row>
    <row r="755" spans="2:11" ht="12.75">
      <c r="B755" s="495" t="str">
        <f t="shared" si="0"/>
        <v/>
      </c>
      <c r="C755" s="493"/>
      <c r="D755" s="493"/>
      <c r="E755" s="493"/>
      <c r="F755" s="493"/>
      <c r="G755" s="493"/>
      <c r="H755" s="493"/>
      <c r="I755" s="494"/>
      <c r="J755" s="493"/>
      <c r="K755" s="493"/>
    </row>
    <row r="756" spans="2:11" ht="12.75">
      <c r="B756" s="495" t="str">
        <f t="shared" si="0"/>
        <v/>
      </c>
      <c r="C756" s="493"/>
      <c r="D756" s="493"/>
      <c r="E756" s="493"/>
      <c r="F756" s="493"/>
      <c r="G756" s="493"/>
      <c r="H756" s="493"/>
      <c r="I756" s="494"/>
      <c r="J756" s="493"/>
      <c r="K756" s="493"/>
    </row>
    <row r="757" spans="2:11" ht="12.75">
      <c r="B757" s="495" t="str">
        <f t="shared" si="0"/>
        <v/>
      </c>
      <c r="C757" s="493"/>
      <c r="D757" s="493"/>
      <c r="E757" s="493"/>
      <c r="F757" s="493"/>
      <c r="G757" s="493"/>
      <c r="H757" s="493"/>
      <c r="I757" s="494"/>
      <c r="J757" s="493"/>
      <c r="K757" s="493"/>
    </row>
    <row r="758" spans="2:11" ht="12.75">
      <c r="B758" s="495" t="str">
        <f t="shared" si="0"/>
        <v/>
      </c>
      <c r="C758" s="493"/>
      <c r="D758" s="493"/>
      <c r="E758" s="493"/>
      <c r="F758" s="493"/>
      <c r="G758" s="493"/>
      <c r="H758" s="493"/>
      <c r="I758" s="494"/>
      <c r="J758" s="493"/>
      <c r="K758" s="493"/>
    </row>
    <row r="759" spans="2:11" ht="12.75">
      <c r="B759" s="495" t="str">
        <f t="shared" si="0"/>
        <v/>
      </c>
      <c r="C759" s="493"/>
      <c r="D759" s="493"/>
      <c r="E759" s="493"/>
      <c r="F759" s="493"/>
      <c r="G759" s="493"/>
      <c r="H759" s="493"/>
      <c r="I759" s="494"/>
      <c r="J759" s="493"/>
      <c r="K759" s="493"/>
    </row>
    <row r="760" spans="2:11" ht="12.75">
      <c r="B760" s="495" t="str">
        <f t="shared" si="0"/>
        <v/>
      </c>
      <c r="C760" s="493"/>
      <c r="D760" s="493"/>
      <c r="E760" s="493"/>
      <c r="F760" s="493"/>
      <c r="G760" s="493"/>
      <c r="H760" s="493"/>
      <c r="I760" s="494"/>
      <c r="J760" s="493"/>
      <c r="K760" s="493"/>
    </row>
    <row r="761" spans="2:11" ht="12.75">
      <c r="B761" s="495" t="str">
        <f t="shared" si="0"/>
        <v/>
      </c>
      <c r="C761" s="493"/>
      <c r="D761" s="493"/>
      <c r="E761" s="493"/>
      <c r="F761" s="493"/>
      <c r="G761" s="493"/>
      <c r="H761" s="493"/>
      <c r="I761" s="494"/>
      <c r="J761" s="493"/>
      <c r="K761" s="493"/>
    </row>
    <row r="762" spans="2:11" ht="12.75">
      <c r="B762" s="495" t="str">
        <f t="shared" si="0"/>
        <v/>
      </c>
      <c r="C762" s="493"/>
      <c r="D762" s="493"/>
      <c r="E762" s="493"/>
      <c r="F762" s="493"/>
      <c r="G762" s="493"/>
      <c r="H762" s="493"/>
      <c r="I762" s="494"/>
      <c r="J762" s="493"/>
      <c r="K762" s="493"/>
    </row>
    <row r="763" spans="2:11" ht="12.75">
      <c r="B763" s="495" t="str">
        <f t="shared" si="0"/>
        <v/>
      </c>
      <c r="C763" s="493"/>
      <c r="D763" s="493"/>
      <c r="E763" s="493"/>
      <c r="F763" s="493"/>
      <c r="G763" s="493"/>
      <c r="H763" s="493"/>
      <c r="I763" s="494"/>
      <c r="J763" s="493"/>
      <c r="K763" s="493"/>
    </row>
    <row r="764" spans="2:11" ht="12.75">
      <c r="B764" s="495" t="str">
        <f t="shared" si="0"/>
        <v/>
      </c>
      <c r="C764" s="493"/>
      <c r="D764" s="493"/>
      <c r="E764" s="493"/>
      <c r="F764" s="493"/>
      <c r="G764" s="493"/>
      <c r="H764" s="493"/>
      <c r="I764" s="494"/>
      <c r="J764" s="493"/>
      <c r="K764" s="493"/>
    </row>
    <row r="765" spans="2:11" ht="12.75">
      <c r="B765" s="495" t="str">
        <f t="shared" si="0"/>
        <v/>
      </c>
      <c r="C765" s="493"/>
      <c r="D765" s="493"/>
      <c r="E765" s="493"/>
      <c r="F765" s="493"/>
      <c r="G765" s="493"/>
      <c r="H765" s="493"/>
      <c r="I765" s="494"/>
      <c r="J765" s="493"/>
      <c r="K765" s="493"/>
    </row>
    <row r="766" spans="2:11" ht="12.75">
      <c r="B766" s="495" t="str">
        <f t="shared" si="0"/>
        <v/>
      </c>
      <c r="C766" s="493"/>
      <c r="D766" s="493"/>
      <c r="E766" s="493"/>
      <c r="F766" s="493"/>
      <c r="G766" s="493"/>
      <c r="H766" s="493"/>
      <c r="I766" s="494"/>
      <c r="J766" s="493"/>
      <c r="K766" s="493"/>
    </row>
    <row r="767" spans="2:11" ht="12.75">
      <c r="B767" s="495" t="str">
        <f t="shared" si="0"/>
        <v/>
      </c>
      <c r="C767" s="493"/>
      <c r="D767" s="493"/>
      <c r="E767" s="493"/>
      <c r="F767" s="493"/>
      <c r="G767" s="493"/>
      <c r="H767" s="493"/>
      <c r="I767" s="494"/>
      <c r="J767" s="493"/>
      <c r="K767" s="493"/>
    </row>
    <row r="768" spans="2:11" ht="12.75">
      <c r="B768" s="495" t="str">
        <f t="shared" si="0"/>
        <v/>
      </c>
      <c r="C768" s="493"/>
      <c r="D768" s="493"/>
      <c r="E768" s="493"/>
      <c r="F768" s="493"/>
      <c r="G768" s="493"/>
      <c r="H768" s="493"/>
      <c r="I768" s="494"/>
      <c r="J768" s="493"/>
      <c r="K768" s="493"/>
    </row>
    <row r="769" spans="2:11" ht="12.75">
      <c r="B769" s="495" t="str">
        <f t="shared" si="0"/>
        <v/>
      </c>
      <c r="C769" s="493"/>
      <c r="D769" s="493"/>
      <c r="E769" s="493"/>
      <c r="F769" s="493"/>
      <c r="G769" s="493"/>
      <c r="H769" s="493"/>
      <c r="I769" s="494"/>
      <c r="J769" s="493"/>
      <c r="K769" s="493"/>
    </row>
    <row r="770" spans="2:11" ht="12.75">
      <c r="B770" s="495" t="str">
        <f t="shared" si="0"/>
        <v/>
      </c>
      <c r="C770" s="493"/>
      <c r="D770" s="493"/>
      <c r="E770" s="493"/>
      <c r="F770" s="493"/>
      <c r="G770" s="493"/>
      <c r="H770" s="493"/>
      <c r="I770" s="494"/>
      <c r="J770" s="493"/>
      <c r="K770" s="493"/>
    </row>
    <row r="771" spans="2:11" ht="12.75">
      <c r="B771" s="495" t="str">
        <f t="shared" si="0"/>
        <v/>
      </c>
      <c r="C771" s="493"/>
      <c r="D771" s="493"/>
      <c r="E771" s="493"/>
      <c r="F771" s="493"/>
      <c r="G771" s="493"/>
      <c r="H771" s="493"/>
      <c r="I771" s="494"/>
      <c r="J771" s="493"/>
      <c r="K771" s="493"/>
    </row>
    <row r="772" spans="2:11" ht="12.75">
      <c r="B772" s="495" t="str">
        <f t="shared" si="0"/>
        <v/>
      </c>
      <c r="C772" s="493"/>
      <c r="D772" s="493"/>
      <c r="E772" s="493"/>
      <c r="F772" s="493"/>
      <c r="G772" s="493"/>
      <c r="H772" s="493"/>
      <c r="I772" s="494"/>
      <c r="J772" s="493"/>
      <c r="K772" s="493"/>
    </row>
    <row r="773" spans="2:11" ht="12.75">
      <c r="B773" s="495" t="str">
        <f t="shared" si="0"/>
        <v/>
      </c>
      <c r="C773" s="493"/>
      <c r="D773" s="493"/>
      <c r="E773" s="493"/>
      <c r="F773" s="493"/>
      <c r="G773" s="493"/>
      <c r="H773" s="493"/>
      <c r="I773" s="494"/>
      <c r="J773" s="493"/>
      <c r="K773" s="493"/>
    </row>
    <row r="774" spans="2:11" ht="12.75">
      <c r="B774" s="495" t="str">
        <f t="shared" si="0"/>
        <v/>
      </c>
      <c r="C774" s="493"/>
      <c r="D774" s="493"/>
      <c r="E774" s="493"/>
      <c r="F774" s="493"/>
      <c r="G774" s="493"/>
      <c r="H774" s="493"/>
      <c r="I774" s="494"/>
      <c r="J774" s="493"/>
      <c r="K774" s="493"/>
    </row>
    <row r="775" spans="2:11" ht="12.75">
      <c r="B775" s="495" t="str">
        <f t="shared" si="0"/>
        <v/>
      </c>
      <c r="C775" s="493"/>
      <c r="D775" s="493"/>
      <c r="E775" s="493"/>
      <c r="F775" s="493"/>
      <c r="G775" s="493"/>
      <c r="H775" s="493"/>
      <c r="I775" s="494"/>
      <c r="J775" s="493"/>
      <c r="K775" s="493"/>
    </row>
    <row r="776" spans="2:11" ht="12.75">
      <c r="B776" s="495" t="str">
        <f t="shared" si="0"/>
        <v/>
      </c>
      <c r="C776" s="493"/>
      <c r="D776" s="493"/>
      <c r="E776" s="493"/>
      <c r="F776" s="493"/>
      <c r="G776" s="493"/>
      <c r="H776" s="493"/>
      <c r="I776" s="494"/>
      <c r="J776" s="493"/>
      <c r="K776" s="493"/>
    </row>
    <row r="777" spans="2:11" ht="12.75">
      <c r="B777" s="495" t="str">
        <f t="shared" si="0"/>
        <v/>
      </c>
      <c r="C777" s="493"/>
      <c r="D777" s="493"/>
      <c r="E777" s="493"/>
      <c r="F777" s="493"/>
      <c r="G777" s="493"/>
      <c r="H777" s="493"/>
      <c r="I777" s="494"/>
      <c r="J777" s="493"/>
      <c r="K777" s="493"/>
    </row>
    <row r="778" spans="2:11" ht="12.75">
      <c r="B778" s="495" t="str">
        <f t="shared" si="0"/>
        <v/>
      </c>
      <c r="C778" s="493"/>
      <c r="D778" s="493"/>
      <c r="E778" s="493"/>
      <c r="F778" s="493"/>
      <c r="G778" s="493"/>
      <c r="H778" s="493"/>
      <c r="I778" s="494"/>
      <c r="J778" s="493"/>
      <c r="K778" s="493"/>
    </row>
    <row r="779" spans="2:11" ht="12.75">
      <c r="B779" s="495" t="str">
        <f t="shared" si="0"/>
        <v/>
      </c>
      <c r="C779" s="493"/>
      <c r="D779" s="493"/>
      <c r="E779" s="493"/>
      <c r="F779" s="493"/>
      <c r="G779" s="493"/>
      <c r="H779" s="493"/>
      <c r="I779" s="494"/>
      <c r="J779" s="493"/>
      <c r="K779" s="493"/>
    </row>
    <row r="780" spans="2:11" ht="12.75">
      <c r="B780" s="495" t="str">
        <f t="shared" si="0"/>
        <v/>
      </c>
      <c r="C780" s="493"/>
      <c r="D780" s="493"/>
      <c r="E780" s="493"/>
      <c r="F780" s="493"/>
      <c r="G780" s="493"/>
      <c r="H780" s="493"/>
      <c r="I780" s="494"/>
      <c r="J780" s="493"/>
      <c r="K780" s="493"/>
    </row>
    <row r="781" spans="2:11" ht="12.75">
      <c r="B781" s="495" t="str">
        <f t="shared" si="0"/>
        <v/>
      </c>
      <c r="C781" s="493"/>
      <c r="D781" s="493"/>
      <c r="E781" s="493"/>
      <c r="F781" s="493"/>
      <c r="G781" s="493"/>
      <c r="H781" s="493"/>
      <c r="I781" s="494"/>
      <c r="J781" s="493"/>
      <c r="K781" s="493"/>
    </row>
    <row r="782" spans="2:11" ht="12.75">
      <c r="B782" s="495" t="str">
        <f t="shared" si="0"/>
        <v/>
      </c>
      <c r="C782" s="493"/>
      <c r="D782" s="493"/>
      <c r="E782" s="493"/>
      <c r="F782" s="493"/>
      <c r="G782" s="493"/>
      <c r="H782" s="493"/>
      <c r="I782" s="494"/>
      <c r="J782" s="493"/>
      <c r="K782" s="493"/>
    </row>
    <row r="783" spans="2:11" ht="12.75">
      <c r="B783" s="495" t="str">
        <f t="shared" si="0"/>
        <v/>
      </c>
      <c r="C783" s="493"/>
      <c r="D783" s="493"/>
      <c r="E783" s="493"/>
      <c r="F783" s="493"/>
      <c r="G783" s="493"/>
      <c r="H783" s="493"/>
      <c r="I783" s="494"/>
      <c r="J783" s="493"/>
      <c r="K783" s="493"/>
    </row>
    <row r="784" spans="2:11" ht="12.75">
      <c r="B784" s="495" t="str">
        <f t="shared" si="0"/>
        <v/>
      </c>
      <c r="C784" s="493"/>
      <c r="D784" s="493"/>
      <c r="E784" s="493"/>
      <c r="F784" s="493"/>
      <c r="G784" s="493"/>
      <c r="H784" s="493"/>
      <c r="I784" s="494"/>
      <c r="J784" s="493"/>
      <c r="K784" s="493"/>
    </row>
    <row r="785" spans="2:11" ht="12.75">
      <c r="B785" s="495" t="str">
        <f t="shared" si="0"/>
        <v/>
      </c>
      <c r="C785" s="493"/>
      <c r="D785" s="493"/>
      <c r="E785" s="493"/>
      <c r="F785" s="493"/>
      <c r="G785" s="493"/>
      <c r="H785" s="493"/>
      <c r="I785" s="494"/>
      <c r="J785" s="493"/>
      <c r="K785" s="493"/>
    </row>
    <row r="786" spans="2:11" ht="12.75">
      <c r="B786" s="495" t="str">
        <f t="shared" si="0"/>
        <v/>
      </c>
      <c r="C786" s="493"/>
      <c r="D786" s="493"/>
      <c r="E786" s="493"/>
      <c r="F786" s="493"/>
      <c r="G786" s="493"/>
      <c r="H786" s="493"/>
      <c r="I786" s="494"/>
      <c r="J786" s="493"/>
      <c r="K786" s="493"/>
    </row>
    <row r="787" spans="2:11" ht="12.75">
      <c r="B787" s="495" t="str">
        <f t="shared" si="0"/>
        <v/>
      </c>
      <c r="C787" s="493"/>
      <c r="D787" s="493"/>
      <c r="E787" s="493"/>
      <c r="F787" s="493"/>
      <c r="G787" s="493"/>
      <c r="H787" s="493"/>
      <c r="I787" s="494"/>
      <c r="J787" s="493"/>
      <c r="K787" s="493"/>
    </row>
    <row r="788" spans="2:11" ht="12.75">
      <c r="B788" s="495" t="str">
        <f t="shared" si="0"/>
        <v/>
      </c>
      <c r="C788" s="493"/>
      <c r="D788" s="493"/>
      <c r="E788" s="493"/>
      <c r="F788" s="493"/>
      <c r="G788" s="493"/>
      <c r="H788" s="493"/>
      <c r="I788" s="494"/>
      <c r="J788" s="493"/>
      <c r="K788" s="493"/>
    </row>
    <row r="789" spans="2:11" ht="12.75">
      <c r="B789" s="495" t="str">
        <f t="shared" si="0"/>
        <v/>
      </c>
      <c r="C789" s="493"/>
      <c r="D789" s="493"/>
      <c r="E789" s="493"/>
      <c r="F789" s="493"/>
      <c r="G789" s="493"/>
      <c r="H789" s="493"/>
      <c r="I789" s="494"/>
      <c r="J789" s="493"/>
      <c r="K789" s="493"/>
    </row>
    <row r="790" spans="2:11" ht="12.75">
      <c r="B790" s="495" t="str">
        <f t="shared" si="0"/>
        <v/>
      </c>
      <c r="C790" s="493"/>
      <c r="D790" s="493"/>
      <c r="E790" s="493"/>
      <c r="F790" s="493"/>
      <c r="G790" s="493"/>
      <c r="H790" s="493"/>
      <c r="I790" s="494"/>
      <c r="J790" s="493"/>
      <c r="K790" s="493"/>
    </row>
    <row r="791" spans="2:11" ht="12.75">
      <c r="B791" s="495" t="str">
        <f t="shared" si="0"/>
        <v/>
      </c>
      <c r="C791" s="493"/>
      <c r="D791" s="493"/>
      <c r="E791" s="493"/>
      <c r="F791" s="493"/>
      <c r="G791" s="493"/>
      <c r="H791" s="493"/>
      <c r="I791" s="494"/>
      <c r="J791" s="493"/>
      <c r="K791" s="493"/>
    </row>
    <row r="792" spans="2:11" ht="12.75">
      <c r="B792" s="495" t="str">
        <f t="shared" si="0"/>
        <v/>
      </c>
      <c r="C792" s="493"/>
      <c r="D792" s="493"/>
      <c r="E792" s="493"/>
      <c r="F792" s="493"/>
      <c r="G792" s="493"/>
      <c r="H792" s="493"/>
      <c r="I792" s="494"/>
      <c r="J792" s="493"/>
      <c r="K792" s="493"/>
    </row>
    <row r="793" spans="2:11" ht="12.75">
      <c r="B793" s="495" t="str">
        <f t="shared" si="0"/>
        <v/>
      </c>
      <c r="C793" s="493"/>
      <c r="D793" s="493"/>
      <c r="E793" s="493"/>
      <c r="F793" s="493"/>
      <c r="G793" s="493"/>
      <c r="H793" s="493"/>
      <c r="I793" s="494"/>
      <c r="J793" s="493"/>
      <c r="K793" s="493"/>
    </row>
    <row r="794" spans="2:11" ht="12.75">
      <c r="B794" s="495" t="str">
        <f t="shared" si="0"/>
        <v/>
      </c>
      <c r="C794" s="493"/>
      <c r="D794" s="493"/>
      <c r="E794" s="493"/>
      <c r="F794" s="493"/>
      <c r="G794" s="493"/>
      <c r="H794" s="493"/>
      <c r="I794" s="494"/>
      <c r="J794" s="493"/>
      <c r="K794" s="493"/>
    </row>
    <row r="795" spans="2:11" ht="12.75">
      <c r="B795" s="495" t="str">
        <f t="shared" si="0"/>
        <v/>
      </c>
      <c r="C795" s="493"/>
      <c r="D795" s="493"/>
      <c r="E795" s="493"/>
      <c r="F795" s="493"/>
      <c r="G795" s="493"/>
      <c r="H795" s="493"/>
      <c r="I795" s="494"/>
      <c r="J795" s="493"/>
      <c r="K795" s="493"/>
    </row>
    <row r="796" spans="2:11" ht="12.75">
      <c r="B796" s="495" t="str">
        <f t="shared" si="0"/>
        <v/>
      </c>
      <c r="C796" s="493"/>
      <c r="D796" s="493"/>
      <c r="E796" s="493"/>
      <c r="F796" s="493"/>
      <c r="G796" s="493"/>
      <c r="H796" s="493"/>
      <c r="I796" s="494"/>
      <c r="J796" s="493"/>
      <c r="K796" s="493"/>
    </row>
    <row r="797" spans="2:11" ht="12.75">
      <c r="B797" s="495" t="str">
        <f t="shared" si="0"/>
        <v/>
      </c>
      <c r="C797" s="493"/>
      <c r="D797" s="493"/>
      <c r="E797" s="493"/>
      <c r="F797" s="493"/>
      <c r="G797" s="493"/>
      <c r="H797" s="493"/>
      <c r="I797" s="494"/>
      <c r="J797" s="493"/>
      <c r="K797" s="493"/>
    </row>
    <row r="798" spans="2:11" ht="12.75">
      <c r="B798" s="495" t="str">
        <f t="shared" si="0"/>
        <v/>
      </c>
      <c r="C798" s="493"/>
      <c r="D798" s="493"/>
      <c r="E798" s="493"/>
      <c r="F798" s="493"/>
      <c r="G798" s="493"/>
      <c r="H798" s="493"/>
      <c r="I798" s="494"/>
      <c r="J798" s="493"/>
      <c r="K798" s="493"/>
    </row>
    <row r="799" spans="2:11" ht="12.75">
      <c r="B799" s="495" t="str">
        <f t="shared" si="0"/>
        <v/>
      </c>
      <c r="C799" s="493"/>
      <c r="D799" s="493"/>
      <c r="E799" s="493"/>
      <c r="F799" s="493"/>
      <c r="G799" s="493"/>
      <c r="H799" s="493"/>
      <c r="I799" s="494"/>
      <c r="J799" s="493"/>
      <c r="K799" s="493"/>
    </row>
    <row r="800" spans="2:11" ht="12.75">
      <c r="B800" s="495" t="str">
        <f t="shared" si="0"/>
        <v/>
      </c>
      <c r="C800" s="493"/>
      <c r="D800" s="493"/>
      <c r="E800" s="493"/>
      <c r="F800" s="493"/>
      <c r="G800" s="493"/>
      <c r="H800" s="493"/>
      <c r="I800" s="494"/>
      <c r="J800" s="493"/>
      <c r="K800" s="493"/>
    </row>
    <row r="801" spans="2:11" ht="12.75">
      <c r="B801" s="495" t="str">
        <f t="shared" si="0"/>
        <v/>
      </c>
      <c r="C801" s="493"/>
      <c r="D801" s="493"/>
      <c r="E801" s="493"/>
      <c r="F801" s="493"/>
      <c r="G801" s="493"/>
      <c r="H801" s="493"/>
      <c r="I801" s="494"/>
      <c r="J801" s="493"/>
      <c r="K801" s="493"/>
    </row>
    <row r="802" spans="2:11" ht="12.75">
      <c r="B802" s="495" t="str">
        <f t="shared" si="0"/>
        <v/>
      </c>
      <c r="C802" s="493"/>
      <c r="D802" s="493"/>
      <c r="E802" s="493"/>
      <c r="F802" s="493"/>
      <c r="G802" s="493"/>
      <c r="H802" s="493"/>
      <c r="I802" s="494"/>
      <c r="J802" s="493"/>
      <c r="K802" s="493"/>
    </row>
    <row r="803" spans="2:11" ht="12.75">
      <c r="B803" s="495" t="str">
        <f t="shared" si="0"/>
        <v/>
      </c>
      <c r="C803" s="493"/>
      <c r="D803" s="493"/>
      <c r="E803" s="493"/>
      <c r="F803" s="493"/>
      <c r="G803" s="493"/>
      <c r="H803" s="493"/>
      <c r="I803" s="494"/>
      <c r="J803" s="493"/>
      <c r="K803" s="493"/>
    </row>
    <row r="804" spans="2:11" ht="12.75">
      <c r="B804" s="495" t="str">
        <f t="shared" si="0"/>
        <v/>
      </c>
      <c r="C804" s="493"/>
      <c r="D804" s="493"/>
      <c r="E804" s="493"/>
      <c r="F804" s="493"/>
      <c r="G804" s="493"/>
      <c r="H804" s="493"/>
      <c r="I804" s="494"/>
      <c r="J804" s="493"/>
      <c r="K804" s="493"/>
    </row>
    <row r="805" spans="2:11" ht="12.75">
      <c r="B805" s="495" t="str">
        <f t="shared" si="0"/>
        <v/>
      </c>
      <c r="C805" s="493"/>
      <c r="D805" s="493"/>
      <c r="E805" s="493"/>
      <c r="F805" s="493"/>
      <c r="G805" s="493"/>
      <c r="H805" s="493"/>
      <c r="I805" s="494"/>
      <c r="J805" s="493"/>
      <c r="K805" s="493"/>
    </row>
    <row r="806" spans="2:11" ht="12.75">
      <c r="B806" s="495" t="str">
        <f t="shared" si="0"/>
        <v/>
      </c>
      <c r="C806" s="493"/>
      <c r="D806" s="493"/>
      <c r="E806" s="493"/>
      <c r="F806" s="493"/>
      <c r="G806" s="493"/>
      <c r="H806" s="493"/>
      <c r="I806" s="494"/>
      <c r="J806" s="493"/>
      <c r="K806" s="493"/>
    </row>
    <row r="807" spans="2:11" ht="12.75">
      <c r="B807" s="495" t="str">
        <f t="shared" si="0"/>
        <v/>
      </c>
      <c r="C807" s="493"/>
      <c r="D807" s="493"/>
      <c r="E807" s="493"/>
      <c r="F807" s="493"/>
      <c r="G807" s="493"/>
      <c r="H807" s="493"/>
      <c r="I807" s="494"/>
      <c r="J807" s="493"/>
      <c r="K807" s="493"/>
    </row>
    <row r="808" spans="2:11" ht="12.75">
      <c r="B808" s="495" t="str">
        <f t="shared" si="0"/>
        <v/>
      </c>
      <c r="C808" s="493"/>
      <c r="D808" s="493"/>
      <c r="E808" s="493"/>
      <c r="F808" s="493"/>
      <c r="G808" s="493"/>
      <c r="H808" s="493"/>
      <c r="I808" s="494"/>
      <c r="J808" s="493"/>
      <c r="K808" s="493"/>
    </row>
    <row r="809" spans="2:11" ht="12.75">
      <c r="B809" s="495" t="str">
        <f t="shared" si="0"/>
        <v/>
      </c>
      <c r="C809" s="493"/>
      <c r="D809" s="493"/>
      <c r="E809" s="493"/>
      <c r="F809" s="493"/>
      <c r="G809" s="493"/>
      <c r="H809" s="493"/>
      <c r="I809" s="494"/>
      <c r="J809" s="493"/>
      <c r="K809" s="493"/>
    </row>
    <row r="810" spans="2:11" ht="12.75">
      <c r="B810" s="495" t="str">
        <f t="shared" si="0"/>
        <v/>
      </c>
      <c r="C810" s="493"/>
      <c r="D810" s="493"/>
      <c r="E810" s="493"/>
      <c r="F810" s="493"/>
      <c r="G810" s="493"/>
      <c r="H810" s="493"/>
      <c r="I810" s="494"/>
      <c r="J810" s="493"/>
      <c r="K810" s="493"/>
    </row>
    <row r="811" spans="2:11" ht="12.75">
      <c r="B811" s="495" t="str">
        <f t="shared" si="0"/>
        <v/>
      </c>
      <c r="C811" s="493"/>
      <c r="D811" s="493"/>
      <c r="E811" s="493"/>
      <c r="F811" s="493"/>
      <c r="G811" s="493"/>
      <c r="H811" s="493"/>
      <c r="I811" s="494"/>
      <c r="J811" s="493"/>
      <c r="K811" s="493"/>
    </row>
    <row r="812" spans="2:11" ht="12.75">
      <c r="B812" s="495" t="str">
        <f t="shared" si="0"/>
        <v/>
      </c>
      <c r="C812" s="493"/>
      <c r="D812" s="493"/>
      <c r="E812" s="493"/>
      <c r="F812" s="493"/>
      <c r="G812" s="493"/>
      <c r="H812" s="493"/>
      <c r="I812" s="494"/>
      <c r="J812" s="493"/>
      <c r="K812" s="493"/>
    </row>
    <row r="813" spans="2:11" ht="12.75">
      <c r="B813" s="495" t="str">
        <f t="shared" si="0"/>
        <v/>
      </c>
      <c r="C813" s="493"/>
      <c r="D813" s="493"/>
      <c r="E813" s="493"/>
      <c r="F813" s="493"/>
      <c r="G813" s="493"/>
      <c r="H813" s="493"/>
      <c r="I813" s="494"/>
      <c r="J813" s="493"/>
      <c r="K813" s="493"/>
    </row>
    <row r="814" spans="2:11" ht="12.75">
      <c r="B814" s="495" t="str">
        <f t="shared" si="0"/>
        <v/>
      </c>
      <c r="C814" s="493"/>
      <c r="D814" s="493"/>
      <c r="E814" s="493"/>
      <c r="F814" s="493"/>
      <c r="G814" s="493"/>
      <c r="H814" s="493"/>
      <c r="I814" s="494"/>
      <c r="J814" s="493"/>
      <c r="K814" s="493"/>
    </row>
    <row r="815" spans="2:11" ht="12.75">
      <c r="B815" s="495" t="str">
        <f t="shared" si="0"/>
        <v/>
      </c>
      <c r="C815" s="493"/>
      <c r="D815" s="493"/>
      <c r="E815" s="493"/>
      <c r="F815" s="493"/>
      <c r="G815" s="493"/>
      <c r="H815" s="493"/>
      <c r="I815" s="494"/>
      <c r="J815" s="493"/>
      <c r="K815" s="493"/>
    </row>
    <row r="816" spans="2:11" ht="12.75">
      <c r="B816" s="495" t="str">
        <f t="shared" si="0"/>
        <v/>
      </c>
      <c r="C816" s="493"/>
      <c r="D816" s="493"/>
      <c r="E816" s="493"/>
      <c r="F816" s="493"/>
      <c r="G816" s="493"/>
      <c r="H816" s="493"/>
      <c r="I816" s="494"/>
      <c r="J816" s="493"/>
      <c r="K816" s="493"/>
    </row>
    <row r="817" spans="2:11" ht="12.75">
      <c r="B817" s="495" t="str">
        <f t="shared" si="0"/>
        <v/>
      </c>
      <c r="C817" s="493"/>
      <c r="D817" s="493"/>
      <c r="E817" s="493"/>
      <c r="F817" s="493"/>
      <c r="G817" s="493"/>
      <c r="H817" s="493"/>
      <c r="I817" s="494"/>
      <c r="J817" s="493"/>
      <c r="K817" s="493"/>
    </row>
    <row r="818" spans="2:11" ht="12.75">
      <c r="B818" s="495" t="str">
        <f t="shared" si="0"/>
        <v/>
      </c>
      <c r="C818" s="493"/>
      <c r="D818" s="493"/>
      <c r="E818" s="493"/>
      <c r="F818" s="493"/>
      <c r="G818" s="493"/>
      <c r="H818" s="493"/>
      <c r="I818" s="494"/>
      <c r="J818" s="493"/>
      <c r="K818" s="493"/>
    </row>
    <row r="819" spans="2:11" ht="12.75">
      <c r="B819" s="495" t="str">
        <f t="shared" si="0"/>
        <v/>
      </c>
      <c r="C819" s="493"/>
      <c r="D819" s="493"/>
      <c r="E819" s="493"/>
      <c r="F819" s="493"/>
      <c r="G819" s="493"/>
      <c r="H819" s="493"/>
      <c r="I819" s="494"/>
      <c r="J819" s="493"/>
      <c r="K819" s="493"/>
    </row>
    <row r="820" spans="2:11" ht="12.75">
      <c r="B820" s="495" t="str">
        <f t="shared" si="0"/>
        <v/>
      </c>
      <c r="C820" s="493"/>
      <c r="D820" s="493"/>
      <c r="E820" s="493"/>
      <c r="F820" s="493"/>
      <c r="G820" s="493"/>
      <c r="H820" s="493"/>
      <c r="I820" s="494"/>
      <c r="J820" s="493"/>
      <c r="K820" s="493"/>
    </row>
    <row r="821" spans="2:11" ht="12.75">
      <c r="B821" s="495" t="str">
        <f t="shared" si="0"/>
        <v/>
      </c>
      <c r="C821" s="493"/>
      <c r="D821" s="493"/>
      <c r="E821" s="493"/>
      <c r="F821" s="493"/>
      <c r="G821" s="493"/>
      <c r="H821" s="493"/>
      <c r="I821" s="494"/>
      <c r="J821" s="493"/>
      <c r="K821" s="493"/>
    </row>
    <row r="822" spans="2:11" ht="12.75">
      <c r="B822" s="495" t="str">
        <f t="shared" si="0"/>
        <v/>
      </c>
      <c r="C822" s="493"/>
      <c r="D822" s="493"/>
      <c r="E822" s="493"/>
      <c r="F822" s="493"/>
      <c r="G822" s="493"/>
      <c r="H822" s="493"/>
      <c r="I822" s="494"/>
      <c r="J822" s="493"/>
      <c r="K822" s="493"/>
    </row>
    <row r="823" spans="2:11" ht="12.75">
      <c r="B823" s="495" t="str">
        <f t="shared" si="0"/>
        <v/>
      </c>
      <c r="C823" s="493"/>
      <c r="D823" s="493"/>
      <c r="E823" s="493"/>
      <c r="F823" s="493"/>
      <c r="G823" s="493"/>
      <c r="H823" s="493"/>
      <c r="I823" s="494"/>
      <c r="J823" s="493"/>
      <c r="K823" s="493"/>
    </row>
    <row r="824" spans="2:11" ht="12.75">
      <c r="B824" s="495" t="str">
        <f t="shared" si="0"/>
        <v/>
      </c>
      <c r="C824" s="493"/>
      <c r="D824" s="493"/>
      <c r="E824" s="493"/>
      <c r="F824" s="493"/>
      <c r="G824" s="493"/>
      <c r="H824" s="493"/>
      <c r="I824" s="494"/>
      <c r="J824" s="493"/>
      <c r="K824" s="493"/>
    </row>
    <row r="825" spans="2:11" ht="12.75">
      <c r="B825" s="495" t="str">
        <f t="shared" si="0"/>
        <v/>
      </c>
      <c r="C825" s="493"/>
      <c r="D825" s="493"/>
      <c r="E825" s="493"/>
      <c r="F825" s="493"/>
      <c r="G825" s="493"/>
      <c r="H825" s="493"/>
      <c r="I825" s="494"/>
      <c r="J825" s="493"/>
      <c r="K825" s="493"/>
    </row>
    <row r="826" spans="2:11" ht="12.75">
      <c r="B826" s="495" t="str">
        <f t="shared" si="0"/>
        <v/>
      </c>
      <c r="C826" s="493"/>
      <c r="D826" s="493"/>
      <c r="E826" s="493"/>
      <c r="F826" s="493"/>
      <c r="G826" s="493"/>
      <c r="H826" s="493"/>
      <c r="I826" s="494"/>
      <c r="J826" s="493"/>
      <c r="K826" s="493"/>
    </row>
    <row r="827" spans="2:11" ht="12.75">
      <c r="B827" s="495" t="str">
        <f t="shared" si="0"/>
        <v/>
      </c>
      <c r="C827" s="493"/>
      <c r="D827" s="493"/>
      <c r="E827" s="493"/>
      <c r="F827" s="493"/>
      <c r="G827" s="493"/>
      <c r="H827" s="493"/>
      <c r="I827" s="494"/>
      <c r="J827" s="493"/>
      <c r="K827" s="493"/>
    </row>
    <row r="828" spans="2:11" ht="12.75">
      <c r="B828" s="495" t="str">
        <f t="shared" si="0"/>
        <v/>
      </c>
      <c r="C828" s="493"/>
      <c r="D828" s="493"/>
      <c r="E828" s="493"/>
      <c r="F828" s="493"/>
      <c r="G828" s="493"/>
      <c r="H828" s="493"/>
      <c r="I828" s="494"/>
      <c r="J828" s="493"/>
      <c r="K828" s="493"/>
    </row>
    <row r="829" spans="2:11" ht="12.75">
      <c r="B829" s="495" t="str">
        <f t="shared" si="0"/>
        <v/>
      </c>
      <c r="C829" s="493"/>
      <c r="D829" s="493"/>
      <c r="E829" s="493"/>
      <c r="F829" s="493"/>
      <c r="G829" s="493"/>
      <c r="H829" s="493"/>
      <c r="I829" s="494"/>
      <c r="J829" s="493"/>
      <c r="K829" s="493"/>
    </row>
    <row r="830" spans="2:11" ht="12.75">
      <c r="B830" s="495" t="str">
        <f t="shared" si="0"/>
        <v/>
      </c>
      <c r="C830" s="493"/>
      <c r="D830" s="493"/>
      <c r="E830" s="493"/>
      <c r="F830" s="493"/>
      <c r="G830" s="493"/>
      <c r="H830" s="493"/>
      <c r="I830" s="494"/>
      <c r="J830" s="493"/>
      <c r="K830" s="493"/>
    </row>
    <row r="831" spans="2:11" ht="12.75">
      <c r="B831" s="495" t="str">
        <f t="shared" si="0"/>
        <v/>
      </c>
      <c r="C831" s="493"/>
      <c r="D831" s="493"/>
      <c r="E831" s="493"/>
      <c r="F831" s="493"/>
      <c r="G831" s="493"/>
      <c r="H831" s="493"/>
      <c r="I831" s="494"/>
      <c r="J831" s="493"/>
      <c r="K831" s="493"/>
    </row>
    <row r="832" spans="2:11" ht="12.75">
      <c r="B832" s="495" t="str">
        <f t="shared" si="0"/>
        <v/>
      </c>
      <c r="C832" s="493"/>
      <c r="D832" s="493"/>
      <c r="E832" s="493"/>
      <c r="F832" s="493"/>
      <c r="G832" s="493"/>
      <c r="H832" s="493"/>
      <c r="I832" s="494"/>
      <c r="J832" s="493"/>
      <c r="K832" s="493"/>
    </row>
    <row r="833" spans="2:11" ht="12.75">
      <c r="B833" s="495" t="str">
        <f t="shared" si="0"/>
        <v/>
      </c>
      <c r="C833" s="493"/>
      <c r="D833" s="493"/>
      <c r="E833" s="493"/>
      <c r="F833" s="493"/>
      <c r="G833" s="493"/>
      <c r="H833" s="493"/>
      <c r="I833" s="494"/>
      <c r="J833" s="493"/>
      <c r="K833" s="493"/>
    </row>
    <row r="834" spans="2:11" ht="12.75">
      <c r="B834" s="495" t="str">
        <f t="shared" si="0"/>
        <v/>
      </c>
      <c r="C834" s="493"/>
      <c r="D834" s="493"/>
      <c r="E834" s="493"/>
      <c r="F834" s="493"/>
      <c r="G834" s="493"/>
      <c r="H834" s="493"/>
      <c r="I834" s="494"/>
      <c r="J834" s="493"/>
      <c r="K834" s="493"/>
    </row>
    <row r="835" spans="2:11" ht="12.75">
      <c r="B835" s="495" t="str">
        <f t="shared" si="0"/>
        <v/>
      </c>
      <c r="C835" s="493"/>
      <c r="D835" s="493"/>
      <c r="E835" s="493"/>
      <c r="F835" s="493"/>
      <c r="G835" s="493"/>
      <c r="H835" s="493"/>
      <c r="I835" s="494"/>
      <c r="J835" s="493"/>
      <c r="K835" s="493"/>
    </row>
    <row r="836" spans="2:11" ht="12.75">
      <c r="B836" s="495" t="str">
        <f t="shared" si="0"/>
        <v/>
      </c>
      <c r="C836" s="493"/>
      <c r="D836" s="493"/>
      <c r="E836" s="493"/>
      <c r="F836" s="493"/>
      <c r="G836" s="493"/>
      <c r="H836" s="493"/>
      <c r="I836" s="494"/>
      <c r="J836" s="493"/>
      <c r="K836" s="493"/>
    </row>
    <row r="837" spans="2:11" ht="12.75">
      <c r="B837" s="495" t="str">
        <f t="shared" si="0"/>
        <v/>
      </c>
      <c r="C837" s="493"/>
      <c r="D837" s="493"/>
      <c r="E837" s="493"/>
      <c r="F837" s="493"/>
      <c r="G837" s="493"/>
      <c r="H837" s="493"/>
      <c r="I837" s="494"/>
      <c r="J837" s="493"/>
      <c r="K837" s="493"/>
    </row>
    <row r="838" spans="2:11" ht="12.75">
      <c r="B838" s="495" t="str">
        <f t="shared" si="0"/>
        <v/>
      </c>
      <c r="C838" s="493"/>
      <c r="D838" s="493"/>
      <c r="E838" s="493"/>
      <c r="F838" s="493"/>
      <c r="G838" s="493"/>
      <c r="H838" s="493"/>
      <c r="I838" s="494"/>
      <c r="J838" s="493"/>
      <c r="K838" s="493"/>
    </row>
    <row r="839" spans="2:11" ht="12.75">
      <c r="B839" s="495" t="str">
        <f t="shared" si="0"/>
        <v/>
      </c>
      <c r="C839" s="493"/>
      <c r="D839" s="493"/>
      <c r="E839" s="493"/>
      <c r="F839" s="493"/>
      <c r="G839" s="493"/>
      <c r="H839" s="493"/>
      <c r="I839" s="494"/>
      <c r="J839" s="493"/>
      <c r="K839" s="493"/>
    </row>
    <row r="840" spans="2:11" ht="12.75">
      <c r="B840" s="495" t="str">
        <f t="shared" si="0"/>
        <v/>
      </c>
      <c r="C840" s="493"/>
      <c r="D840" s="493"/>
      <c r="E840" s="493"/>
      <c r="F840" s="493"/>
      <c r="G840" s="493"/>
      <c r="H840" s="493"/>
      <c r="I840" s="494"/>
      <c r="J840" s="493"/>
      <c r="K840" s="493"/>
    </row>
    <row r="841" spans="2:11" ht="12.75">
      <c r="B841" s="495" t="str">
        <f t="shared" si="0"/>
        <v/>
      </c>
      <c r="C841" s="493"/>
      <c r="D841" s="493"/>
      <c r="E841" s="493"/>
      <c r="F841" s="493"/>
      <c r="G841" s="493"/>
      <c r="H841" s="493"/>
      <c r="I841" s="494"/>
      <c r="J841" s="493"/>
      <c r="K841" s="493"/>
    </row>
    <row r="842" spans="2:11" ht="12.75">
      <c r="B842" s="495" t="str">
        <f t="shared" si="0"/>
        <v/>
      </c>
      <c r="C842" s="493"/>
      <c r="D842" s="493"/>
      <c r="E842" s="493"/>
      <c r="F842" s="493"/>
      <c r="G842" s="493"/>
      <c r="H842" s="493"/>
      <c r="I842" s="494"/>
      <c r="J842" s="493"/>
      <c r="K842" s="493"/>
    </row>
    <row r="843" spans="2:11" ht="12.75">
      <c r="B843" s="495" t="str">
        <f t="shared" si="0"/>
        <v/>
      </c>
      <c r="C843" s="493"/>
      <c r="D843" s="493"/>
      <c r="E843" s="493"/>
      <c r="F843" s="493"/>
      <c r="G843" s="493"/>
      <c r="H843" s="493"/>
      <c r="I843" s="494"/>
      <c r="J843" s="493"/>
      <c r="K843" s="493"/>
    </row>
    <row r="844" spans="2:11" ht="12.75">
      <c r="B844" s="495" t="str">
        <f t="shared" si="0"/>
        <v/>
      </c>
      <c r="C844" s="493"/>
      <c r="D844" s="493"/>
      <c r="E844" s="493"/>
      <c r="F844" s="493"/>
      <c r="G844" s="493"/>
      <c r="H844" s="493"/>
      <c r="I844" s="494"/>
      <c r="J844" s="493"/>
      <c r="K844" s="493"/>
    </row>
    <row r="845" spans="2:11" ht="12.75">
      <c r="B845" s="495" t="str">
        <f t="shared" si="0"/>
        <v/>
      </c>
      <c r="C845" s="493"/>
      <c r="D845" s="493"/>
      <c r="E845" s="493"/>
      <c r="F845" s="493"/>
      <c r="G845" s="493"/>
      <c r="H845" s="493"/>
      <c r="I845" s="494"/>
      <c r="J845" s="493"/>
      <c r="K845" s="493"/>
    </row>
    <row r="846" spans="2:11" ht="12.75">
      <c r="B846" s="495" t="str">
        <f t="shared" si="0"/>
        <v/>
      </c>
      <c r="C846" s="493"/>
      <c r="D846" s="493"/>
      <c r="E846" s="493"/>
      <c r="F846" s="493"/>
      <c r="G846" s="493"/>
      <c r="H846" s="493"/>
      <c r="I846" s="494"/>
      <c r="J846" s="493"/>
      <c r="K846" s="493"/>
    </row>
    <row r="847" spans="2:11" ht="12.75">
      <c r="B847" s="495" t="str">
        <f t="shared" si="0"/>
        <v/>
      </c>
      <c r="C847" s="493"/>
      <c r="D847" s="493"/>
      <c r="E847" s="493"/>
      <c r="F847" s="493"/>
      <c r="G847" s="493"/>
      <c r="H847" s="493"/>
      <c r="I847" s="494"/>
      <c r="J847" s="493"/>
      <c r="K847" s="493"/>
    </row>
    <row r="848" spans="2:11" ht="12.75">
      <c r="B848" s="495" t="str">
        <f t="shared" si="0"/>
        <v/>
      </c>
      <c r="C848" s="493"/>
      <c r="D848" s="493"/>
      <c r="E848" s="493"/>
      <c r="F848" s="493"/>
      <c r="G848" s="493"/>
      <c r="H848" s="493"/>
      <c r="I848" s="494"/>
      <c r="J848" s="493"/>
      <c r="K848" s="493"/>
    </row>
    <row r="849" spans="2:11" ht="12.75">
      <c r="B849" s="495" t="str">
        <f t="shared" si="0"/>
        <v/>
      </c>
      <c r="C849" s="493"/>
      <c r="D849" s="493"/>
      <c r="E849" s="493"/>
      <c r="F849" s="493"/>
      <c r="G849" s="493"/>
      <c r="H849" s="493"/>
      <c r="I849" s="494"/>
      <c r="J849" s="493"/>
      <c r="K849" s="493"/>
    </row>
    <row r="850" spans="2:11" ht="12.75">
      <c r="B850" s="495" t="str">
        <f t="shared" si="0"/>
        <v/>
      </c>
      <c r="C850" s="493"/>
      <c r="D850" s="493"/>
      <c r="E850" s="493"/>
      <c r="F850" s="493"/>
      <c r="G850" s="493"/>
      <c r="H850" s="493"/>
      <c r="I850" s="494"/>
      <c r="J850" s="493"/>
      <c r="K850" s="493"/>
    </row>
    <row r="851" spans="2:11" ht="12.75">
      <c r="B851" s="495" t="str">
        <f t="shared" si="0"/>
        <v/>
      </c>
      <c r="C851" s="493"/>
      <c r="D851" s="493"/>
      <c r="E851" s="493"/>
      <c r="F851" s="493"/>
      <c r="G851" s="493"/>
      <c r="H851" s="493"/>
      <c r="I851" s="494"/>
      <c r="J851" s="493"/>
      <c r="K851" s="493"/>
    </row>
    <row r="852" spans="2:11" ht="12.75">
      <c r="B852" s="495" t="str">
        <f t="shared" si="0"/>
        <v/>
      </c>
      <c r="C852" s="493"/>
      <c r="D852" s="493"/>
      <c r="E852" s="493"/>
      <c r="F852" s="493"/>
      <c r="G852" s="493"/>
      <c r="H852" s="493"/>
      <c r="I852" s="494"/>
      <c r="J852" s="493"/>
      <c r="K852" s="493"/>
    </row>
    <row r="853" spans="2:11" ht="12.75">
      <c r="B853" s="495" t="str">
        <f t="shared" si="0"/>
        <v/>
      </c>
      <c r="C853" s="493"/>
      <c r="D853" s="493"/>
      <c r="E853" s="493"/>
      <c r="F853" s="493"/>
      <c r="G853" s="493"/>
      <c r="H853" s="493"/>
      <c r="I853" s="494"/>
      <c r="J853" s="493"/>
      <c r="K853" s="493"/>
    </row>
    <row r="854" spans="2:11" ht="12.75">
      <c r="B854" s="495" t="str">
        <f t="shared" si="0"/>
        <v/>
      </c>
      <c r="C854" s="493"/>
      <c r="D854" s="493"/>
      <c r="E854" s="493"/>
      <c r="F854" s="493"/>
      <c r="G854" s="493"/>
      <c r="H854" s="493"/>
      <c r="I854" s="494"/>
      <c r="J854" s="493"/>
      <c r="K854" s="493"/>
    </row>
    <row r="855" spans="2:11" ht="12.75">
      <c r="B855" s="495" t="str">
        <f t="shared" si="0"/>
        <v/>
      </c>
      <c r="C855" s="493"/>
      <c r="D855" s="493"/>
      <c r="E855" s="493"/>
      <c r="F855" s="493"/>
      <c r="G855" s="493"/>
      <c r="H855" s="493"/>
      <c r="I855" s="494"/>
      <c r="J855" s="493"/>
      <c r="K855" s="493"/>
    </row>
    <row r="856" spans="2:11" ht="12.75">
      <c r="B856" s="495" t="str">
        <f t="shared" si="0"/>
        <v/>
      </c>
      <c r="C856" s="493"/>
      <c r="D856" s="493"/>
      <c r="E856" s="493"/>
      <c r="F856" s="493"/>
      <c r="G856" s="493"/>
      <c r="H856" s="493"/>
      <c r="I856" s="494"/>
      <c r="J856" s="493"/>
      <c r="K856" s="493"/>
    </row>
    <row r="857" spans="2:11" ht="12.75">
      <c r="B857" s="495" t="str">
        <f t="shared" si="0"/>
        <v/>
      </c>
      <c r="C857" s="493"/>
      <c r="D857" s="493"/>
      <c r="E857" s="493"/>
      <c r="F857" s="493"/>
      <c r="G857" s="493"/>
      <c r="H857" s="493"/>
      <c r="I857" s="494"/>
      <c r="J857" s="493"/>
      <c r="K857" s="493"/>
    </row>
    <row r="858" spans="2:11" ht="12.75">
      <c r="B858" s="495" t="str">
        <f t="shared" si="0"/>
        <v/>
      </c>
      <c r="C858" s="493"/>
      <c r="D858" s="493"/>
      <c r="E858" s="493"/>
      <c r="F858" s="493"/>
      <c r="G858" s="493"/>
      <c r="H858" s="493"/>
      <c r="I858" s="494"/>
      <c r="J858" s="493"/>
      <c r="K858" s="493"/>
    </row>
    <row r="859" spans="2:11" ht="12.75">
      <c r="B859" s="495" t="str">
        <f t="shared" si="0"/>
        <v/>
      </c>
      <c r="C859" s="493"/>
      <c r="D859" s="493"/>
      <c r="E859" s="493"/>
      <c r="F859" s="493"/>
      <c r="G859" s="493"/>
      <c r="H859" s="493"/>
      <c r="I859" s="494"/>
      <c r="J859" s="493"/>
      <c r="K859" s="493"/>
    </row>
    <row r="860" spans="2:11" ht="12.75">
      <c r="B860" s="495" t="str">
        <f t="shared" si="0"/>
        <v/>
      </c>
      <c r="C860" s="493"/>
      <c r="D860" s="493"/>
      <c r="E860" s="493"/>
      <c r="F860" s="493"/>
      <c r="G860" s="493"/>
      <c r="H860" s="493"/>
      <c r="I860" s="494"/>
      <c r="J860" s="493"/>
      <c r="K860" s="493"/>
    </row>
    <row r="861" spans="2:11" ht="12.75">
      <c r="B861" s="495" t="str">
        <f t="shared" si="0"/>
        <v/>
      </c>
      <c r="C861" s="493"/>
      <c r="D861" s="493"/>
      <c r="E861" s="493"/>
      <c r="F861" s="493"/>
      <c r="G861" s="493"/>
      <c r="H861" s="493"/>
      <c r="I861" s="494"/>
      <c r="J861" s="493"/>
      <c r="K861" s="493"/>
    </row>
    <row r="862" spans="2:11" ht="12.75">
      <c r="B862" s="495" t="str">
        <f t="shared" si="0"/>
        <v/>
      </c>
      <c r="C862" s="493"/>
      <c r="D862" s="493"/>
      <c r="E862" s="493"/>
      <c r="F862" s="493"/>
      <c r="G862" s="493"/>
      <c r="H862" s="493"/>
      <c r="I862" s="494"/>
      <c r="J862" s="493"/>
      <c r="K862" s="493"/>
    </row>
    <row r="863" spans="2:11" ht="12.75">
      <c r="B863" s="495" t="str">
        <f t="shared" si="0"/>
        <v/>
      </c>
      <c r="C863" s="493"/>
      <c r="D863" s="493"/>
      <c r="E863" s="493"/>
      <c r="F863" s="493"/>
      <c r="G863" s="493"/>
      <c r="H863" s="493"/>
      <c r="I863" s="494"/>
      <c r="J863" s="493"/>
      <c r="K863" s="493"/>
    </row>
    <row r="864" spans="2:11" ht="12.75">
      <c r="B864" s="495" t="str">
        <f t="shared" si="0"/>
        <v/>
      </c>
      <c r="C864" s="493"/>
      <c r="D864" s="493"/>
      <c r="E864" s="493"/>
      <c r="F864" s="493"/>
      <c r="G864" s="493"/>
      <c r="H864" s="493"/>
      <c r="I864" s="494"/>
      <c r="J864" s="493"/>
      <c r="K864" s="493"/>
    </row>
    <row r="865" spans="2:11" ht="12.75">
      <c r="B865" s="495" t="str">
        <f t="shared" si="0"/>
        <v/>
      </c>
      <c r="C865" s="493"/>
      <c r="D865" s="493"/>
      <c r="E865" s="493"/>
      <c r="F865" s="493"/>
      <c r="G865" s="493"/>
      <c r="H865" s="493"/>
      <c r="I865" s="494"/>
      <c r="J865" s="493"/>
      <c r="K865" s="493"/>
    </row>
    <row r="866" spans="2:11" ht="12.75">
      <c r="B866" s="495" t="str">
        <f t="shared" si="0"/>
        <v/>
      </c>
      <c r="C866" s="493"/>
      <c r="D866" s="493"/>
      <c r="E866" s="493"/>
      <c r="F866" s="493"/>
      <c r="G866" s="493"/>
      <c r="H866" s="493"/>
      <c r="I866" s="494"/>
      <c r="J866" s="493"/>
      <c r="K866" s="493"/>
    </row>
    <row r="867" spans="2:11" ht="12.75">
      <c r="B867" s="495" t="str">
        <f t="shared" si="0"/>
        <v/>
      </c>
      <c r="C867" s="493"/>
      <c r="D867" s="493"/>
      <c r="E867" s="493"/>
      <c r="F867" s="493"/>
      <c r="G867" s="493"/>
      <c r="H867" s="493"/>
      <c r="I867" s="494"/>
      <c r="J867" s="493"/>
      <c r="K867" s="493"/>
    </row>
    <row r="868" spans="2:11" ht="12.75">
      <c r="B868" s="495" t="str">
        <f t="shared" si="0"/>
        <v/>
      </c>
      <c r="C868" s="493"/>
      <c r="D868" s="493"/>
      <c r="E868" s="493"/>
      <c r="F868" s="493"/>
      <c r="G868" s="493"/>
      <c r="H868" s="493"/>
      <c r="I868" s="494"/>
      <c r="J868" s="493"/>
      <c r="K868" s="493"/>
    </row>
    <row r="869" spans="2:11" ht="12.75">
      <c r="B869" s="495" t="str">
        <f t="shared" si="0"/>
        <v/>
      </c>
      <c r="C869" s="493"/>
      <c r="D869" s="493"/>
      <c r="E869" s="493"/>
      <c r="F869" s="493"/>
      <c r="G869" s="493"/>
      <c r="H869" s="493"/>
      <c r="I869" s="494"/>
      <c r="J869" s="493"/>
      <c r="K869" s="493"/>
    </row>
    <row r="870" spans="2:11" ht="12.75">
      <c r="B870" s="495" t="str">
        <f t="shared" si="0"/>
        <v/>
      </c>
      <c r="C870" s="493"/>
      <c r="D870" s="493"/>
      <c r="E870" s="493"/>
      <c r="F870" s="493"/>
      <c r="G870" s="493"/>
      <c r="H870" s="493"/>
      <c r="I870" s="494"/>
      <c r="J870" s="493"/>
      <c r="K870" s="493"/>
    </row>
    <row r="871" spans="2:11" ht="12.75">
      <c r="B871" s="495" t="str">
        <f t="shared" si="0"/>
        <v/>
      </c>
      <c r="C871" s="493"/>
      <c r="D871" s="493"/>
      <c r="E871" s="493"/>
      <c r="F871" s="493"/>
      <c r="G871" s="493"/>
      <c r="H871" s="493"/>
      <c r="I871" s="494"/>
      <c r="J871" s="493"/>
      <c r="K871" s="493"/>
    </row>
    <row r="872" spans="2:11" ht="12.75">
      <c r="B872" s="495" t="str">
        <f t="shared" si="0"/>
        <v/>
      </c>
      <c r="C872" s="493"/>
      <c r="D872" s="493"/>
      <c r="E872" s="493"/>
      <c r="F872" s="493"/>
      <c r="G872" s="493"/>
      <c r="H872" s="493"/>
      <c r="I872" s="494"/>
      <c r="J872" s="493"/>
      <c r="K872" s="493"/>
    </row>
    <row r="873" spans="2:11" ht="12.75">
      <c r="B873" s="495" t="str">
        <f t="shared" si="0"/>
        <v/>
      </c>
      <c r="C873" s="493"/>
      <c r="D873" s="493"/>
      <c r="E873" s="493"/>
      <c r="F873" s="493"/>
      <c r="G873" s="493"/>
      <c r="H873" s="493"/>
      <c r="I873" s="494"/>
      <c r="J873" s="493"/>
      <c r="K873" s="493"/>
    </row>
    <row r="874" spans="2:11" ht="12.75">
      <c r="B874" s="495" t="str">
        <f t="shared" si="0"/>
        <v/>
      </c>
      <c r="C874" s="493"/>
      <c r="D874" s="493"/>
      <c r="E874" s="493"/>
      <c r="F874" s="493"/>
      <c r="G874" s="493"/>
      <c r="H874" s="493"/>
      <c r="I874" s="494"/>
      <c r="J874" s="493"/>
      <c r="K874" s="493"/>
    </row>
    <row r="875" spans="2:11" ht="12.75">
      <c r="B875" s="495" t="str">
        <f t="shared" si="0"/>
        <v/>
      </c>
      <c r="C875" s="493"/>
      <c r="D875" s="493"/>
      <c r="E875" s="493"/>
      <c r="F875" s="493"/>
      <c r="G875" s="493"/>
      <c r="H875" s="493"/>
      <c r="I875" s="494"/>
      <c r="J875" s="493"/>
      <c r="K875" s="493"/>
    </row>
    <row r="876" spans="2:11" ht="12.75">
      <c r="B876" s="495" t="str">
        <f t="shared" si="0"/>
        <v/>
      </c>
      <c r="C876" s="493"/>
      <c r="D876" s="493"/>
      <c r="E876" s="493"/>
      <c r="F876" s="493"/>
      <c r="G876" s="493"/>
      <c r="H876" s="493"/>
      <c r="I876" s="494"/>
      <c r="J876" s="493"/>
      <c r="K876" s="493"/>
    </row>
    <row r="877" spans="2:11" ht="12.75">
      <c r="B877" s="495" t="str">
        <f t="shared" si="0"/>
        <v/>
      </c>
      <c r="C877" s="493"/>
      <c r="D877" s="493"/>
      <c r="E877" s="493"/>
      <c r="F877" s="493"/>
      <c r="G877" s="493"/>
      <c r="H877" s="493"/>
      <c r="I877" s="494"/>
      <c r="J877" s="493"/>
      <c r="K877" s="493"/>
    </row>
    <row r="878" spans="2:11" ht="12.75">
      <c r="B878" s="495" t="str">
        <f t="shared" si="0"/>
        <v/>
      </c>
      <c r="C878" s="493"/>
      <c r="D878" s="493"/>
      <c r="E878" s="493"/>
      <c r="F878" s="493"/>
      <c r="G878" s="493"/>
      <c r="H878" s="493"/>
      <c r="I878" s="494"/>
      <c r="J878" s="493"/>
      <c r="K878" s="493"/>
    </row>
    <row r="879" spans="2:11" ht="12.75">
      <c r="B879" s="495" t="str">
        <f t="shared" si="0"/>
        <v/>
      </c>
      <c r="C879" s="493"/>
      <c r="D879" s="493"/>
      <c r="E879" s="493"/>
      <c r="F879" s="493"/>
      <c r="G879" s="493"/>
      <c r="H879" s="493"/>
      <c r="I879" s="494"/>
      <c r="J879" s="493"/>
      <c r="K879" s="493"/>
    </row>
    <row r="880" spans="2:11" ht="12.75">
      <c r="B880" s="495" t="str">
        <f t="shared" si="0"/>
        <v/>
      </c>
      <c r="C880" s="493"/>
      <c r="D880" s="493"/>
      <c r="E880" s="493"/>
      <c r="F880" s="493"/>
      <c r="G880" s="493"/>
      <c r="H880" s="493"/>
      <c r="I880" s="494"/>
      <c r="J880" s="493"/>
      <c r="K880" s="493"/>
    </row>
    <row r="881" spans="2:11" ht="12.75">
      <c r="B881" s="495" t="str">
        <f t="shared" si="0"/>
        <v/>
      </c>
      <c r="C881" s="493"/>
      <c r="D881" s="493"/>
      <c r="E881" s="493"/>
      <c r="F881" s="493"/>
      <c r="G881" s="493"/>
      <c r="H881" s="493"/>
      <c r="I881" s="494"/>
      <c r="J881" s="493"/>
      <c r="K881" s="493"/>
    </row>
    <row r="882" spans="2:11" ht="12.75">
      <c r="B882" s="495" t="str">
        <f t="shared" si="0"/>
        <v/>
      </c>
      <c r="C882" s="493"/>
      <c r="D882" s="493"/>
      <c r="E882" s="493"/>
      <c r="F882" s="493"/>
      <c r="G882" s="493"/>
      <c r="H882" s="493"/>
      <c r="I882" s="494"/>
      <c r="J882" s="493"/>
      <c r="K882" s="493"/>
    </row>
    <row r="883" spans="2:11" ht="12.75">
      <c r="B883" s="495" t="str">
        <f t="shared" si="0"/>
        <v/>
      </c>
      <c r="C883" s="493"/>
      <c r="D883" s="493"/>
      <c r="E883" s="493"/>
      <c r="F883" s="493"/>
      <c r="G883" s="493"/>
      <c r="H883" s="493"/>
      <c r="I883" s="494"/>
      <c r="J883" s="493"/>
      <c r="K883" s="493"/>
    </row>
    <row r="884" spans="2:11" ht="12.75">
      <c r="B884" s="495" t="str">
        <f t="shared" si="0"/>
        <v/>
      </c>
      <c r="C884" s="493"/>
      <c r="D884" s="493"/>
      <c r="E884" s="493"/>
      <c r="F884" s="493"/>
      <c r="G884" s="493"/>
      <c r="H884" s="493"/>
      <c r="I884" s="494"/>
      <c r="J884" s="493"/>
      <c r="K884" s="493"/>
    </row>
    <row r="885" spans="2:11" ht="12.75">
      <c r="B885" s="495" t="str">
        <f t="shared" si="0"/>
        <v/>
      </c>
      <c r="C885" s="493"/>
      <c r="D885" s="493"/>
      <c r="E885" s="493"/>
      <c r="F885" s="493"/>
      <c r="G885" s="493"/>
      <c r="H885" s="493"/>
      <c r="I885" s="494"/>
      <c r="J885" s="493"/>
      <c r="K885" s="493"/>
    </row>
    <row r="886" spans="2:11" ht="12.75">
      <c r="B886" s="495" t="str">
        <f t="shared" si="0"/>
        <v/>
      </c>
      <c r="C886" s="493"/>
      <c r="D886" s="493"/>
      <c r="E886" s="493"/>
      <c r="F886" s="493"/>
      <c r="G886" s="493"/>
      <c r="H886" s="493"/>
      <c r="I886" s="494"/>
      <c r="J886" s="493"/>
      <c r="K886" s="493"/>
    </row>
    <row r="887" spans="2:11" ht="12.75">
      <c r="B887" s="495" t="str">
        <f t="shared" si="0"/>
        <v/>
      </c>
      <c r="C887" s="493"/>
      <c r="D887" s="493"/>
      <c r="E887" s="493"/>
      <c r="F887" s="493"/>
      <c r="G887" s="493"/>
      <c r="H887" s="493"/>
      <c r="I887" s="494"/>
      <c r="J887" s="493"/>
      <c r="K887" s="493"/>
    </row>
    <row r="888" spans="2:11" ht="12.75">
      <c r="B888" s="495" t="str">
        <f t="shared" si="0"/>
        <v/>
      </c>
      <c r="C888" s="493"/>
      <c r="D888" s="493"/>
      <c r="E888" s="493"/>
      <c r="F888" s="493"/>
      <c r="G888" s="493"/>
      <c r="H888" s="493"/>
      <c r="I888" s="494"/>
      <c r="J888" s="493"/>
      <c r="K888" s="493"/>
    </row>
    <row r="889" spans="2:11" ht="12.75">
      <c r="B889" s="495" t="str">
        <f t="shared" si="0"/>
        <v/>
      </c>
      <c r="C889" s="493"/>
      <c r="D889" s="493"/>
      <c r="E889" s="493"/>
      <c r="F889" s="493"/>
      <c r="G889" s="493"/>
      <c r="H889" s="493"/>
      <c r="I889" s="494"/>
      <c r="J889" s="493"/>
      <c r="K889" s="493"/>
    </row>
    <row r="890" spans="2:11" ht="12.75">
      <c r="B890" s="495" t="str">
        <f t="shared" si="0"/>
        <v/>
      </c>
      <c r="C890" s="493"/>
      <c r="D890" s="493"/>
      <c r="E890" s="493"/>
      <c r="F890" s="493"/>
      <c r="G890" s="493"/>
      <c r="H890" s="493"/>
      <c r="I890" s="494"/>
      <c r="J890" s="493"/>
      <c r="K890" s="493"/>
    </row>
    <row r="891" spans="2:11" ht="12.75">
      <c r="B891" s="495" t="str">
        <f t="shared" si="0"/>
        <v/>
      </c>
      <c r="C891" s="493"/>
      <c r="D891" s="493"/>
      <c r="E891" s="493"/>
      <c r="F891" s="493"/>
      <c r="G891" s="493"/>
      <c r="H891" s="493"/>
      <c r="I891" s="494"/>
      <c r="J891" s="493"/>
      <c r="K891" s="493"/>
    </row>
    <row r="892" spans="2:11" ht="12.75">
      <c r="B892" s="495" t="str">
        <f t="shared" si="0"/>
        <v/>
      </c>
      <c r="C892" s="493"/>
      <c r="D892" s="493"/>
      <c r="E892" s="493"/>
      <c r="F892" s="493"/>
      <c r="G892" s="493"/>
      <c r="H892" s="493"/>
      <c r="I892" s="494"/>
      <c r="J892" s="493"/>
      <c r="K892" s="493"/>
    </row>
    <row r="893" spans="2:11" ht="12.75">
      <c r="B893" s="495" t="str">
        <f t="shared" si="0"/>
        <v/>
      </c>
      <c r="C893" s="493"/>
      <c r="D893" s="493"/>
      <c r="E893" s="493"/>
      <c r="F893" s="493"/>
      <c r="G893" s="493"/>
      <c r="H893" s="493"/>
      <c r="I893" s="494"/>
      <c r="J893" s="493"/>
      <c r="K893" s="493"/>
    </row>
    <row r="894" spans="2:11" ht="12.75">
      <c r="B894" s="495" t="str">
        <f t="shared" si="0"/>
        <v/>
      </c>
      <c r="C894" s="493"/>
      <c r="D894" s="493"/>
      <c r="E894" s="493"/>
      <c r="F894" s="493"/>
      <c r="G894" s="493"/>
      <c r="H894" s="493"/>
      <c r="I894" s="494"/>
      <c r="J894" s="493"/>
      <c r="K894" s="493"/>
    </row>
    <row r="895" spans="2:11" ht="12.75">
      <c r="B895" s="495" t="str">
        <f t="shared" si="0"/>
        <v/>
      </c>
      <c r="C895" s="493"/>
      <c r="D895" s="493"/>
      <c r="E895" s="493"/>
      <c r="F895" s="493"/>
      <c r="G895" s="493"/>
      <c r="H895" s="493"/>
      <c r="I895" s="494"/>
      <c r="J895" s="493"/>
      <c r="K895" s="493"/>
    </row>
    <row r="896" spans="2:11" ht="12.75">
      <c r="B896" s="495" t="str">
        <f t="shared" si="0"/>
        <v/>
      </c>
      <c r="C896" s="493"/>
      <c r="D896" s="493"/>
      <c r="E896" s="493"/>
      <c r="F896" s="493"/>
      <c r="G896" s="493"/>
      <c r="H896" s="493"/>
      <c r="I896" s="494"/>
      <c r="J896" s="493"/>
      <c r="K896" s="493"/>
    </row>
    <row r="897" spans="2:11" ht="12.75">
      <c r="B897" s="495" t="str">
        <f t="shared" si="0"/>
        <v/>
      </c>
      <c r="C897" s="493"/>
      <c r="D897" s="493"/>
      <c r="E897" s="493"/>
      <c r="F897" s="493"/>
      <c r="G897" s="493"/>
      <c r="H897" s="493"/>
      <c r="I897" s="494"/>
      <c r="J897" s="493"/>
      <c r="K897" s="493"/>
    </row>
    <row r="898" spans="2:11" ht="12.75">
      <c r="B898" s="495" t="str">
        <f t="shared" si="0"/>
        <v/>
      </c>
      <c r="C898" s="493"/>
      <c r="D898" s="493"/>
      <c r="E898" s="493"/>
      <c r="F898" s="493"/>
      <c r="G898" s="493"/>
      <c r="H898" s="493"/>
      <c r="I898" s="494"/>
      <c r="J898" s="493"/>
      <c r="K898" s="493"/>
    </row>
    <row r="899" spans="2:11" ht="12.75">
      <c r="B899" s="495" t="str">
        <f t="shared" si="0"/>
        <v/>
      </c>
      <c r="C899" s="493"/>
      <c r="D899" s="493"/>
      <c r="E899" s="493"/>
      <c r="F899" s="493"/>
      <c r="G899" s="493"/>
      <c r="H899" s="493"/>
      <c r="I899" s="494"/>
      <c r="J899" s="493"/>
      <c r="K899" s="493"/>
    </row>
    <row r="900" spans="2:11" ht="12.75">
      <c r="B900" s="495" t="str">
        <f t="shared" si="0"/>
        <v/>
      </c>
      <c r="C900" s="493"/>
      <c r="D900" s="493"/>
      <c r="E900" s="493"/>
      <c r="F900" s="493"/>
      <c r="G900" s="493"/>
      <c r="H900" s="493"/>
      <c r="I900" s="494"/>
      <c r="J900" s="493"/>
      <c r="K900" s="493"/>
    </row>
    <row r="901" spans="2:11" ht="12.75">
      <c r="B901" s="495" t="str">
        <f t="shared" si="0"/>
        <v/>
      </c>
      <c r="C901" s="493"/>
      <c r="D901" s="493"/>
      <c r="E901" s="493"/>
      <c r="F901" s="493"/>
      <c r="G901" s="493"/>
      <c r="H901" s="493"/>
      <c r="I901" s="494"/>
      <c r="J901" s="493"/>
      <c r="K901" s="493"/>
    </row>
    <row r="902" spans="2:11" ht="12.75">
      <c r="B902" s="495" t="str">
        <f t="shared" si="0"/>
        <v/>
      </c>
      <c r="C902" s="493"/>
      <c r="D902" s="493"/>
      <c r="E902" s="493"/>
      <c r="F902" s="493"/>
      <c r="G902" s="493"/>
      <c r="H902" s="493"/>
      <c r="I902" s="494"/>
      <c r="J902" s="493"/>
      <c r="K902" s="493"/>
    </row>
    <row r="903" spans="2:11" ht="12.75">
      <c r="B903" s="495" t="str">
        <f t="shared" si="0"/>
        <v/>
      </c>
      <c r="C903" s="493"/>
      <c r="D903" s="493"/>
      <c r="E903" s="493"/>
      <c r="F903" s="493"/>
      <c r="G903" s="493"/>
      <c r="H903" s="493"/>
      <c r="I903" s="494"/>
      <c r="J903" s="493"/>
      <c r="K903" s="493"/>
    </row>
    <row r="904" spans="2:11" ht="12.75">
      <c r="B904" s="495" t="str">
        <f t="shared" si="0"/>
        <v/>
      </c>
      <c r="C904" s="493"/>
      <c r="D904" s="493"/>
      <c r="E904" s="493"/>
      <c r="F904" s="493"/>
      <c r="G904" s="493"/>
      <c r="H904" s="493"/>
      <c r="I904" s="494"/>
      <c r="J904" s="493"/>
      <c r="K904" s="493"/>
    </row>
    <row r="905" spans="2:11" ht="12.75">
      <c r="B905" s="495" t="str">
        <f t="shared" si="0"/>
        <v/>
      </c>
      <c r="C905" s="493"/>
      <c r="D905" s="493"/>
      <c r="E905" s="493"/>
      <c r="F905" s="493"/>
      <c r="G905" s="493"/>
      <c r="H905" s="493"/>
      <c r="I905" s="494"/>
      <c r="J905" s="493"/>
      <c r="K905" s="493"/>
    </row>
    <row r="906" spans="2:11" ht="12.75">
      <c r="B906" s="495" t="str">
        <f t="shared" si="0"/>
        <v/>
      </c>
      <c r="C906" s="493"/>
      <c r="D906" s="493"/>
      <c r="E906" s="493"/>
      <c r="F906" s="493"/>
      <c r="G906" s="493"/>
      <c r="H906" s="493"/>
      <c r="I906" s="494"/>
      <c r="J906" s="493"/>
      <c r="K906" s="493"/>
    </row>
    <row r="907" spans="2:11" ht="12.75">
      <c r="B907" s="495" t="str">
        <f t="shared" si="0"/>
        <v/>
      </c>
      <c r="C907" s="493"/>
      <c r="D907" s="493"/>
      <c r="E907" s="493"/>
      <c r="F907" s="493"/>
      <c r="G907" s="493"/>
      <c r="H907" s="493"/>
      <c r="I907" s="494"/>
      <c r="J907" s="493"/>
      <c r="K907" s="493"/>
    </row>
    <row r="908" spans="2:11" ht="12.75">
      <c r="B908" s="495" t="str">
        <f t="shared" si="0"/>
        <v/>
      </c>
      <c r="C908" s="493"/>
      <c r="D908" s="493"/>
      <c r="E908" s="493"/>
      <c r="F908" s="493"/>
      <c r="G908" s="493"/>
      <c r="H908" s="493"/>
      <c r="I908" s="494"/>
      <c r="J908" s="493"/>
      <c r="K908" s="493"/>
    </row>
    <row r="909" spans="2:11" ht="12.75">
      <c r="B909" s="495" t="str">
        <f t="shared" si="0"/>
        <v/>
      </c>
      <c r="C909" s="493"/>
      <c r="D909" s="493"/>
      <c r="E909" s="493"/>
      <c r="F909" s="493"/>
      <c r="G909" s="493"/>
      <c r="H909" s="493"/>
      <c r="I909" s="494"/>
      <c r="J909" s="493"/>
      <c r="K909" s="493"/>
    </row>
    <row r="910" spans="2:11" ht="12.75">
      <c r="B910" s="495" t="str">
        <f t="shared" si="0"/>
        <v/>
      </c>
      <c r="C910" s="493"/>
      <c r="D910" s="493"/>
      <c r="E910" s="493"/>
      <c r="F910" s="493"/>
      <c r="G910" s="493"/>
      <c r="H910" s="493"/>
      <c r="I910" s="494"/>
      <c r="J910" s="493"/>
      <c r="K910" s="493"/>
    </row>
    <row r="911" spans="2:11" ht="12.75">
      <c r="B911" s="495" t="str">
        <f t="shared" si="0"/>
        <v/>
      </c>
      <c r="C911" s="493"/>
      <c r="D911" s="493"/>
      <c r="E911" s="493"/>
      <c r="F911" s="493"/>
      <c r="G911" s="493"/>
      <c r="H911" s="493"/>
      <c r="I911" s="494"/>
      <c r="J911" s="493"/>
      <c r="K911" s="493"/>
    </row>
    <row r="912" spans="2:11" ht="12.75">
      <c r="B912" s="495" t="str">
        <f t="shared" si="0"/>
        <v/>
      </c>
      <c r="C912" s="493"/>
      <c r="D912" s="493"/>
      <c r="E912" s="493"/>
      <c r="F912" s="493"/>
      <c r="G912" s="493"/>
      <c r="H912" s="493"/>
      <c r="I912" s="494"/>
      <c r="J912" s="493"/>
      <c r="K912" s="493"/>
    </row>
    <row r="913" spans="2:11" ht="12.75">
      <c r="B913" s="495" t="str">
        <f t="shared" si="0"/>
        <v/>
      </c>
      <c r="C913" s="493"/>
      <c r="D913" s="493"/>
      <c r="E913" s="493"/>
      <c r="F913" s="493"/>
      <c r="G913" s="493"/>
      <c r="H913" s="493"/>
      <c r="I913" s="494"/>
      <c r="J913" s="493"/>
      <c r="K913" s="493"/>
    </row>
    <row r="914" spans="2:11" ht="12.75">
      <c r="B914" s="495" t="str">
        <f t="shared" si="0"/>
        <v/>
      </c>
      <c r="C914" s="493"/>
      <c r="D914" s="493"/>
      <c r="E914" s="493"/>
      <c r="F914" s="493"/>
      <c r="G914" s="493"/>
      <c r="H914" s="493"/>
      <c r="I914" s="494"/>
      <c r="J914" s="493"/>
      <c r="K914" s="493"/>
    </row>
    <row r="915" spans="2:11" ht="12.75">
      <c r="B915" s="495" t="str">
        <f t="shared" si="0"/>
        <v/>
      </c>
      <c r="C915" s="493"/>
      <c r="D915" s="493"/>
      <c r="E915" s="493"/>
      <c r="F915" s="493"/>
      <c r="G915" s="493"/>
      <c r="H915" s="493"/>
      <c r="I915" s="494"/>
      <c r="J915" s="493"/>
      <c r="K915" s="493"/>
    </row>
    <row r="916" spans="2:11" ht="12.75">
      <c r="B916" s="495" t="str">
        <f t="shared" si="0"/>
        <v/>
      </c>
      <c r="C916" s="493"/>
      <c r="D916" s="493"/>
      <c r="E916" s="493"/>
      <c r="F916" s="493"/>
      <c r="G916" s="493"/>
      <c r="H916" s="493"/>
      <c r="I916" s="494"/>
      <c r="J916" s="493"/>
      <c r="K916" s="493"/>
    </row>
    <row r="917" spans="2:11" ht="12.75">
      <c r="B917" s="495" t="str">
        <f t="shared" si="0"/>
        <v/>
      </c>
      <c r="C917" s="493"/>
      <c r="D917" s="493"/>
      <c r="E917" s="493"/>
      <c r="F917" s="493"/>
      <c r="G917" s="493"/>
      <c r="H917" s="493"/>
      <c r="I917" s="494"/>
      <c r="J917" s="493"/>
      <c r="K917" s="493"/>
    </row>
    <row r="918" spans="2:11" ht="12.75">
      <c r="B918" s="495" t="str">
        <f t="shared" si="0"/>
        <v/>
      </c>
      <c r="C918" s="493"/>
      <c r="D918" s="493"/>
      <c r="E918" s="493"/>
      <c r="F918" s="493"/>
      <c r="G918" s="493"/>
      <c r="H918" s="493"/>
      <c r="I918" s="494"/>
      <c r="J918" s="493"/>
      <c r="K918" s="493"/>
    </row>
    <row r="919" spans="2:11" ht="12.75">
      <c r="B919" s="495" t="str">
        <f t="shared" si="0"/>
        <v/>
      </c>
      <c r="C919" s="493"/>
      <c r="D919" s="493"/>
      <c r="E919" s="493"/>
      <c r="F919" s="493"/>
      <c r="G919" s="493"/>
      <c r="H919" s="493"/>
      <c r="I919" s="494"/>
      <c r="J919" s="493"/>
      <c r="K919" s="493"/>
    </row>
    <row r="920" spans="2:11" ht="12.75">
      <c r="B920" s="495" t="str">
        <f t="shared" si="0"/>
        <v/>
      </c>
      <c r="C920" s="493"/>
      <c r="D920" s="493"/>
      <c r="E920" s="493"/>
      <c r="F920" s="493"/>
      <c r="G920" s="493"/>
      <c r="H920" s="493"/>
      <c r="I920" s="494"/>
      <c r="J920" s="493"/>
      <c r="K920" s="493"/>
    </row>
    <row r="921" spans="2:11" ht="12.75">
      <c r="B921" s="495" t="str">
        <f t="shared" si="0"/>
        <v/>
      </c>
      <c r="C921" s="493"/>
      <c r="D921" s="493"/>
      <c r="E921" s="493"/>
      <c r="F921" s="493"/>
      <c r="G921" s="493"/>
      <c r="H921" s="493"/>
      <c r="I921" s="494"/>
      <c r="J921" s="493"/>
      <c r="K921" s="493"/>
    </row>
    <row r="922" spans="2:11" ht="12.75">
      <c r="B922" s="495" t="str">
        <f t="shared" si="0"/>
        <v/>
      </c>
      <c r="C922" s="493"/>
      <c r="D922" s="493"/>
      <c r="E922" s="493"/>
      <c r="F922" s="493"/>
      <c r="G922" s="493"/>
      <c r="H922" s="493"/>
      <c r="I922" s="494"/>
      <c r="J922" s="493"/>
      <c r="K922" s="493"/>
    </row>
    <row r="923" spans="2:11" ht="12.75">
      <c r="B923" s="495" t="str">
        <f t="shared" si="0"/>
        <v/>
      </c>
      <c r="C923" s="493"/>
      <c r="D923" s="493"/>
      <c r="E923" s="493"/>
      <c r="F923" s="493"/>
      <c r="G923" s="493"/>
      <c r="H923" s="493"/>
      <c r="I923" s="494"/>
      <c r="J923" s="493"/>
      <c r="K923" s="493"/>
    </row>
    <row r="924" spans="2:11" ht="12.75">
      <c r="B924" s="495" t="str">
        <f t="shared" si="0"/>
        <v/>
      </c>
      <c r="C924" s="493"/>
      <c r="D924" s="493"/>
      <c r="E924" s="493"/>
      <c r="F924" s="493"/>
      <c r="G924" s="493"/>
      <c r="H924" s="493"/>
      <c r="I924" s="494"/>
      <c r="J924" s="493"/>
      <c r="K924" s="493"/>
    </row>
    <row r="925" spans="2:11" ht="12.75">
      <c r="B925" s="495" t="str">
        <f t="shared" si="0"/>
        <v/>
      </c>
      <c r="C925" s="493"/>
      <c r="D925" s="493"/>
      <c r="E925" s="493"/>
      <c r="F925" s="493"/>
      <c r="G925" s="493"/>
      <c r="H925" s="493"/>
      <c r="I925" s="494"/>
      <c r="J925" s="493"/>
      <c r="K925" s="493"/>
    </row>
    <row r="926" spans="2:11" ht="12.75">
      <c r="B926" s="495" t="str">
        <f t="shared" si="0"/>
        <v/>
      </c>
      <c r="C926" s="493"/>
      <c r="D926" s="493"/>
      <c r="E926" s="493"/>
      <c r="F926" s="493"/>
      <c r="G926" s="493"/>
      <c r="H926" s="493"/>
      <c r="I926" s="494"/>
      <c r="J926" s="493"/>
      <c r="K926" s="493"/>
    </row>
    <row r="927" spans="2:11" ht="12.75">
      <c r="B927" s="495" t="str">
        <f t="shared" si="0"/>
        <v/>
      </c>
      <c r="C927" s="493"/>
      <c r="D927" s="493"/>
      <c r="E927" s="493"/>
      <c r="F927" s="493"/>
      <c r="G927" s="493"/>
      <c r="H927" s="493"/>
      <c r="I927" s="494"/>
      <c r="J927" s="493"/>
      <c r="K927" s="493"/>
    </row>
    <row r="928" spans="2:11" ht="12.75">
      <c r="B928" s="495" t="str">
        <f t="shared" si="0"/>
        <v/>
      </c>
      <c r="C928" s="493"/>
      <c r="D928" s="493"/>
      <c r="E928" s="493"/>
      <c r="F928" s="493"/>
      <c r="G928" s="493"/>
      <c r="H928" s="493"/>
      <c r="I928" s="494"/>
      <c r="J928" s="493"/>
      <c r="K928" s="493"/>
    </row>
    <row r="929" spans="2:11" ht="12.75">
      <c r="B929" s="495" t="str">
        <f t="shared" si="0"/>
        <v/>
      </c>
      <c r="C929" s="493"/>
      <c r="D929" s="493"/>
      <c r="E929" s="493"/>
      <c r="F929" s="493"/>
      <c r="G929" s="493"/>
      <c r="H929" s="493"/>
      <c r="I929" s="494"/>
      <c r="J929" s="493"/>
      <c r="K929" s="493"/>
    </row>
    <row r="930" spans="2:11" ht="12.75">
      <c r="B930" s="495" t="str">
        <f t="shared" si="0"/>
        <v/>
      </c>
      <c r="C930" s="493"/>
      <c r="D930" s="493"/>
      <c r="E930" s="493"/>
      <c r="F930" s="493"/>
      <c r="G930" s="493"/>
      <c r="H930" s="493"/>
      <c r="I930" s="494"/>
      <c r="J930" s="493"/>
      <c r="K930" s="493"/>
    </row>
    <row r="931" spans="2:11" ht="12.75">
      <c r="B931" s="495" t="str">
        <f t="shared" si="0"/>
        <v/>
      </c>
      <c r="C931" s="493"/>
      <c r="D931" s="493"/>
      <c r="E931" s="493"/>
      <c r="F931" s="493"/>
      <c r="G931" s="493"/>
      <c r="H931" s="493"/>
      <c r="I931" s="494"/>
      <c r="J931" s="493"/>
      <c r="K931" s="493"/>
    </row>
    <row r="932" spans="2:11" ht="12.75">
      <c r="B932" s="495" t="str">
        <f t="shared" si="0"/>
        <v/>
      </c>
      <c r="C932" s="493"/>
      <c r="D932" s="493"/>
      <c r="E932" s="493"/>
      <c r="F932" s="493"/>
      <c r="G932" s="493"/>
      <c r="H932" s="493"/>
      <c r="I932" s="494"/>
      <c r="J932" s="493"/>
      <c r="K932" s="493"/>
    </row>
    <row r="933" spans="2:11" ht="12.75">
      <c r="B933" s="495" t="str">
        <f t="shared" si="0"/>
        <v/>
      </c>
      <c r="C933" s="493"/>
      <c r="D933" s="493"/>
      <c r="E933" s="493"/>
      <c r="F933" s="493"/>
      <c r="G933" s="493"/>
      <c r="H933" s="493"/>
      <c r="I933" s="494"/>
      <c r="J933" s="493"/>
      <c r="K933" s="493"/>
    </row>
    <row r="934" spans="2:11" ht="12.75">
      <c r="B934" s="495" t="str">
        <f t="shared" si="0"/>
        <v/>
      </c>
      <c r="C934" s="493"/>
      <c r="D934" s="493"/>
      <c r="E934" s="493"/>
      <c r="F934" s="493"/>
      <c r="G934" s="493"/>
      <c r="H934" s="493"/>
      <c r="I934" s="494"/>
      <c r="J934" s="493"/>
      <c r="K934" s="493"/>
    </row>
    <row r="935" spans="2:11" ht="12.75">
      <c r="B935" s="495" t="str">
        <f t="shared" si="0"/>
        <v/>
      </c>
      <c r="C935" s="493"/>
      <c r="D935" s="493"/>
      <c r="E935" s="493"/>
      <c r="F935" s="493"/>
      <c r="G935" s="493"/>
      <c r="H935" s="493"/>
      <c r="I935" s="494"/>
      <c r="J935" s="493"/>
      <c r="K935" s="493"/>
    </row>
    <row r="936" spans="2:11" ht="12.75">
      <c r="B936" s="495" t="str">
        <f t="shared" si="0"/>
        <v/>
      </c>
      <c r="C936" s="493"/>
      <c r="D936" s="493"/>
      <c r="E936" s="493"/>
      <c r="F936" s="493"/>
      <c r="G936" s="493"/>
      <c r="H936" s="493"/>
      <c r="I936" s="494"/>
      <c r="J936" s="493"/>
      <c r="K936" s="493"/>
    </row>
    <row r="937" spans="2:11" ht="12.75">
      <c r="B937" s="495" t="str">
        <f t="shared" si="0"/>
        <v/>
      </c>
      <c r="C937" s="493"/>
      <c r="D937" s="493"/>
      <c r="E937" s="493"/>
      <c r="F937" s="493"/>
      <c r="G937" s="493"/>
      <c r="H937" s="493"/>
      <c r="I937" s="494"/>
      <c r="J937" s="493"/>
      <c r="K937" s="493"/>
    </row>
    <row r="938" spans="2:11" ht="12.75">
      <c r="B938" s="495" t="str">
        <f t="shared" si="0"/>
        <v/>
      </c>
      <c r="C938" s="493"/>
      <c r="D938" s="493"/>
      <c r="E938" s="493"/>
      <c r="F938" s="493"/>
      <c r="G938" s="493"/>
      <c r="H938" s="493"/>
      <c r="I938" s="494"/>
      <c r="J938" s="493"/>
      <c r="K938" s="493"/>
    </row>
    <row r="939" spans="2:11" ht="12.75">
      <c r="B939" s="495" t="str">
        <f t="shared" si="0"/>
        <v/>
      </c>
      <c r="C939" s="493"/>
      <c r="D939" s="493"/>
      <c r="E939" s="493"/>
      <c r="F939" s="493"/>
      <c r="G939" s="493"/>
      <c r="H939" s="493"/>
      <c r="I939" s="494"/>
      <c r="J939" s="493"/>
      <c r="K939" s="493"/>
    </row>
    <row r="940" spans="2:11" ht="12.75">
      <c r="B940" s="495" t="str">
        <f t="shared" si="0"/>
        <v/>
      </c>
      <c r="C940" s="493"/>
      <c r="D940" s="493"/>
      <c r="E940" s="493"/>
      <c r="F940" s="493"/>
      <c r="G940" s="493"/>
      <c r="H940" s="493"/>
      <c r="I940" s="494"/>
      <c r="J940" s="493"/>
      <c r="K940" s="493"/>
    </row>
    <row r="941" spans="2:11" ht="12.75">
      <c r="B941" s="495" t="str">
        <f t="shared" si="0"/>
        <v/>
      </c>
      <c r="C941" s="493"/>
      <c r="D941" s="493"/>
      <c r="E941" s="493"/>
      <c r="F941" s="493"/>
      <c r="G941" s="493"/>
      <c r="H941" s="493"/>
      <c r="I941" s="494"/>
      <c r="J941" s="493"/>
      <c r="K941" s="493"/>
    </row>
    <row r="942" spans="2:11" ht="12.75">
      <c r="B942" s="495" t="str">
        <f t="shared" si="0"/>
        <v/>
      </c>
      <c r="C942" s="493"/>
      <c r="D942" s="493"/>
      <c r="E942" s="493"/>
      <c r="F942" s="493"/>
      <c r="G942" s="493"/>
      <c r="H942" s="493"/>
      <c r="I942" s="494"/>
      <c r="J942" s="493"/>
      <c r="K942" s="493"/>
    </row>
    <row r="943" spans="2:11" ht="12.75">
      <c r="B943" s="495" t="str">
        <f t="shared" si="0"/>
        <v/>
      </c>
      <c r="C943" s="493"/>
      <c r="D943" s="493"/>
      <c r="E943" s="493"/>
      <c r="F943" s="493"/>
      <c r="G943" s="493"/>
      <c r="H943" s="493"/>
      <c r="I943" s="494"/>
      <c r="J943" s="493"/>
      <c r="K943" s="493"/>
    </row>
    <row r="944" spans="2:11" ht="12.75">
      <c r="B944" s="495" t="str">
        <f t="shared" si="0"/>
        <v/>
      </c>
      <c r="C944" s="493"/>
      <c r="D944" s="493"/>
      <c r="E944" s="493"/>
      <c r="F944" s="493"/>
      <c r="G944" s="493"/>
      <c r="H944" s="493"/>
      <c r="I944" s="494"/>
      <c r="J944" s="493"/>
      <c r="K944" s="493"/>
    </row>
    <row r="945" spans="2:11" ht="12.75">
      <c r="B945" s="495" t="str">
        <f t="shared" si="0"/>
        <v/>
      </c>
      <c r="C945" s="493"/>
      <c r="D945" s="493"/>
      <c r="E945" s="493"/>
      <c r="F945" s="493"/>
      <c r="G945" s="493"/>
      <c r="H945" s="493"/>
      <c r="I945" s="494"/>
      <c r="J945" s="493"/>
      <c r="K945" s="493"/>
    </row>
    <row r="946" spans="2:11" ht="12.75">
      <c r="B946" s="495" t="str">
        <f t="shared" si="0"/>
        <v/>
      </c>
      <c r="C946" s="493"/>
      <c r="D946" s="493"/>
      <c r="E946" s="493"/>
      <c r="F946" s="493"/>
      <c r="G946" s="493"/>
      <c r="H946" s="493"/>
      <c r="I946" s="494"/>
      <c r="J946" s="493"/>
      <c r="K946" s="493"/>
    </row>
    <row r="947" spans="2:11" ht="12.75">
      <c r="B947" s="495" t="str">
        <f t="shared" si="0"/>
        <v/>
      </c>
      <c r="C947" s="493"/>
      <c r="D947" s="493"/>
      <c r="E947" s="493"/>
      <c r="F947" s="493"/>
      <c r="G947" s="493"/>
      <c r="H947" s="493"/>
      <c r="I947" s="494"/>
      <c r="J947" s="493"/>
      <c r="K947" s="493"/>
    </row>
    <row r="948" spans="2:11" ht="12.75">
      <c r="B948" s="495" t="str">
        <f t="shared" si="0"/>
        <v/>
      </c>
      <c r="C948" s="493"/>
      <c r="D948" s="493"/>
      <c r="E948" s="493"/>
      <c r="F948" s="493"/>
      <c r="G948" s="493"/>
      <c r="H948" s="493"/>
      <c r="I948" s="494"/>
      <c r="J948" s="493"/>
      <c r="K948" s="493"/>
    </row>
    <row r="949" spans="2:11" ht="12.75">
      <c r="B949" s="495" t="str">
        <f t="shared" si="0"/>
        <v/>
      </c>
      <c r="C949" s="493"/>
      <c r="D949" s="493"/>
      <c r="E949" s="493"/>
      <c r="F949" s="493"/>
      <c r="G949" s="493"/>
      <c r="H949" s="493"/>
      <c r="I949" s="494"/>
      <c r="J949" s="493"/>
      <c r="K949" s="493"/>
    </row>
    <row r="950" spans="2:11" ht="12.75">
      <c r="B950" s="495" t="str">
        <f t="shared" si="0"/>
        <v/>
      </c>
      <c r="C950" s="493"/>
      <c r="D950" s="493"/>
      <c r="E950" s="493"/>
      <c r="F950" s="493"/>
      <c r="G950" s="493"/>
      <c r="H950" s="493"/>
      <c r="I950" s="494"/>
      <c r="J950" s="493"/>
      <c r="K950" s="493"/>
    </row>
    <row r="951" spans="2:11" ht="12.75">
      <c r="B951" s="495" t="str">
        <f t="shared" si="0"/>
        <v/>
      </c>
      <c r="C951" s="493"/>
      <c r="D951" s="493"/>
      <c r="E951" s="493"/>
      <c r="F951" s="493"/>
      <c r="G951" s="493"/>
      <c r="H951" s="493"/>
      <c r="I951" s="494"/>
      <c r="J951" s="493"/>
      <c r="K951" s="493"/>
    </row>
    <row r="952" spans="2:11" ht="12.75">
      <c r="B952" s="495" t="str">
        <f t="shared" si="0"/>
        <v/>
      </c>
      <c r="C952" s="493"/>
      <c r="D952" s="493"/>
      <c r="E952" s="493"/>
      <c r="F952" s="493"/>
      <c r="G952" s="493"/>
      <c r="H952" s="493"/>
      <c r="I952" s="494"/>
      <c r="J952" s="493"/>
      <c r="K952" s="493"/>
    </row>
    <row r="953" spans="2:11" ht="12.75">
      <c r="B953" s="495" t="str">
        <f t="shared" si="0"/>
        <v/>
      </c>
      <c r="C953" s="493"/>
      <c r="D953" s="493"/>
      <c r="E953" s="493"/>
      <c r="F953" s="493"/>
      <c r="G953" s="493"/>
      <c r="H953" s="493"/>
      <c r="I953" s="494"/>
      <c r="J953" s="493"/>
      <c r="K953" s="493"/>
    </row>
    <row r="954" spans="2:11" ht="12.75">
      <c r="B954" s="495" t="str">
        <f t="shared" si="0"/>
        <v/>
      </c>
      <c r="C954" s="493"/>
      <c r="D954" s="493"/>
      <c r="E954" s="493"/>
      <c r="F954" s="493"/>
      <c r="G954" s="493"/>
      <c r="H954" s="493"/>
      <c r="I954" s="494"/>
      <c r="J954" s="493"/>
      <c r="K954" s="493"/>
    </row>
    <row r="955" spans="2:11" ht="12.75">
      <c r="B955" s="495" t="str">
        <f t="shared" si="0"/>
        <v/>
      </c>
      <c r="C955" s="493"/>
      <c r="D955" s="493"/>
      <c r="E955" s="493"/>
      <c r="F955" s="493"/>
      <c r="G955" s="493"/>
      <c r="H955" s="493"/>
      <c r="I955" s="494"/>
      <c r="J955" s="493"/>
      <c r="K955" s="493"/>
    </row>
    <row r="956" spans="2:11" ht="12.75">
      <c r="B956" s="495" t="str">
        <f t="shared" si="0"/>
        <v/>
      </c>
      <c r="C956" s="493"/>
      <c r="D956" s="493"/>
      <c r="E956" s="493"/>
      <c r="F956" s="493"/>
      <c r="G956" s="493"/>
      <c r="H956" s="493"/>
      <c r="I956" s="494"/>
      <c r="J956" s="493"/>
      <c r="K956" s="493"/>
    </row>
    <row r="957" spans="2:11" ht="12.75">
      <c r="B957" s="495" t="str">
        <f t="shared" si="0"/>
        <v/>
      </c>
      <c r="C957" s="493"/>
      <c r="D957" s="493"/>
      <c r="E957" s="493"/>
      <c r="F957" s="493"/>
      <c r="G957" s="493"/>
      <c r="H957" s="493"/>
      <c r="I957" s="494"/>
      <c r="J957" s="493"/>
      <c r="K957" s="493"/>
    </row>
    <row r="958" spans="2:11" ht="12.75">
      <c r="B958" s="495" t="str">
        <f t="shared" si="0"/>
        <v/>
      </c>
      <c r="C958" s="493"/>
      <c r="D958" s="493"/>
      <c r="E958" s="493"/>
      <c r="F958" s="493"/>
      <c r="G958" s="493"/>
      <c r="H958" s="493"/>
      <c r="I958" s="494"/>
      <c r="J958" s="493"/>
      <c r="K958" s="493"/>
    </row>
    <row r="959" spans="2:11" ht="12.75">
      <c r="B959" s="495" t="str">
        <f t="shared" si="0"/>
        <v/>
      </c>
      <c r="C959" s="493"/>
      <c r="D959" s="493"/>
      <c r="E959" s="493"/>
      <c r="F959" s="493"/>
      <c r="G959" s="493"/>
      <c r="H959" s="493"/>
      <c r="I959" s="494"/>
      <c r="J959" s="493"/>
      <c r="K959" s="493"/>
    </row>
    <row r="960" spans="2:11" ht="12.75">
      <c r="B960" s="495" t="str">
        <f t="shared" si="0"/>
        <v/>
      </c>
      <c r="C960" s="493"/>
      <c r="D960" s="493"/>
      <c r="E960" s="493"/>
      <c r="F960" s="493"/>
      <c r="G960" s="493"/>
      <c r="H960" s="493"/>
      <c r="I960" s="494"/>
      <c r="J960" s="493"/>
      <c r="K960" s="493"/>
    </row>
    <row r="961" spans="2:11" ht="12.75">
      <c r="B961" s="495" t="str">
        <f t="shared" si="0"/>
        <v/>
      </c>
      <c r="C961" s="493"/>
      <c r="D961" s="493"/>
      <c r="E961" s="493"/>
      <c r="F961" s="493"/>
      <c r="G961" s="493"/>
      <c r="H961" s="493"/>
      <c r="I961" s="494"/>
      <c r="J961" s="493"/>
      <c r="K961" s="493"/>
    </row>
    <row r="962" spans="2:11" ht="12.75">
      <c r="B962" s="495" t="str">
        <f t="shared" si="0"/>
        <v/>
      </c>
      <c r="C962" s="493"/>
      <c r="D962" s="493"/>
      <c r="E962" s="493"/>
      <c r="F962" s="493"/>
      <c r="G962" s="493"/>
      <c r="H962" s="493"/>
      <c r="I962" s="494"/>
      <c r="J962" s="493"/>
      <c r="K962" s="493"/>
    </row>
    <row r="963" spans="2:11" ht="12.75">
      <c r="B963" s="495" t="str">
        <f t="shared" si="0"/>
        <v/>
      </c>
      <c r="C963" s="493"/>
      <c r="D963" s="493"/>
      <c r="E963" s="493"/>
      <c r="F963" s="493"/>
      <c r="G963" s="493"/>
      <c r="H963" s="493"/>
      <c r="I963" s="494"/>
      <c r="J963" s="493"/>
      <c r="K963" s="493"/>
    </row>
    <row r="964" spans="2:11" ht="12.75">
      <c r="B964" s="495" t="str">
        <f t="shared" si="0"/>
        <v/>
      </c>
      <c r="C964" s="493"/>
      <c r="D964" s="493"/>
      <c r="E964" s="493"/>
      <c r="F964" s="493"/>
      <c r="G964" s="493"/>
      <c r="H964" s="493"/>
      <c r="I964" s="494"/>
      <c r="J964" s="493"/>
      <c r="K964" s="493"/>
    </row>
    <row r="965" spans="2:11" ht="12.75">
      <c r="B965" s="495" t="str">
        <f t="shared" si="0"/>
        <v/>
      </c>
      <c r="C965" s="493"/>
      <c r="D965" s="493"/>
      <c r="E965" s="493"/>
      <c r="F965" s="493"/>
      <c r="G965" s="493"/>
      <c r="H965" s="493"/>
      <c r="I965" s="494"/>
      <c r="J965" s="493"/>
      <c r="K965" s="493"/>
    </row>
    <row r="966" spans="2:11" ht="12.75">
      <c r="B966" s="495" t="str">
        <f t="shared" si="0"/>
        <v/>
      </c>
      <c r="C966" s="493"/>
      <c r="D966" s="493"/>
      <c r="E966" s="493"/>
      <c r="F966" s="493"/>
      <c r="G966" s="493"/>
      <c r="H966" s="493"/>
      <c r="I966" s="494"/>
      <c r="J966" s="493"/>
      <c r="K966" s="493"/>
    </row>
    <row r="967" spans="2:11" ht="12.75">
      <c r="B967" s="495" t="str">
        <f t="shared" si="0"/>
        <v/>
      </c>
      <c r="C967" s="493"/>
      <c r="D967" s="493"/>
      <c r="E967" s="493"/>
      <c r="F967" s="493"/>
      <c r="G967" s="493"/>
      <c r="H967" s="493"/>
      <c r="I967" s="494"/>
      <c r="J967" s="493"/>
      <c r="K967" s="493"/>
    </row>
    <row r="968" spans="2:11" ht="12.75">
      <c r="B968" s="495" t="str">
        <f t="shared" si="0"/>
        <v/>
      </c>
      <c r="C968" s="493"/>
      <c r="D968" s="493"/>
      <c r="E968" s="493"/>
      <c r="F968" s="493"/>
      <c r="G968" s="493"/>
      <c r="H968" s="493"/>
      <c r="I968" s="494"/>
      <c r="J968" s="493"/>
      <c r="K968" s="493"/>
    </row>
    <row r="969" spans="2:11" ht="12.75">
      <c r="B969" s="495" t="str">
        <f t="shared" si="0"/>
        <v/>
      </c>
      <c r="C969" s="493"/>
      <c r="D969" s="493"/>
      <c r="E969" s="493"/>
      <c r="F969" s="493"/>
      <c r="G969" s="493"/>
      <c r="H969" s="493"/>
      <c r="I969" s="494"/>
      <c r="J969" s="493"/>
      <c r="K969" s="493"/>
    </row>
    <row r="970" spans="2:11" ht="12.75">
      <c r="B970" s="495" t="str">
        <f t="shared" si="0"/>
        <v/>
      </c>
      <c r="C970" s="493"/>
      <c r="D970" s="493"/>
      <c r="E970" s="493"/>
      <c r="F970" s="493"/>
      <c r="G970" s="493"/>
      <c r="H970" s="493"/>
      <c r="I970" s="494"/>
      <c r="J970" s="493"/>
      <c r="K970" s="493"/>
    </row>
    <row r="971" spans="2:11" ht="12.75">
      <c r="B971" s="495" t="str">
        <f t="shared" si="0"/>
        <v/>
      </c>
      <c r="C971" s="493"/>
      <c r="D971" s="493"/>
      <c r="E971" s="493"/>
      <c r="F971" s="493"/>
      <c r="G971" s="493"/>
      <c r="H971" s="493"/>
      <c r="I971" s="494"/>
      <c r="J971" s="493"/>
      <c r="K971" s="493"/>
    </row>
    <row r="972" spans="2:11" ht="12.75">
      <c r="B972" s="495" t="str">
        <f t="shared" si="0"/>
        <v/>
      </c>
      <c r="C972" s="493"/>
      <c r="D972" s="493"/>
      <c r="E972" s="493"/>
      <c r="F972" s="493"/>
      <c r="G972" s="493"/>
      <c r="H972" s="493"/>
      <c r="I972" s="494"/>
      <c r="J972" s="493"/>
      <c r="K972" s="493"/>
    </row>
    <row r="973" spans="2:11" ht="12.75">
      <c r="B973" s="495" t="str">
        <f t="shared" si="0"/>
        <v/>
      </c>
      <c r="C973" s="493"/>
      <c r="D973" s="493"/>
      <c r="E973" s="493"/>
      <c r="F973" s="493"/>
      <c r="G973" s="493"/>
      <c r="H973" s="493"/>
      <c r="I973" s="494"/>
      <c r="J973" s="493"/>
      <c r="K973" s="493"/>
    </row>
    <row r="974" spans="2:11" ht="12.75">
      <c r="B974" s="495" t="str">
        <f t="shared" si="0"/>
        <v/>
      </c>
      <c r="C974" s="493"/>
      <c r="D974" s="493"/>
      <c r="E974" s="493"/>
      <c r="F974" s="493"/>
      <c r="G974" s="493"/>
      <c r="H974" s="493"/>
      <c r="I974" s="494"/>
      <c r="J974" s="493"/>
      <c r="K974" s="493"/>
    </row>
    <row r="975" spans="2:11" ht="12.75">
      <c r="B975" s="495" t="str">
        <f t="shared" si="0"/>
        <v/>
      </c>
      <c r="C975" s="493"/>
      <c r="D975" s="493"/>
      <c r="E975" s="493"/>
      <c r="F975" s="493"/>
      <c r="G975" s="493"/>
      <c r="H975" s="493"/>
      <c r="I975" s="494"/>
      <c r="J975" s="493"/>
      <c r="K975" s="493"/>
    </row>
    <row r="976" spans="2:11" ht="12.75">
      <c r="B976" s="495" t="str">
        <f t="shared" si="0"/>
        <v/>
      </c>
      <c r="C976" s="493"/>
      <c r="D976" s="493"/>
      <c r="E976" s="493"/>
      <c r="F976" s="493"/>
      <c r="G976" s="493"/>
      <c r="H976" s="493"/>
      <c r="I976" s="494"/>
      <c r="J976" s="493"/>
      <c r="K976" s="493"/>
    </row>
    <row r="977" spans="2:11" ht="12.75">
      <c r="B977" s="495" t="str">
        <f t="shared" si="0"/>
        <v/>
      </c>
      <c r="C977" s="493"/>
      <c r="D977" s="493"/>
      <c r="E977" s="493"/>
      <c r="F977" s="493"/>
      <c r="G977" s="493"/>
      <c r="H977" s="493"/>
      <c r="I977" s="494"/>
      <c r="J977" s="493"/>
      <c r="K977" s="493"/>
    </row>
    <row r="978" spans="2:11" ht="12.75">
      <c r="B978" s="495" t="str">
        <f t="shared" si="0"/>
        <v/>
      </c>
      <c r="C978" s="493"/>
      <c r="D978" s="493"/>
      <c r="E978" s="493"/>
      <c r="F978" s="493"/>
      <c r="G978" s="493"/>
      <c r="H978" s="493"/>
      <c r="I978" s="494"/>
      <c r="J978" s="493"/>
      <c r="K978" s="493"/>
    </row>
    <row r="979" spans="2:11" ht="12.75">
      <c r="B979" s="495" t="str">
        <f t="shared" si="0"/>
        <v/>
      </c>
      <c r="C979" s="493"/>
      <c r="D979" s="493"/>
      <c r="E979" s="493"/>
      <c r="F979" s="493"/>
      <c r="G979" s="493"/>
      <c r="H979" s="493"/>
      <c r="I979" s="494"/>
      <c r="J979" s="493"/>
      <c r="K979" s="493"/>
    </row>
    <row r="980" spans="2:11" ht="12.75">
      <c r="B980" s="495" t="str">
        <f t="shared" si="0"/>
        <v/>
      </c>
      <c r="C980" s="493"/>
      <c r="D980" s="493"/>
      <c r="E980" s="493"/>
      <c r="F980" s="493"/>
      <c r="G980" s="493"/>
      <c r="H980" s="493"/>
      <c r="I980" s="494"/>
      <c r="J980" s="493"/>
      <c r="K980" s="493"/>
    </row>
    <row r="981" spans="2:11" ht="12.75">
      <c r="B981" s="495" t="str">
        <f t="shared" si="0"/>
        <v/>
      </c>
      <c r="C981" s="493"/>
      <c r="D981" s="493"/>
      <c r="E981" s="493"/>
      <c r="F981" s="493"/>
      <c r="G981" s="493"/>
      <c r="H981" s="493"/>
      <c r="I981" s="494"/>
      <c r="J981" s="493"/>
      <c r="K981" s="493"/>
    </row>
    <row r="982" spans="2:11" ht="12.75">
      <c r="B982" s="495" t="str">
        <f t="shared" si="0"/>
        <v/>
      </c>
      <c r="C982" s="493"/>
      <c r="D982" s="493"/>
      <c r="E982" s="493"/>
      <c r="F982" s="493"/>
      <c r="G982" s="493"/>
      <c r="H982" s="493"/>
      <c r="I982" s="494"/>
      <c r="J982" s="493"/>
      <c r="K982" s="493"/>
    </row>
    <row r="983" spans="2:11" ht="12.75">
      <c r="B983" s="495" t="str">
        <f t="shared" si="0"/>
        <v/>
      </c>
      <c r="C983" s="493"/>
      <c r="D983" s="493"/>
      <c r="E983" s="493"/>
      <c r="F983" s="493"/>
      <c r="G983" s="493"/>
      <c r="H983" s="493"/>
      <c r="I983" s="494"/>
      <c r="J983" s="493"/>
      <c r="K983" s="493"/>
    </row>
    <row r="984" spans="2:11" ht="12.75">
      <c r="B984" s="495" t="str">
        <f t="shared" si="0"/>
        <v/>
      </c>
      <c r="C984" s="493"/>
      <c r="D984" s="493"/>
      <c r="E984" s="493"/>
      <c r="F984" s="493"/>
      <c r="G984" s="493"/>
      <c r="H984" s="493"/>
      <c r="I984" s="494"/>
      <c r="J984" s="493"/>
      <c r="K984" s="493"/>
    </row>
    <row r="985" spans="2:11" ht="12.75">
      <c r="B985" s="495" t="str">
        <f t="shared" si="0"/>
        <v/>
      </c>
      <c r="C985" s="493"/>
      <c r="D985" s="493"/>
      <c r="E985" s="493"/>
      <c r="F985" s="493"/>
      <c r="G985" s="493"/>
      <c r="H985" s="493"/>
      <c r="I985" s="494"/>
      <c r="J985" s="493"/>
      <c r="K985" s="493"/>
    </row>
    <row r="986" spans="2:11" ht="12.75">
      <c r="B986" s="495" t="str">
        <f t="shared" si="0"/>
        <v/>
      </c>
      <c r="C986" s="493"/>
      <c r="D986" s="493"/>
      <c r="E986" s="493"/>
      <c r="F986" s="493"/>
      <c r="G986" s="493"/>
      <c r="H986" s="493"/>
      <c r="I986" s="494"/>
      <c r="J986" s="493"/>
      <c r="K986" s="493"/>
    </row>
    <row r="987" spans="2:11" ht="12.75">
      <c r="B987" s="495" t="str">
        <f t="shared" si="0"/>
        <v/>
      </c>
      <c r="C987" s="493"/>
      <c r="D987" s="493"/>
      <c r="E987" s="493"/>
      <c r="F987" s="493"/>
      <c r="G987" s="493"/>
      <c r="H987" s="493"/>
      <c r="I987" s="494"/>
      <c r="J987" s="493"/>
      <c r="K987" s="493"/>
    </row>
    <row r="988" spans="2:11" ht="12.75">
      <c r="B988" s="495" t="str">
        <f t="shared" si="0"/>
        <v/>
      </c>
      <c r="C988" s="493"/>
      <c r="D988" s="493"/>
      <c r="E988" s="493"/>
      <c r="F988" s="493"/>
      <c r="G988" s="493"/>
      <c r="H988" s="493"/>
      <c r="I988" s="494"/>
      <c r="J988" s="493"/>
      <c r="K988" s="493"/>
    </row>
    <row r="989" spans="2:11" ht="12.75">
      <c r="B989" s="495" t="str">
        <f t="shared" si="0"/>
        <v/>
      </c>
      <c r="C989" s="493"/>
      <c r="D989" s="493"/>
      <c r="E989" s="493"/>
      <c r="F989" s="493"/>
      <c r="G989" s="493"/>
      <c r="H989" s="493"/>
      <c r="I989" s="494"/>
      <c r="J989" s="493"/>
      <c r="K989" s="493"/>
    </row>
    <row r="990" spans="2:11" ht="12.75">
      <c r="B990" s="495" t="str">
        <f t="shared" si="0"/>
        <v/>
      </c>
      <c r="C990" s="493"/>
      <c r="D990" s="493"/>
      <c r="E990" s="493"/>
      <c r="F990" s="493"/>
      <c r="G990" s="493"/>
      <c r="H990" s="493"/>
      <c r="I990" s="494"/>
      <c r="J990" s="493"/>
      <c r="K990" s="493"/>
    </row>
    <row r="991" spans="2:11" ht="12.75">
      <c r="B991" s="495" t="str">
        <f t="shared" si="0"/>
        <v/>
      </c>
      <c r="C991" s="493"/>
      <c r="D991" s="493"/>
      <c r="E991" s="493"/>
      <c r="F991" s="493"/>
      <c r="G991" s="493"/>
      <c r="H991" s="493"/>
      <c r="I991" s="494"/>
      <c r="J991" s="493"/>
      <c r="K991" s="493"/>
    </row>
    <row r="992" spans="2:11" ht="12.75">
      <c r="B992" s="495" t="str">
        <f t="shared" si="0"/>
        <v/>
      </c>
      <c r="C992" s="493"/>
      <c r="D992" s="493"/>
      <c r="E992" s="493"/>
      <c r="F992" s="493"/>
      <c r="G992" s="493"/>
      <c r="H992" s="493"/>
      <c r="I992" s="494"/>
      <c r="J992" s="493"/>
      <c r="K992" s="493"/>
    </row>
    <row r="993" spans="2:11" ht="12.75">
      <c r="B993" s="495" t="str">
        <f t="shared" si="0"/>
        <v/>
      </c>
      <c r="C993" s="493"/>
      <c r="D993" s="493"/>
      <c r="E993" s="493"/>
      <c r="F993" s="493"/>
      <c r="G993" s="493"/>
      <c r="H993" s="493"/>
      <c r="I993" s="494"/>
      <c r="J993" s="493"/>
      <c r="K993" s="493"/>
    </row>
    <row r="994" spans="2:11" ht="12.75">
      <c r="B994" s="495" t="str">
        <f t="shared" si="0"/>
        <v/>
      </c>
      <c r="C994" s="493"/>
      <c r="D994" s="493"/>
      <c r="E994" s="493"/>
      <c r="F994" s="493"/>
      <c r="G994" s="493"/>
      <c r="H994" s="493"/>
      <c r="I994" s="494"/>
      <c r="J994" s="493"/>
      <c r="K994" s="493"/>
    </row>
    <row r="995" spans="2:11" ht="12.75">
      <c r="B995" s="495" t="str">
        <f t="shared" si="0"/>
        <v/>
      </c>
      <c r="C995" s="493"/>
      <c r="D995" s="493"/>
      <c r="E995" s="493"/>
      <c r="F995" s="493"/>
      <c r="G995" s="493"/>
      <c r="H995" s="493"/>
      <c r="I995" s="494"/>
      <c r="J995" s="493"/>
      <c r="K995" s="493"/>
    </row>
    <row r="996" spans="2:11" ht="12.75">
      <c r="B996" s="495" t="str">
        <f t="shared" si="0"/>
        <v/>
      </c>
      <c r="C996" s="493"/>
      <c r="D996" s="493"/>
      <c r="E996" s="493"/>
      <c r="F996" s="493"/>
      <c r="G996" s="493"/>
      <c r="H996" s="493"/>
      <c r="I996" s="494"/>
      <c r="J996" s="493"/>
      <c r="K996" s="493"/>
    </row>
    <row r="997" spans="2:11" ht="12.75">
      <c r="B997" s="495" t="str">
        <f t="shared" si="0"/>
        <v/>
      </c>
      <c r="C997" s="493"/>
      <c r="D997" s="493"/>
      <c r="E997" s="493"/>
      <c r="F997" s="493"/>
      <c r="G997" s="493"/>
      <c r="H997" s="493"/>
      <c r="I997" s="494"/>
      <c r="J997" s="493"/>
      <c r="K997" s="493"/>
    </row>
    <row r="998" spans="2:11" ht="12.75">
      <c r="B998" s="495" t="str">
        <f t="shared" si="0"/>
        <v/>
      </c>
      <c r="C998" s="493"/>
      <c r="D998" s="493"/>
      <c r="E998" s="493"/>
      <c r="F998" s="493"/>
      <c r="G998" s="493"/>
      <c r="H998" s="493"/>
      <c r="I998" s="494"/>
      <c r="J998" s="493"/>
      <c r="K998" s="493"/>
    </row>
    <row r="999" spans="2:11" ht="12.75">
      <c r="B999" s="495" t="str">
        <f t="shared" si="0"/>
        <v/>
      </c>
      <c r="C999" s="493"/>
      <c r="D999" s="493"/>
      <c r="E999" s="493"/>
      <c r="F999" s="493"/>
      <c r="G999" s="493"/>
      <c r="H999" s="493"/>
      <c r="I999" s="494"/>
      <c r="J999" s="493"/>
      <c r="K999" s="493"/>
    </row>
    <row r="1000" spans="2:11" ht="12.75">
      <c r="B1000" s="495" t="str">
        <f t="shared" si="0"/>
        <v/>
      </c>
      <c r="C1000" s="493"/>
      <c r="D1000" s="493"/>
      <c r="E1000" s="493"/>
      <c r="F1000" s="493"/>
      <c r="G1000" s="493"/>
      <c r="H1000" s="493"/>
      <c r="I1000" s="494"/>
      <c r="J1000" s="493"/>
      <c r="K1000" s="493"/>
    </row>
  </sheetData>
  <mergeCells count="2">
    <mergeCell ref="B3:C3"/>
    <mergeCell ref="B9:C9"/>
  </mergeCells>
  <dataValidations count="1">
    <dataValidation type="list" allowBlank="1" showErrorMessage="1" sqref="G6" xr:uid="{00000000-0002-0000-2100-000002000000}">
      <formula1>"ON,OFF"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100-000000000000}">
          <x14:formula1>
            <xm:f>'Entry Logs'!$C$2:$C1000</xm:f>
          </x14:formula1>
          <xm:sqref>E6</xm:sqref>
        </x14:dataValidation>
        <x14:dataValidation type="list" allowBlank="1" showErrorMessage="1" xr:uid="{00000000-0002-0000-2100-000001000000}">
          <x14:formula1>
            <xm:f>'Entry Logs'!$A$2:$A1000</xm:f>
          </x14:formula1>
          <xm:sqref>C6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1007"/>
  <sheetViews>
    <sheetView workbookViewId="0"/>
  </sheetViews>
  <sheetFormatPr defaultColWidth="12.5703125" defaultRowHeight="15.75" customHeight="1"/>
  <cols>
    <col min="1" max="2" width="13.42578125" customWidth="1"/>
    <col min="3" max="3" width="39.140625" customWidth="1"/>
    <col min="4" max="4" width="25.85546875" customWidth="1"/>
    <col min="5" max="5" width="11.7109375" customWidth="1"/>
    <col min="6" max="6" width="33.7109375" customWidth="1"/>
    <col min="7" max="7" width="20.28515625" customWidth="1"/>
  </cols>
  <sheetData>
    <row r="1" spans="1:7" ht="19.5" customHeight="1">
      <c r="A1" s="496" t="s">
        <v>1638</v>
      </c>
      <c r="B1" s="496" t="s">
        <v>1639</v>
      </c>
      <c r="C1" s="496" t="s">
        <v>432</v>
      </c>
      <c r="D1" s="496" t="s">
        <v>1641</v>
      </c>
      <c r="E1" s="496" t="s">
        <v>6</v>
      </c>
      <c r="F1" s="496" t="s">
        <v>13</v>
      </c>
      <c r="G1" s="497" t="s">
        <v>1648</v>
      </c>
    </row>
    <row r="2" spans="1:7" ht="12.75">
      <c r="A2" s="329" t="s">
        <v>1649</v>
      </c>
      <c r="B2" s="329" t="s">
        <v>1643</v>
      </c>
      <c r="C2" s="329" t="s">
        <v>1650</v>
      </c>
      <c r="D2" s="329" t="s">
        <v>1651</v>
      </c>
      <c r="E2" s="498" t="s">
        <v>307</v>
      </c>
      <c r="G2" s="499"/>
    </row>
    <row r="3" spans="1:7" ht="12.75">
      <c r="A3" s="126" t="s">
        <v>1649</v>
      </c>
      <c r="B3" s="126" t="s">
        <v>1643</v>
      </c>
      <c r="C3" s="126" t="s">
        <v>1652</v>
      </c>
      <c r="D3" s="126" t="s">
        <v>1653</v>
      </c>
      <c r="E3" s="126" t="s">
        <v>307</v>
      </c>
      <c r="F3" s="498"/>
      <c r="G3" s="499"/>
    </row>
    <row r="4" spans="1:7" ht="12.75">
      <c r="A4" s="126" t="s">
        <v>1649</v>
      </c>
      <c r="B4" s="126" t="s">
        <v>1643</v>
      </c>
      <c r="C4" s="126" t="s">
        <v>1654</v>
      </c>
      <c r="D4" s="126" t="s">
        <v>1653</v>
      </c>
      <c r="E4" s="126" t="s">
        <v>307</v>
      </c>
      <c r="F4" s="498"/>
      <c r="G4" s="499"/>
    </row>
    <row r="5" spans="1:7" ht="12.75">
      <c r="A5" s="126" t="s">
        <v>1649</v>
      </c>
      <c r="B5" s="126" t="s">
        <v>1643</v>
      </c>
      <c r="C5" s="126" t="s">
        <v>1655</v>
      </c>
      <c r="D5" s="126" t="s">
        <v>1651</v>
      </c>
      <c r="E5" s="126" t="s">
        <v>254</v>
      </c>
      <c r="F5" s="126" t="s">
        <v>1656</v>
      </c>
      <c r="G5" s="499"/>
    </row>
    <row r="6" spans="1:7" ht="12.75">
      <c r="A6" s="126" t="s">
        <v>1649</v>
      </c>
      <c r="B6" s="126" t="s">
        <v>1643</v>
      </c>
      <c r="C6" s="126" t="s">
        <v>1657</v>
      </c>
      <c r="D6" s="126" t="s">
        <v>1658</v>
      </c>
      <c r="E6" s="126" t="s">
        <v>307</v>
      </c>
      <c r="F6" s="126" t="s">
        <v>1659</v>
      </c>
      <c r="G6" s="499"/>
    </row>
    <row r="7" spans="1:7" ht="12.75">
      <c r="A7" s="126" t="s">
        <v>1649</v>
      </c>
      <c r="B7" s="126" t="s">
        <v>1660</v>
      </c>
      <c r="C7" s="126" t="s">
        <v>1661</v>
      </c>
      <c r="D7" s="126" t="s">
        <v>1662</v>
      </c>
      <c r="E7" s="126" t="s">
        <v>307</v>
      </c>
      <c r="F7" s="498"/>
      <c r="G7" s="499"/>
    </row>
    <row r="8" spans="1:7" ht="12.75">
      <c r="A8" s="126" t="s">
        <v>1649</v>
      </c>
      <c r="B8" s="126" t="s">
        <v>1660</v>
      </c>
      <c r="C8" s="126" t="s">
        <v>1663</v>
      </c>
      <c r="D8" s="126" t="s">
        <v>1653</v>
      </c>
      <c r="E8" s="126" t="s">
        <v>307</v>
      </c>
      <c r="F8" s="498"/>
      <c r="G8" s="499"/>
    </row>
    <row r="9" spans="1:7" ht="12.75">
      <c r="A9" s="126" t="s">
        <v>1649</v>
      </c>
      <c r="B9" s="126" t="s">
        <v>1660</v>
      </c>
      <c r="C9" s="126" t="s">
        <v>1664</v>
      </c>
      <c r="D9" s="126" t="s">
        <v>1651</v>
      </c>
      <c r="E9" s="126" t="s">
        <v>307</v>
      </c>
      <c r="G9" s="499"/>
    </row>
    <row r="10" spans="1:7" ht="12.75">
      <c r="A10" s="126" t="s">
        <v>1649</v>
      </c>
      <c r="B10" s="126" t="s">
        <v>1660</v>
      </c>
      <c r="C10" s="126" t="s">
        <v>1665</v>
      </c>
      <c r="D10" s="126" t="s">
        <v>1651</v>
      </c>
      <c r="E10" s="126" t="s">
        <v>254</v>
      </c>
      <c r="F10" s="126" t="s">
        <v>1666</v>
      </c>
      <c r="G10" s="499"/>
    </row>
    <row r="11" spans="1:7" ht="12.75">
      <c r="A11" s="126" t="s">
        <v>1649</v>
      </c>
      <c r="B11" s="126" t="s">
        <v>1660</v>
      </c>
      <c r="C11" s="126" t="s">
        <v>1667</v>
      </c>
      <c r="D11" s="126" t="s">
        <v>1653</v>
      </c>
      <c r="E11" s="126" t="s">
        <v>254</v>
      </c>
      <c r="F11" s="498"/>
      <c r="G11" s="499"/>
    </row>
    <row r="12" spans="1:7" ht="12.75">
      <c r="A12" s="126" t="s">
        <v>1649</v>
      </c>
      <c r="B12" s="126" t="s">
        <v>1668</v>
      </c>
      <c r="C12" s="126" t="s">
        <v>1669</v>
      </c>
      <c r="D12" s="126" t="s">
        <v>1670</v>
      </c>
      <c r="E12" s="126" t="s">
        <v>307</v>
      </c>
      <c r="F12" s="498"/>
      <c r="G12" s="499"/>
    </row>
    <row r="13" spans="1:7" ht="12.75">
      <c r="A13" s="126" t="s">
        <v>1649</v>
      </c>
      <c r="B13" s="126" t="s">
        <v>1668</v>
      </c>
      <c r="C13" s="126" t="s">
        <v>1671</v>
      </c>
      <c r="D13" s="126" t="s">
        <v>1653</v>
      </c>
      <c r="E13" s="126" t="s">
        <v>307</v>
      </c>
      <c r="F13" s="498"/>
      <c r="G13" s="499"/>
    </row>
    <row r="14" spans="1:7" ht="12.75">
      <c r="A14" s="126" t="s">
        <v>1649</v>
      </c>
      <c r="B14" s="126" t="s">
        <v>1668</v>
      </c>
      <c r="C14" s="126" t="s">
        <v>1672</v>
      </c>
      <c r="D14" s="126" t="s">
        <v>1653</v>
      </c>
      <c r="E14" s="126" t="s">
        <v>307</v>
      </c>
      <c r="F14" s="498"/>
      <c r="G14" s="499"/>
    </row>
    <row r="15" spans="1:7" ht="12.75">
      <c r="A15" s="126" t="s">
        <v>443</v>
      </c>
      <c r="B15" s="126" t="s">
        <v>1660</v>
      </c>
      <c r="C15" s="126" t="s">
        <v>1673</v>
      </c>
      <c r="D15" s="126" t="s">
        <v>1658</v>
      </c>
      <c r="E15" s="126" t="s">
        <v>307</v>
      </c>
      <c r="F15" s="498"/>
      <c r="G15" s="499"/>
    </row>
    <row r="16" spans="1:7" ht="12.75">
      <c r="A16" s="126" t="s">
        <v>443</v>
      </c>
      <c r="B16" s="126" t="s">
        <v>1660</v>
      </c>
      <c r="C16" s="126" t="s">
        <v>1674</v>
      </c>
      <c r="D16" s="126" t="s">
        <v>1658</v>
      </c>
      <c r="E16" s="126" t="s">
        <v>307</v>
      </c>
      <c r="F16" s="126" t="s">
        <v>1675</v>
      </c>
      <c r="G16" s="499"/>
    </row>
    <row r="17" spans="1:7" ht="12.75">
      <c r="A17" s="126" t="s">
        <v>443</v>
      </c>
      <c r="B17" s="126" t="s">
        <v>1660</v>
      </c>
      <c r="C17" s="126" t="s">
        <v>1676</v>
      </c>
      <c r="D17" s="126" t="s">
        <v>1658</v>
      </c>
      <c r="E17" s="126" t="s">
        <v>307</v>
      </c>
      <c r="F17" s="498"/>
      <c r="G17" s="499"/>
    </row>
    <row r="18" spans="1:7" ht="12.75">
      <c r="A18" s="126" t="s">
        <v>1677</v>
      </c>
      <c r="B18" s="126" t="s">
        <v>1643</v>
      </c>
      <c r="C18" s="126" t="s">
        <v>1678</v>
      </c>
      <c r="D18" s="126" t="s">
        <v>1651</v>
      </c>
      <c r="F18" s="126" t="s">
        <v>1679</v>
      </c>
      <c r="G18" s="499"/>
    </row>
    <row r="19" spans="1:7" ht="12.75">
      <c r="A19" s="126" t="s">
        <v>1677</v>
      </c>
      <c r="B19" s="126" t="s">
        <v>1643</v>
      </c>
      <c r="C19" s="126" t="s">
        <v>1680</v>
      </c>
      <c r="D19" s="126" t="s">
        <v>1651</v>
      </c>
      <c r="F19" s="126" t="s">
        <v>1679</v>
      </c>
      <c r="G19" s="499"/>
    </row>
    <row r="20" spans="1:7" ht="12.75">
      <c r="A20" s="126" t="s">
        <v>1677</v>
      </c>
      <c r="B20" s="126" t="s">
        <v>1660</v>
      </c>
      <c r="C20" s="126" t="s">
        <v>1681</v>
      </c>
      <c r="D20" s="126" t="s">
        <v>1682</v>
      </c>
      <c r="E20" s="126" t="s">
        <v>307</v>
      </c>
      <c r="F20" s="498"/>
      <c r="G20" s="499"/>
    </row>
    <row r="21" spans="1:7" ht="12.75">
      <c r="A21" s="126" t="s">
        <v>1677</v>
      </c>
      <c r="B21" s="126" t="s">
        <v>1660</v>
      </c>
      <c r="C21" s="126" t="s">
        <v>1683</v>
      </c>
      <c r="D21" s="126" t="s">
        <v>1684</v>
      </c>
      <c r="E21" s="126" t="s">
        <v>254</v>
      </c>
      <c r="F21" s="498"/>
      <c r="G21" s="499"/>
    </row>
    <row r="22" spans="1:7" ht="12.75">
      <c r="A22" s="126" t="s">
        <v>1677</v>
      </c>
      <c r="B22" s="126" t="s">
        <v>1668</v>
      </c>
      <c r="C22" s="126" t="s">
        <v>1685</v>
      </c>
      <c r="D22" s="126" t="s">
        <v>1684</v>
      </c>
      <c r="E22" s="126" t="s">
        <v>307</v>
      </c>
      <c r="F22" s="498"/>
      <c r="G22" s="499"/>
    </row>
    <row r="23" spans="1:7" ht="12.75">
      <c r="A23" s="126" t="s">
        <v>1677</v>
      </c>
      <c r="B23" s="126" t="s">
        <v>1668</v>
      </c>
      <c r="C23" s="126" t="s">
        <v>1686</v>
      </c>
      <c r="D23" s="126" t="s">
        <v>1684</v>
      </c>
      <c r="E23" s="126" t="s">
        <v>307</v>
      </c>
      <c r="F23" s="498"/>
      <c r="G23" s="499"/>
    </row>
    <row r="24" spans="1:7" ht="12.75">
      <c r="A24" s="126" t="s">
        <v>1677</v>
      </c>
      <c r="B24" s="126" t="s">
        <v>1687</v>
      </c>
      <c r="C24" s="126" t="s">
        <v>1688</v>
      </c>
      <c r="D24" s="126" t="s">
        <v>1684</v>
      </c>
      <c r="E24" s="126" t="s">
        <v>307</v>
      </c>
      <c r="F24" s="498"/>
      <c r="G24" s="499"/>
    </row>
    <row r="25" spans="1:7" ht="12.75">
      <c r="A25" s="126" t="s">
        <v>1677</v>
      </c>
      <c r="B25" s="126" t="s">
        <v>1643</v>
      </c>
      <c r="C25" s="126" t="s">
        <v>1689</v>
      </c>
      <c r="D25" s="126" t="s">
        <v>1684</v>
      </c>
      <c r="E25" s="126" t="s">
        <v>307</v>
      </c>
      <c r="F25" s="126" t="s">
        <v>1690</v>
      </c>
      <c r="G25" s="499"/>
    </row>
    <row r="26" spans="1:7" ht="12.75">
      <c r="A26" s="126" t="s">
        <v>1677</v>
      </c>
      <c r="B26" s="126" t="s">
        <v>1643</v>
      </c>
      <c r="C26" s="126" t="s">
        <v>1691</v>
      </c>
      <c r="D26" s="126" t="s">
        <v>1684</v>
      </c>
      <c r="E26" s="126" t="s">
        <v>307</v>
      </c>
      <c r="F26" s="126" t="s">
        <v>1690</v>
      </c>
      <c r="G26" s="499"/>
    </row>
    <row r="27" spans="1:7" ht="12.75">
      <c r="A27" s="126" t="s">
        <v>1692</v>
      </c>
      <c r="B27" s="126" t="s">
        <v>1643</v>
      </c>
      <c r="C27" s="126" t="s">
        <v>1693</v>
      </c>
      <c r="D27" s="126" t="s">
        <v>1684</v>
      </c>
      <c r="E27" s="126" t="s">
        <v>254</v>
      </c>
      <c r="F27" s="498"/>
      <c r="G27" s="499"/>
    </row>
    <row r="28" spans="1:7" ht="12.75">
      <c r="A28" s="126" t="s">
        <v>1692</v>
      </c>
      <c r="B28" s="126" t="s">
        <v>1643</v>
      </c>
      <c r="C28" s="126" t="s">
        <v>1694</v>
      </c>
      <c r="D28" s="126" t="s">
        <v>1684</v>
      </c>
      <c r="E28" s="126" t="s">
        <v>254</v>
      </c>
      <c r="F28" s="498"/>
      <c r="G28" s="499"/>
    </row>
    <row r="29" spans="1:7" ht="12.75">
      <c r="A29" s="126" t="s">
        <v>1692</v>
      </c>
      <c r="B29" s="126" t="s">
        <v>1643</v>
      </c>
      <c r="C29" s="126" t="s">
        <v>1695</v>
      </c>
      <c r="D29" s="126" t="s">
        <v>1684</v>
      </c>
      <c r="E29" s="126" t="s">
        <v>254</v>
      </c>
      <c r="F29" s="498"/>
      <c r="G29" s="499"/>
    </row>
    <row r="30" spans="1:7" ht="12.75">
      <c r="A30" s="126" t="s">
        <v>1692</v>
      </c>
      <c r="B30" s="126" t="s">
        <v>1643</v>
      </c>
      <c r="C30" s="126" t="s">
        <v>1696</v>
      </c>
      <c r="D30" s="126" t="s">
        <v>1684</v>
      </c>
      <c r="E30" s="126" t="s">
        <v>307</v>
      </c>
      <c r="F30" s="126" t="s">
        <v>1697</v>
      </c>
      <c r="G30" s="499"/>
    </row>
    <row r="31" spans="1:7" ht="12.75">
      <c r="A31" s="126" t="s">
        <v>1692</v>
      </c>
      <c r="B31" s="126" t="s">
        <v>1643</v>
      </c>
      <c r="C31" s="126" t="s">
        <v>1698</v>
      </c>
      <c r="D31" s="126" t="s">
        <v>1684</v>
      </c>
      <c r="E31" s="126" t="s">
        <v>254</v>
      </c>
      <c r="F31" s="498"/>
      <c r="G31" s="499"/>
    </row>
    <row r="32" spans="1:7" ht="12.75">
      <c r="A32" s="126" t="s">
        <v>1692</v>
      </c>
      <c r="B32" s="126" t="s">
        <v>1643</v>
      </c>
      <c r="C32" s="126" t="s">
        <v>1699</v>
      </c>
      <c r="D32" s="126" t="s">
        <v>1684</v>
      </c>
      <c r="F32" s="126" t="s">
        <v>1679</v>
      </c>
      <c r="G32" s="499"/>
    </row>
    <row r="33" spans="1:7" ht="12.75">
      <c r="A33" s="126" t="s">
        <v>1692</v>
      </c>
      <c r="B33" s="126" t="s">
        <v>1643</v>
      </c>
      <c r="C33" s="126" t="s">
        <v>1700</v>
      </c>
      <c r="D33" s="126" t="s">
        <v>1684</v>
      </c>
      <c r="F33" s="126" t="s">
        <v>1679</v>
      </c>
      <c r="G33" s="499"/>
    </row>
    <row r="34" spans="1:7" ht="12.75">
      <c r="A34" s="126" t="s">
        <v>1692</v>
      </c>
      <c r="B34" s="126" t="s">
        <v>1643</v>
      </c>
      <c r="C34" s="126" t="s">
        <v>1701</v>
      </c>
      <c r="D34" s="126" t="s">
        <v>1684</v>
      </c>
      <c r="F34" s="126" t="s">
        <v>1679</v>
      </c>
      <c r="G34" s="499"/>
    </row>
    <row r="35" spans="1:7" ht="12.75">
      <c r="A35" s="126" t="s">
        <v>1692</v>
      </c>
      <c r="B35" s="126" t="s">
        <v>1660</v>
      </c>
      <c r="C35" s="126" t="s">
        <v>1702</v>
      </c>
      <c r="D35" s="126" t="s">
        <v>1684</v>
      </c>
      <c r="E35" s="126" t="s">
        <v>307</v>
      </c>
      <c r="F35" s="126" t="s">
        <v>1703</v>
      </c>
      <c r="G35" s="499"/>
    </row>
    <row r="36" spans="1:7" ht="12.75">
      <c r="A36" s="126" t="s">
        <v>1692</v>
      </c>
      <c r="B36" s="126" t="s">
        <v>1660</v>
      </c>
      <c r="C36" s="126" t="s">
        <v>1704</v>
      </c>
      <c r="D36" s="126" t="s">
        <v>1684</v>
      </c>
      <c r="E36" s="126" t="s">
        <v>307</v>
      </c>
      <c r="F36" s="126" t="s">
        <v>1705</v>
      </c>
      <c r="G36" s="499"/>
    </row>
    <row r="37" spans="1:7" ht="12.75">
      <c r="A37" s="126" t="s">
        <v>1692</v>
      </c>
      <c r="B37" s="126" t="s">
        <v>1660</v>
      </c>
      <c r="C37" s="126" t="s">
        <v>1706</v>
      </c>
      <c r="D37" s="126" t="s">
        <v>1684</v>
      </c>
      <c r="E37" s="126" t="s">
        <v>307</v>
      </c>
      <c r="F37" s="126" t="s">
        <v>1707</v>
      </c>
      <c r="G37" s="499"/>
    </row>
    <row r="38" spans="1:7" ht="12.75">
      <c r="A38" s="126" t="s">
        <v>1692</v>
      </c>
      <c r="B38" s="126" t="s">
        <v>1668</v>
      </c>
      <c r="C38" s="126" t="s">
        <v>1708</v>
      </c>
      <c r="D38" s="126" t="s">
        <v>1684</v>
      </c>
      <c r="E38" s="126" t="s">
        <v>307</v>
      </c>
      <c r="F38" s="126" t="s">
        <v>1709</v>
      </c>
      <c r="G38" s="499"/>
    </row>
    <row r="39" spans="1:7" ht="12.75">
      <c r="A39" s="126" t="s">
        <v>1692</v>
      </c>
      <c r="B39" s="126" t="s">
        <v>1668</v>
      </c>
      <c r="C39" s="126" t="s">
        <v>1710</v>
      </c>
      <c r="D39" s="126" t="s">
        <v>1684</v>
      </c>
      <c r="E39" s="126" t="s">
        <v>307</v>
      </c>
      <c r="F39" s="126" t="s">
        <v>1711</v>
      </c>
      <c r="G39" s="499"/>
    </row>
    <row r="40" spans="1:7" ht="12.75">
      <c r="A40" s="126" t="s">
        <v>1692</v>
      </c>
      <c r="B40" s="126" t="s">
        <v>1668</v>
      </c>
      <c r="C40" s="126" t="s">
        <v>1712</v>
      </c>
      <c r="D40" s="126" t="s">
        <v>1684</v>
      </c>
      <c r="E40" s="126" t="s">
        <v>307</v>
      </c>
      <c r="F40" s="126" t="s">
        <v>1711</v>
      </c>
      <c r="G40" s="499"/>
    </row>
    <row r="41" spans="1:7" ht="12.75">
      <c r="A41" s="126" t="s">
        <v>1692</v>
      </c>
      <c r="B41" s="126" t="s">
        <v>1668</v>
      </c>
      <c r="C41" s="126" t="s">
        <v>1713</v>
      </c>
      <c r="D41" s="126" t="s">
        <v>1684</v>
      </c>
      <c r="E41" s="126" t="s">
        <v>254</v>
      </c>
      <c r="F41" s="498"/>
      <c r="G41" s="499"/>
    </row>
    <row r="42" spans="1:7" ht="12.75">
      <c r="A42" s="126" t="s">
        <v>1692</v>
      </c>
      <c r="B42" s="126" t="s">
        <v>1668</v>
      </c>
      <c r="C42" s="126" t="s">
        <v>1714</v>
      </c>
      <c r="D42" s="126" t="s">
        <v>1684</v>
      </c>
      <c r="E42" s="126" t="s">
        <v>307</v>
      </c>
      <c r="F42" s="126" t="s">
        <v>1715</v>
      </c>
      <c r="G42" s="499"/>
    </row>
    <row r="43" spans="1:7" ht="12.75">
      <c r="A43" s="126" t="s">
        <v>1692</v>
      </c>
      <c r="B43" s="126" t="s">
        <v>1643</v>
      </c>
      <c r="C43" s="126" t="s">
        <v>1716</v>
      </c>
      <c r="D43" s="126" t="s">
        <v>1684</v>
      </c>
      <c r="E43" s="126" t="s">
        <v>307</v>
      </c>
      <c r="F43" s="498"/>
      <c r="G43" s="499"/>
    </row>
    <row r="44" spans="1:7" ht="12.75">
      <c r="A44" s="126" t="s">
        <v>1692</v>
      </c>
      <c r="B44" s="126" t="s">
        <v>1643</v>
      </c>
      <c r="C44" s="126" t="s">
        <v>1717</v>
      </c>
      <c r="D44" s="126" t="s">
        <v>1684</v>
      </c>
      <c r="E44" s="126" t="s">
        <v>307</v>
      </c>
      <c r="F44" s="498"/>
      <c r="G44" s="499"/>
    </row>
    <row r="45" spans="1:7" ht="12.75">
      <c r="A45" s="126" t="s">
        <v>1692</v>
      </c>
      <c r="B45" s="126" t="s">
        <v>1643</v>
      </c>
      <c r="C45" s="126" t="s">
        <v>1698</v>
      </c>
      <c r="D45" s="126" t="s">
        <v>1684</v>
      </c>
      <c r="E45" s="126" t="s">
        <v>254</v>
      </c>
      <c r="F45" s="498"/>
      <c r="G45" s="499"/>
    </row>
    <row r="46" spans="1:7" ht="12.75">
      <c r="A46" s="126" t="s">
        <v>1692</v>
      </c>
      <c r="B46" s="126" t="s">
        <v>1643</v>
      </c>
      <c r="C46" s="126" t="s">
        <v>1718</v>
      </c>
      <c r="D46" s="126" t="s">
        <v>1684</v>
      </c>
      <c r="E46" s="126" t="s">
        <v>307</v>
      </c>
      <c r="F46" s="498"/>
      <c r="G46" s="499"/>
    </row>
    <row r="47" spans="1:7" ht="12.75">
      <c r="A47" s="126" t="s">
        <v>1692</v>
      </c>
      <c r="B47" s="126" t="s">
        <v>1643</v>
      </c>
      <c r="C47" s="126" t="s">
        <v>1699</v>
      </c>
      <c r="D47" s="126" t="s">
        <v>1684</v>
      </c>
      <c r="F47" s="126" t="s">
        <v>1679</v>
      </c>
      <c r="G47" s="499"/>
    </row>
    <row r="48" spans="1:7" ht="12.75">
      <c r="A48" s="126" t="s">
        <v>1692</v>
      </c>
      <c r="B48" s="126" t="s">
        <v>1643</v>
      </c>
      <c r="C48" s="126" t="s">
        <v>1719</v>
      </c>
      <c r="D48" s="126" t="s">
        <v>1684</v>
      </c>
      <c r="E48" s="126" t="s">
        <v>307</v>
      </c>
      <c r="F48" s="498"/>
      <c r="G48" s="499"/>
    </row>
    <row r="49" spans="1:7" ht="12.75">
      <c r="A49" s="126" t="s">
        <v>1692</v>
      </c>
      <c r="B49" s="126" t="s">
        <v>1643</v>
      </c>
      <c r="C49" s="126" t="s">
        <v>1700</v>
      </c>
      <c r="D49" s="126" t="s">
        <v>1684</v>
      </c>
      <c r="F49" s="126" t="s">
        <v>1679</v>
      </c>
      <c r="G49" s="499"/>
    </row>
    <row r="50" spans="1:7" ht="12.75">
      <c r="A50" s="126" t="s">
        <v>1692</v>
      </c>
      <c r="B50" s="126" t="s">
        <v>1643</v>
      </c>
      <c r="C50" s="126" t="s">
        <v>1701</v>
      </c>
      <c r="D50" s="126" t="s">
        <v>1684</v>
      </c>
      <c r="F50" s="126" t="s">
        <v>1679</v>
      </c>
      <c r="G50" s="499"/>
    </row>
    <row r="51" spans="1:7" ht="12.75">
      <c r="A51" s="126" t="s">
        <v>1692</v>
      </c>
      <c r="B51" s="126" t="s">
        <v>1660</v>
      </c>
      <c r="C51" s="126" t="s">
        <v>1720</v>
      </c>
      <c r="D51" s="126" t="s">
        <v>1684</v>
      </c>
      <c r="E51" s="126" t="s">
        <v>307</v>
      </c>
      <c r="F51" s="498"/>
      <c r="G51" s="499"/>
    </row>
    <row r="52" spans="1:7" ht="12.75">
      <c r="A52" s="126" t="s">
        <v>1692</v>
      </c>
      <c r="B52" s="126" t="s">
        <v>1660</v>
      </c>
      <c r="C52" s="126" t="s">
        <v>1721</v>
      </c>
      <c r="D52" s="126" t="s">
        <v>1684</v>
      </c>
      <c r="E52" s="126" t="s">
        <v>307</v>
      </c>
      <c r="F52" s="498"/>
      <c r="G52" s="499"/>
    </row>
    <row r="53" spans="1:7" ht="12.75">
      <c r="A53" s="126" t="s">
        <v>1692</v>
      </c>
      <c r="B53" s="126" t="s">
        <v>1660</v>
      </c>
      <c r="C53" s="126" t="s">
        <v>1722</v>
      </c>
      <c r="D53" s="126" t="s">
        <v>1684</v>
      </c>
      <c r="E53" s="126" t="s">
        <v>307</v>
      </c>
      <c r="F53" s="498"/>
      <c r="G53" s="499"/>
    </row>
    <row r="54" spans="1:7" ht="12.75">
      <c r="A54" s="126" t="s">
        <v>1692</v>
      </c>
      <c r="B54" s="126" t="s">
        <v>1660</v>
      </c>
      <c r="C54" s="126" t="s">
        <v>1723</v>
      </c>
      <c r="D54" s="126" t="s">
        <v>1684</v>
      </c>
      <c r="E54" s="126" t="s">
        <v>307</v>
      </c>
      <c r="F54" s="498"/>
      <c r="G54" s="499"/>
    </row>
    <row r="55" spans="1:7" ht="12.75">
      <c r="A55" s="126" t="s">
        <v>1692</v>
      </c>
      <c r="B55" s="126" t="s">
        <v>1660</v>
      </c>
      <c r="C55" s="126" t="s">
        <v>1724</v>
      </c>
      <c r="D55" s="126" t="s">
        <v>1684</v>
      </c>
      <c r="E55" s="126" t="s">
        <v>307</v>
      </c>
      <c r="F55" s="498"/>
      <c r="G55" s="499"/>
    </row>
    <row r="56" spans="1:7" ht="12.75">
      <c r="A56" s="126" t="s">
        <v>1692</v>
      </c>
      <c r="B56" s="126" t="s">
        <v>1660</v>
      </c>
      <c r="C56" s="126" t="s">
        <v>1725</v>
      </c>
      <c r="D56" s="126" t="s">
        <v>1684</v>
      </c>
      <c r="E56" s="126" t="s">
        <v>307</v>
      </c>
      <c r="F56" s="498"/>
      <c r="G56" s="499"/>
    </row>
    <row r="57" spans="1:7" ht="12.75">
      <c r="A57" s="126" t="s">
        <v>1692</v>
      </c>
      <c r="B57" s="126" t="s">
        <v>1660</v>
      </c>
      <c r="C57" s="126" t="s">
        <v>1702</v>
      </c>
      <c r="D57" s="126" t="s">
        <v>1684</v>
      </c>
      <c r="E57" s="126" t="s">
        <v>307</v>
      </c>
      <c r="F57" s="126" t="s">
        <v>1703</v>
      </c>
      <c r="G57" s="499"/>
    </row>
    <row r="58" spans="1:7" ht="12.75">
      <c r="A58" s="126" t="s">
        <v>1692</v>
      </c>
      <c r="B58" s="126" t="s">
        <v>1660</v>
      </c>
      <c r="C58" s="126" t="s">
        <v>1704</v>
      </c>
      <c r="D58" s="126" t="s">
        <v>1684</v>
      </c>
      <c r="E58" s="126" t="s">
        <v>307</v>
      </c>
      <c r="F58" s="126" t="s">
        <v>1705</v>
      </c>
      <c r="G58" s="499"/>
    </row>
    <row r="59" spans="1:7" ht="12.75">
      <c r="A59" s="126" t="s">
        <v>1692</v>
      </c>
      <c r="B59" s="126" t="s">
        <v>1660</v>
      </c>
      <c r="C59" s="126" t="s">
        <v>1706</v>
      </c>
      <c r="D59" s="126" t="s">
        <v>1684</v>
      </c>
      <c r="E59" s="126" t="s">
        <v>307</v>
      </c>
      <c r="F59" s="126" t="s">
        <v>1707</v>
      </c>
      <c r="G59" s="499"/>
    </row>
    <row r="60" spans="1:7" ht="12.75">
      <c r="A60" s="126" t="s">
        <v>1692</v>
      </c>
      <c r="B60" s="126" t="s">
        <v>1660</v>
      </c>
      <c r="C60" s="126" t="s">
        <v>1726</v>
      </c>
      <c r="D60" s="126" t="s">
        <v>1684</v>
      </c>
      <c r="E60" s="126" t="s">
        <v>307</v>
      </c>
      <c r="F60" s="498"/>
      <c r="G60" s="499"/>
    </row>
    <row r="61" spans="1:7" ht="12.75">
      <c r="A61" s="126" t="s">
        <v>1692</v>
      </c>
      <c r="B61" s="126" t="s">
        <v>1660</v>
      </c>
      <c r="C61" s="126" t="s">
        <v>1727</v>
      </c>
      <c r="D61" s="126" t="s">
        <v>1684</v>
      </c>
      <c r="E61" s="126" t="s">
        <v>307</v>
      </c>
      <c r="F61" s="498"/>
      <c r="G61" s="499"/>
    </row>
    <row r="62" spans="1:7" ht="12.75">
      <c r="A62" s="126" t="s">
        <v>1692</v>
      </c>
      <c r="B62" s="126" t="s">
        <v>1660</v>
      </c>
      <c r="C62" s="126" t="s">
        <v>1728</v>
      </c>
      <c r="D62" s="126" t="s">
        <v>1684</v>
      </c>
      <c r="E62" s="126" t="s">
        <v>307</v>
      </c>
      <c r="F62" s="498"/>
      <c r="G62" s="499"/>
    </row>
    <row r="63" spans="1:7" ht="12.75">
      <c r="A63" s="126" t="s">
        <v>1692</v>
      </c>
      <c r="B63" s="126" t="s">
        <v>1668</v>
      </c>
      <c r="C63" s="126" t="s">
        <v>1708</v>
      </c>
      <c r="D63" s="126" t="s">
        <v>1684</v>
      </c>
      <c r="E63" s="126" t="s">
        <v>307</v>
      </c>
      <c r="F63" s="126" t="s">
        <v>1709</v>
      </c>
      <c r="G63" s="499"/>
    </row>
    <row r="64" spans="1:7" ht="12.75">
      <c r="A64" s="126" t="s">
        <v>1692</v>
      </c>
      <c r="B64" s="126" t="s">
        <v>1668</v>
      </c>
      <c r="C64" s="126" t="s">
        <v>1729</v>
      </c>
      <c r="D64" s="126" t="s">
        <v>1684</v>
      </c>
      <c r="E64" s="126" t="s">
        <v>307</v>
      </c>
      <c r="F64" s="498"/>
      <c r="G64" s="499"/>
    </row>
    <row r="65" spans="1:7" ht="12.75">
      <c r="A65" s="126" t="s">
        <v>1692</v>
      </c>
      <c r="B65" s="126" t="s">
        <v>1668</v>
      </c>
      <c r="C65" s="126" t="s">
        <v>1730</v>
      </c>
      <c r="D65" s="126" t="s">
        <v>1684</v>
      </c>
      <c r="E65" s="126" t="s">
        <v>307</v>
      </c>
      <c r="F65" s="498"/>
      <c r="G65" s="499"/>
    </row>
    <row r="66" spans="1:7" ht="12.75">
      <c r="A66" s="126" t="s">
        <v>1692</v>
      </c>
      <c r="B66" s="126" t="s">
        <v>1668</v>
      </c>
      <c r="C66" s="126" t="s">
        <v>1731</v>
      </c>
      <c r="D66" s="126" t="s">
        <v>1684</v>
      </c>
      <c r="E66" s="126" t="s">
        <v>307</v>
      </c>
      <c r="F66" s="498"/>
      <c r="G66" s="499"/>
    </row>
    <row r="67" spans="1:7" ht="12.75">
      <c r="A67" s="126" t="s">
        <v>1692</v>
      </c>
      <c r="B67" s="126" t="s">
        <v>1668</v>
      </c>
      <c r="C67" s="126" t="s">
        <v>1732</v>
      </c>
      <c r="D67" s="126" t="s">
        <v>1684</v>
      </c>
      <c r="E67" s="126" t="s">
        <v>307</v>
      </c>
      <c r="F67" s="498"/>
      <c r="G67" s="499"/>
    </row>
    <row r="68" spans="1:7" ht="12.75">
      <c r="A68" s="126" t="s">
        <v>1692</v>
      </c>
      <c r="B68" s="126" t="s">
        <v>1668</v>
      </c>
      <c r="C68" s="126" t="s">
        <v>1710</v>
      </c>
      <c r="D68" s="126" t="s">
        <v>1684</v>
      </c>
      <c r="E68" s="126" t="s">
        <v>307</v>
      </c>
      <c r="F68" s="126" t="s">
        <v>1711</v>
      </c>
      <c r="G68" s="499"/>
    </row>
    <row r="69" spans="1:7" ht="12.75">
      <c r="A69" s="126" t="s">
        <v>1692</v>
      </c>
      <c r="B69" s="126" t="s">
        <v>1668</v>
      </c>
      <c r="C69" s="126" t="s">
        <v>1712</v>
      </c>
      <c r="D69" s="126" t="s">
        <v>1684</v>
      </c>
      <c r="E69" s="126" t="s">
        <v>307</v>
      </c>
      <c r="F69" s="126" t="s">
        <v>1711</v>
      </c>
      <c r="G69" s="499"/>
    </row>
    <row r="70" spans="1:7" ht="12.75">
      <c r="A70" s="126" t="s">
        <v>1692</v>
      </c>
      <c r="B70" s="126" t="s">
        <v>1668</v>
      </c>
      <c r="C70" s="126" t="s">
        <v>1733</v>
      </c>
      <c r="D70" s="126" t="s">
        <v>1684</v>
      </c>
      <c r="E70" s="126" t="s">
        <v>307</v>
      </c>
      <c r="F70" s="498"/>
      <c r="G70" s="499"/>
    </row>
    <row r="71" spans="1:7" ht="12.75">
      <c r="A71" s="126" t="s">
        <v>1692</v>
      </c>
      <c r="B71" s="126" t="s">
        <v>1668</v>
      </c>
      <c r="C71" s="126" t="s">
        <v>1713</v>
      </c>
      <c r="D71" s="126" t="s">
        <v>1684</v>
      </c>
      <c r="E71" s="126" t="s">
        <v>254</v>
      </c>
      <c r="F71" s="498"/>
      <c r="G71" s="499"/>
    </row>
    <row r="72" spans="1:7" ht="12.75">
      <c r="A72" s="126" t="s">
        <v>1692</v>
      </c>
      <c r="B72" s="126" t="s">
        <v>1668</v>
      </c>
      <c r="C72" s="126" t="s">
        <v>1734</v>
      </c>
      <c r="D72" s="126" t="s">
        <v>1684</v>
      </c>
      <c r="E72" s="126" t="s">
        <v>307</v>
      </c>
      <c r="F72" s="498"/>
      <c r="G72" s="499"/>
    </row>
    <row r="73" spans="1:7" ht="12.75">
      <c r="A73" s="126" t="s">
        <v>1692</v>
      </c>
      <c r="B73" s="126" t="s">
        <v>1668</v>
      </c>
      <c r="C73" s="126" t="s">
        <v>1735</v>
      </c>
      <c r="D73" s="126" t="s">
        <v>1684</v>
      </c>
      <c r="E73" s="126" t="s">
        <v>307</v>
      </c>
      <c r="F73" s="498"/>
      <c r="G73" s="499"/>
    </row>
    <row r="74" spans="1:7" ht="12.75">
      <c r="A74" s="126" t="s">
        <v>1692</v>
      </c>
      <c r="B74" s="126" t="s">
        <v>1668</v>
      </c>
      <c r="C74" s="126" t="s">
        <v>1714</v>
      </c>
      <c r="D74" s="126" t="s">
        <v>1684</v>
      </c>
      <c r="E74" s="126" t="s">
        <v>307</v>
      </c>
      <c r="F74" s="126" t="s">
        <v>1715</v>
      </c>
      <c r="G74" s="499"/>
    </row>
    <row r="75" spans="1:7" ht="12.75">
      <c r="A75" s="126" t="s">
        <v>1642</v>
      </c>
      <c r="B75" s="126" t="s">
        <v>1643</v>
      </c>
      <c r="C75" s="126" t="s">
        <v>1736</v>
      </c>
      <c r="D75" s="126" t="s">
        <v>1684</v>
      </c>
      <c r="E75" s="126" t="s">
        <v>307</v>
      </c>
      <c r="F75" s="498"/>
      <c r="G75" s="500">
        <v>45062</v>
      </c>
    </row>
    <row r="76" spans="1:7" ht="12.75">
      <c r="A76" s="126" t="s">
        <v>1642</v>
      </c>
      <c r="B76" s="126" t="s">
        <v>1643</v>
      </c>
      <c r="C76" s="126" t="s">
        <v>1737</v>
      </c>
      <c r="D76" s="126" t="s">
        <v>1645</v>
      </c>
      <c r="E76" s="126" t="s">
        <v>254</v>
      </c>
      <c r="F76" s="498"/>
      <c r="G76" s="500">
        <v>45062</v>
      </c>
    </row>
    <row r="77" spans="1:7" ht="12.75">
      <c r="A77" s="126" t="s">
        <v>1642</v>
      </c>
      <c r="B77" s="126" t="s">
        <v>1643</v>
      </c>
      <c r="C77" s="126" t="s">
        <v>1738</v>
      </c>
      <c r="D77" s="126" t="s">
        <v>1684</v>
      </c>
      <c r="E77" s="126" t="s">
        <v>307</v>
      </c>
      <c r="F77" s="498"/>
      <c r="G77" s="500">
        <v>45062</v>
      </c>
    </row>
    <row r="78" spans="1:7" ht="12.75">
      <c r="A78" s="126" t="s">
        <v>1642</v>
      </c>
      <c r="B78" s="126" t="s">
        <v>1643</v>
      </c>
      <c r="C78" s="126" t="s">
        <v>1644</v>
      </c>
      <c r="D78" s="126" t="s">
        <v>1645</v>
      </c>
      <c r="E78" s="126" t="s">
        <v>254</v>
      </c>
      <c r="F78" s="498"/>
      <c r="G78" s="500">
        <v>45062</v>
      </c>
    </row>
    <row r="79" spans="1:7" ht="12.75">
      <c r="A79" s="126" t="s">
        <v>1642</v>
      </c>
      <c r="B79" s="126" t="s">
        <v>1643</v>
      </c>
      <c r="C79" s="126" t="s">
        <v>1694</v>
      </c>
      <c r="D79" s="126" t="s">
        <v>1684</v>
      </c>
      <c r="E79" s="126" t="s">
        <v>307</v>
      </c>
      <c r="F79" s="498"/>
      <c r="G79" s="500">
        <v>45062</v>
      </c>
    </row>
    <row r="80" spans="1:7" ht="12.75">
      <c r="A80" s="126" t="s">
        <v>1642</v>
      </c>
      <c r="B80" s="126" t="s">
        <v>1643</v>
      </c>
      <c r="C80" s="126" t="s">
        <v>1696</v>
      </c>
      <c r="D80" s="126" t="s">
        <v>1684</v>
      </c>
      <c r="E80" s="126" t="s">
        <v>307</v>
      </c>
      <c r="F80" s="126" t="s">
        <v>1739</v>
      </c>
      <c r="G80" s="500">
        <v>45062</v>
      </c>
    </row>
    <row r="81" spans="1:7" ht="12.75">
      <c r="A81" s="126" t="s">
        <v>1642</v>
      </c>
      <c r="B81" s="126" t="s">
        <v>1643</v>
      </c>
      <c r="C81" s="126" t="s">
        <v>1717</v>
      </c>
      <c r="D81" s="126" t="s">
        <v>1684</v>
      </c>
      <c r="E81" s="126" t="s">
        <v>307</v>
      </c>
      <c r="F81" s="126" t="s">
        <v>1740</v>
      </c>
      <c r="G81" s="500">
        <v>45062</v>
      </c>
    </row>
    <row r="82" spans="1:7" ht="12.75">
      <c r="A82" s="126" t="s">
        <v>1642</v>
      </c>
      <c r="B82" s="126" t="s">
        <v>1643</v>
      </c>
      <c r="C82" s="126" t="s">
        <v>1718</v>
      </c>
      <c r="D82" s="126" t="s">
        <v>1684</v>
      </c>
      <c r="E82" s="126" t="s">
        <v>307</v>
      </c>
      <c r="F82" s="126" t="s">
        <v>1740</v>
      </c>
      <c r="G82" s="500">
        <v>45062</v>
      </c>
    </row>
    <row r="83" spans="1:7" ht="12.75">
      <c r="A83" s="126" t="s">
        <v>1642</v>
      </c>
      <c r="B83" s="126" t="s">
        <v>1643</v>
      </c>
      <c r="C83" s="126" t="s">
        <v>1719</v>
      </c>
      <c r="D83" s="126" t="s">
        <v>1684</v>
      </c>
      <c r="E83" s="126" t="s">
        <v>307</v>
      </c>
      <c r="F83" s="498"/>
      <c r="G83" s="500">
        <v>45062</v>
      </c>
    </row>
    <row r="84" spans="1:7" ht="12.75">
      <c r="A84" s="126" t="s">
        <v>1642</v>
      </c>
      <c r="B84" s="126" t="s">
        <v>1643</v>
      </c>
      <c r="C84" s="126" t="s">
        <v>1701</v>
      </c>
      <c r="D84" s="126" t="s">
        <v>1684</v>
      </c>
      <c r="E84" s="126" t="s">
        <v>307</v>
      </c>
      <c r="F84" s="126" t="s">
        <v>1740</v>
      </c>
      <c r="G84" s="500">
        <v>45062</v>
      </c>
    </row>
    <row r="85" spans="1:7" ht="12.75">
      <c r="A85" s="126" t="s">
        <v>1642</v>
      </c>
      <c r="B85" s="126" t="s">
        <v>1643</v>
      </c>
      <c r="C85" s="126" t="s">
        <v>1721</v>
      </c>
      <c r="D85" s="126" t="s">
        <v>1684</v>
      </c>
      <c r="E85" s="126" t="s">
        <v>307</v>
      </c>
      <c r="F85" s="498"/>
      <c r="G85" s="500">
        <v>45062</v>
      </c>
    </row>
    <row r="86" spans="1:7" ht="12.75">
      <c r="A86" s="126" t="s">
        <v>1642</v>
      </c>
      <c r="B86" s="126" t="s">
        <v>1660</v>
      </c>
      <c r="C86" s="126" t="s">
        <v>1723</v>
      </c>
      <c r="D86" s="126" t="s">
        <v>1684</v>
      </c>
      <c r="E86" s="126" t="s">
        <v>307</v>
      </c>
      <c r="F86" s="498"/>
      <c r="G86" s="500">
        <v>45062</v>
      </c>
    </row>
    <row r="87" spans="1:7" ht="12.75">
      <c r="A87" s="126" t="s">
        <v>1642</v>
      </c>
      <c r="B87" s="126" t="s">
        <v>1660</v>
      </c>
      <c r="C87" s="126" t="s">
        <v>1725</v>
      </c>
      <c r="D87" s="126" t="s">
        <v>1684</v>
      </c>
      <c r="E87" s="126" t="s">
        <v>307</v>
      </c>
      <c r="F87" s="498"/>
      <c r="G87" s="500">
        <v>45062</v>
      </c>
    </row>
    <row r="88" spans="1:7" ht="12.75">
      <c r="A88" s="126" t="s">
        <v>1642</v>
      </c>
      <c r="B88" s="126" t="s">
        <v>1660</v>
      </c>
      <c r="C88" s="126" t="s">
        <v>1704</v>
      </c>
      <c r="D88" s="126" t="s">
        <v>1684</v>
      </c>
      <c r="E88" s="126" t="s">
        <v>307</v>
      </c>
      <c r="F88" s="498"/>
      <c r="G88" s="500">
        <v>45062</v>
      </c>
    </row>
    <row r="89" spans="1:7" ht="12.75">
      <c r="A89" s="126" t="s">
        <v>1642</v>
      </c>
      <c r="B89" s="126" t="s">
        <v>1660</v>
      </c>
      <c r="C89" s="126" t="s">
        <v>1726</v>
      </c>
      <c r="D89" s="126" t="s">
        <v>1684</v>
      </c>
      <c r="E89" s="126" t="s">
        <v>307</v>
      </c>
      <c r="F89" s="498"/>
      <c r="G89" s="500">
        <v>45062</v>
      </c>
    </row>
    <row r="90" spans="1:7" ht="12.75">
      <c r="A90" s="126" t="s">
        <v>1642</v>
      </c>
      <c r="B90" s="126" t="s">
        <v>1660</v>
      </c>
      <c r="C90" s="126" t="s">
        <v>1728</v>
      </c>
      <c r="D90" s="126" t="s">
        <v>1684</v>
      </c>
      <c r="E90" s="126" t="s">
        <v>307</v>
      </c>
      <c r="F90" s="498"/>
      <c r="G90" s="500">
        <v>45062</v>
      </c>
    </row>
    <row r="91" spans="1:7" ht="12.75">
      <c r="A91" s="126" t="s">
        <v>1642</v>
      </c>
      <c r="B91" s="126" t="s">
        <v>1660</v>
      </c>
      <c r="C91" s="126" t="s">
        <v>1729</v>
      </c>
      <c r="D91" s="126" t="s">
        <v>1684</v>
      </c>
      <c r="E91" s="126" t="s">
        <v>307</v>
      </c>
      <c r="F91" s="498"/>
      <c r="G91" s="500">
        <v>45062</v>
      </c>
    </row>
    <row r="92" spans="1:7" ht="12.75">
      <c r="A92" s="126" t="s">
        <v>1642</v>
      </c>
      <c r="B92" s="126" t="s">
        <v>1660</v>
      </c>
      <c r="C92" s="126" t="s">
        <v>1731</v>
      </c>
      <c r="D92" s="126" t="s">
        <v>1684</v>
      </c>
      <c r="E92" s="126" t="s">
        <v>307</v>
      </c>
      <c r="F92" s="126" t="s">
        <v>1739</v>
      </c>
      <c r="G92" s="500">
        <v>45062</v>
      </c>
    </row>
    <row r="93" spans="1:7" ht="12.75">
      <c r="A93" s="126" t="s">
        <v>1642</v>
      </c>
      <c r="B93" s="126" t="s">
        <v>1660</v>
      </c>
      <c r="C93" s="126" t="s">
        <v>1733</v>
      </c>
      <c r="D93" s="126" t="s">
        <v>1684</v>
      </c>
      <c r="E93" s="126" t="s">
        <v>307</v>
      </c>
      <c r="F93" s="498"/>
      <c r="G93" s="500">
        <v>45062</v>
      </c>
    </row>
    <row r="94" spans="1:7" ht="12.75">
      <c r="A94" s="126" t="s">
        <v>1642</v>
      </c>
      <c r="B94" s="126" t="s">
        <v>1660</v>
      </c>
      <c r="C94" s="126" t="s">
        <v>1734</v>
      </c>
      <c r="D94" s="126" t="s">
        <v>1684</v>
      </c>
      <c r="E94" s="126" t="s">
        <v>307</v>
      </c>
      <c r="F94" s="498"/>
      <c r="G94" s="500">
        <v>45062</v>
      </c>
    </row>
    <row r="95" spans="1:7" ht="12.75">
      <c r="A95" s="126" t="s">
        <v>1642</v>
      </c>
      <c r="B95" s="126" t="s">
        <v>1668</v>
      </c>
      <c r="C95" s="126" t="s">
        <v>1714</v>
      </c>
      <c r="D95" s="126" t="s">
        <v>1684</v>
      </c>
      <c r="E95" s="126" t="s">
        <v>307</v>
      </c>
      <c r="F95" s="126" t="s">
        <v>1741</v>
      </c>
      <c r="G95" s="500">
        <v>45062</v>
      </c>
    </row>
    <row r="96" spans="1:7" ht="12.75">
      <c r="A96" s="126" t="s">
        <v>1642</v>
      </c>
      <c r="B96" s="126" t="s">
        <v>1668</v>
      </c>
      <c r="C96" s="126" t="s">
        <v>1742</v>
      </c>
      <c r="D96" s="126" t="s">
        <v>1684</v>
      </c>
      <c r="E96" s="126" t="s">
        <v>307</v>
      </c>
      <c r="F96" s="498"/>
      <c r="G96" s="500">
        <v>45062</v>
      </c>
    </row>
    <row r="97" spans="1:7" ht="12.75">
      <c r="A97" s="126" t="s">
        <v>1642</v>
      </c>
      <c r="B97" s="126" t="s">
        <v>1668</v>
      </c>
      <c r="C97" s="126" t="s">
        <v>1743</v>
      </c>
      <c r="D97" s="126" t="s">
        <v>1684</v>
      </c>
      <c r="E97" s="126" t="s">
        <v>307</v>
      </c>
      <c r="F97" s="126" t="s">
        <v>1703</v>
      </c>
      <c r="G97" s="500">
        <v>45062</v>
      </c>
    </row>
    <row r="98" spans="1:7" ht="12.75">
      <c r="A98" s="126" t="s">
        <v>1642</v>
      </c>
      <c r="B98" s="126" t="s">
        <v>1668</v>
      </c>
      <c r="C98" s="126" t="s">
        <v>1744</v>
      </c>
      <c r="D98" s="126" t="s">
        <v>1684</v>
      </c>
      <c r="E98" s="126" t="s">
        <v>307</v>
      </c>
      <c r="F98" s="498"/>
      <c r="G98" s="500">
        <v>45062</v>
      </c>
    </row>
    <row r="99" spans="1:7" ht="12.75">
      <c r="A99" s="126" t="s">
        <v>1642</v>
      </c>
      <c r="B99" s="126" t="s">
        <v>1668</v>
      </c>
      <c r="C99" s="126" t="s">
        <v>1745</v>
      </c>
      <c r="D99" s="126" t="s">
        <v>1684</v>
      </c>
      <c r="E99" s="126" t="s">
        <v>307</v>
      </c>
      <c r="F99" s="126" t="s">
        <v>1746</v>
      </c>
      <c r="G99" s="500">
        <v>45062</v>
      </c>
    </row>
    <row r="100" spans="1:7" ht="12.75">
      <c r="A100" s="126" t="s">
        <v>1642</v>
      </c>
      <c r="B100" s="126" t="s">
        <v>1668</v>
      </c>
      <c r="C100" s="126" t="s">
        <v>1747</v>
      </c>
      <c r="D100" s="126" t="s">
        <v>1684</v>
      </c>
      <c r="E100" s="126" t="s">
        <v>307</v>
      </c>
      <c r="F100" s="126" t="s">
        <v>1748</v>
      </c>
      <c r="G100" s="500">
        <v>45062</v>
      </c>
    </row>
    <row r="101" spans="1:7" ht="12.75">
      <c r="A101" s="126" t="s">
        <v>1642</v>
      </c>
      <c r="B101" s="126" t="s">
        <v>1668</v>
      </c>
      <c r="C101" s="126" t="s">
        <v>1749</v>
      </c>
      <c r="D101" s="126" t="s">
        <v>1684</v>
      </c>
      <c r="E101" s="126" t="s">
        <v>307</v>
      </c>
      <c r="F101" s="498"/>
      <c r="G101" s="500">
        <v>45062</v>
      </c>
    </row>
    <row r="102" spans="1:7" ht="12.75">
      <c r="A102" s="126" t="s">
        <v>1642</v>
      </c>
      <c r="B102" s="126" t="s">
        <v>1668</v>
      </c>
      <c r="C102" s="126" t="s">
        <v>1750</v>
      </c>
      <c r="D102" s="126" t="s">
        <v>1684</v>
      </c>
      <c r="E102" s="126" t="s">
        <v>307</v>
      </c>
      <c r="F102" s="498"/>
      <c r="G102" s="500">
        <v>45062</v>
      </c>
    </row>
    <row r="103" spans="1:7" ht="12.75">
      <c r="A103" s="126" t="s">
        <v>1642</v>
      </c>
      <c r="B103" s="126" t="s">
        <v>1668</v>
      </c>
      <c r="C103" s="126" t="s">
        <v>1751</v>
      </c>
      <c r="D103" s="126" t="s">
        <v>1684</v>
      </c>
      <c r="E103" s="126" t="s">
        <v>307</v>
      </c>
      <c r="F103" s="498"/>
      <c r="G103" s="500">
        <v>45062</v>
      </c>
    </row>
    <row r="104" spans="1:7" ht="12.75">
      <c r="A104" s="126" t="s">
        <v>1642</v>
      </c>
      <c r="B104" s="126" t="s">
        <v>1668</v>
      </c>
      <c r="C104" s="126" t="s">
        <v>1752</v>
      </c>
      <c r="D104" s="126" t="s">
        <v>1684</v>
      </c>
      <c r="E104" s="126" t="s">
        <v>307</v>
      </c>
      <c r="F104" s="126" t="s">
        <v>1703</v>
      </c>
      <c r="G104" s="500">
        <v>45062</v>
      </c>
    </row>
    <row r="105" spans="1:7" ht="12.75">
      <c r="A105" s="126" t="s">
        <v>1753</v>
      </c>
      <c r="B105" s="126" t="s">
        <v>1643</v>
      </c>
      <c r="C105" s="126" t="s">
        <v>1754</v>
      </c>
      <c r="D105" s="126" t="s">
        <v>1684</v>
      </c>
      <c r="E105" s="126" t="s">
        <v>307</v>
      </c>
      <c r="G105" s="500">
        <v>45062</v>
      </c>
    </row>
    <row r="106" spans="1:7" ht="12.75">
      <c r="A106" s="126" t="s">
        <v>1753</v>
      </c>
      <c r="B106" s="126" t="s">
        <v>1643</v>
      </c>
      <c r="C106" s="126" t="s">
        <v>1755</v>
      </c>
      <c r="D106" s="126" t="s">
        <v>1684</v>
      </c>
      <c r="E106" s="126" t="s">
        <v>307</v>
      </c>
      <c r="G106" s="500">
        <v>45062</v>
      </c>
    </row>
    <row r="107" spans="1:7" ht="12.75">
      <c r="A107" s="126" t="s">
        <v>1753</v>
      </c>
      <c r="B107" s="126" t="s">
        <v>1660</v>
      </c>
      <c r="C107" s="126" t="s">
        <v>1756</v>
      </c>
      <c r="D107" s="126" t="s">
        <v>1684</v>
      </c>
      <c r="E107" s="126" t="s">
        <v>307</v>
      </c>
      <c r="F107" s="498"/>
      <c r="G107" s="500">
        <v>45062</v>
      </c>
    </row>
    <row r="108" spans="1:7" ht="12.75">
      <c r="A108" s="126" t="s">
        <v>1753</v>
      </c>
      <c r="B108" s="126" t="s">
        <v>1660</v>
      </c>
      <c r="C108" s="126" t="s">
        <v>1757</v>
      </c>
      <c r="D108" s="126" t="s">
        <v>1684</v>
      </c>
      <c r="E108" s="126" t="s">
        <v>307</v>
      </c>
      <c r="F108" s="498"/>
      <c r="G108" s="500">
        <v>45062</v>
      </c>
    </row>
    <row r="109" spans="1:7" ht="12.75">
      <c r="A109" s="126" t="s">
        <v>1753</v>
      </c>
      <c r="B109" s="126" t="s">
        <v>1660</v>
      </c>
      <c r="C109" s="126" t="s">
        <v>1758</v>
      </c>
      <c r="D109" s="126" t="s">
        <v>1684</v>
      </c>
      <c r="E109" s="126" t="s">
        <v>307</v>
      </c>
      <c r="F109" s="498"/>
      <c r="G109" s="500">
        <v>45062</v>
      </c>
    </row>
    <row r="110" spans="1:7" ht="12.75">
      <c r="A110" s="126" t="s">
        <v>1753</v>
      </c>
      <c r="B110" s="126" t="s">
        <v>1660</v>
      </c>
      <c r="C110" s="126" t="s">
        <v>1759</v>
      </c>
      <c r="D110" s="126" t="s">
        <v>1684</v>
      </c>
      <c r="E110" s="126" t="s">
        <v>307</v>
      </c>
      <c r="F110" s="498"/>
      <c r="G110" s="500">
        <v>45062</v>
      </c>
    </row>
    <row r="111" spans="1:7" ht="12.75">
      <c r="A111" s="126" t="s">
        <v>1753</v>
      </c>
      <c r="B111" s="126" t="s">
        <v>1660</v>
      </c>
      <c r="C111" s="126" t="s">
        <v>1760</v>
      </c>
      <c r="D111" s="126" t="s">
        <v>1684</v>
      </c>
      <c r="E111" s="126" t="s">
        <v>307</v>
      </c>
      <c r="F111" s="498"/>
      <c r="G111" s="500">
        <v>45062</v>
      </c>
    </row>
    <row r="112" spans="1:7" ht="12.75">
      <c r="A112" s="126" t="s">
        <v>1753</v>
      </c>
      <c r="B112" s="126" t="s">
        <v>1660</v>
      </c>
      <c r="C112" s="126" t="s">
        <v>1761</v>
      </c>
      <c r="D112" s="126" t="s">
        <v>1684</v>
      </c>
      <c r="E112" s="126" t="s">
        <v>307</v>
      </c>
      <c r="F112" s="498"/>
      <c r="G112" s="500">
        <v>45062</v>
      </c>
    </row>
    <row r="113" spans="1:7" ht="12.75">
      <c r="A113" s="126" t="s">
        <v>1753</v>
      </c>
      <c r="B113" s="126" t="s">
        <v>1660</v>
      </c>
      <c r="C113" s="126" t="s">
        <v>1762</v>
      </c>
      <c r="D113" s="126" t="s">
        <v>1684</v>
      </c>
      <c r="E113" s="126" t="s">
        <v>307</v>
      </c>
      <c r="F113" s="498"/>
      <c r="G113" s="500">
        <v>45062</v>
      </c>
    </row>
    <row r="114" spans="1:7" ht="12.75">
      <c r="A114" s="126" t="s">
        <v>1753</v>
      </c>
      <c r="B114" s="126" t="s">
        <v>1668</v>
      </c>
      <c r="C114" s="126" t="s">
        <v>1763</v>
      </c>
      <c r="D114" s="126" t="s">
        <v>1684</v>
      </c>
      <c r="E114" s="126" t="s">
        <v>307</v>
      </c>
      <c r="F114" s="498"/>
      <c r="G114" s="500">
        <v>45062</v>
      </c>
    </row>
    <row r="115" spans="1:7" ht="12.75">
      <c r="A115" s="126" t="s">
        <v>1753</v>
      </c>
      <c r="B115" s="126" t="s">
        <v>1668</v>
      </c>
      <c r="C115" s="126" t="s">
        <v>1764</v>
      </c>
      <c r="D115" s="126" t="s">
        <v>1684</v>
      </c>
      <c r="E115" s="126" t="s">
        <v>307</v>
      </c>
      <c r="F115" s="498"/>
      <c r="G115" s="500">
        <v>45062</v>
      </c>
    </row>
    <row r="116" spans="1:7" ht="12.75">
      <c r="A116" s="126" t="s">
        <v>1753</v>
      </c>
      <c r="B116" s="126" t="s">
        <v>1668</v>
      </c>
      <c r="C116" s="126" t="s">
        <v>1765</v>
      </c>
      <c r="D116" s="126" t="s">
        <v>1684</v>
      </c>
      <c r="E116" s="126" t="s">
        <v>307</v>
      </c>
      <c r="F116" s="498"/>
      <c r="G116" s="500">
        <v>45062</v>
      </c>
    </row>
    <row r="117" spans="1:7" ht="12.75">
      <c r="A117" s="126" t="s">
        <v>1766</v>
      </c>
      <c r="B117" s="126" t="s">
        <v>1643</v>
      </c>
      <c r="C117" s="126" t="s">
        <v>1767</v>
      </c>
      <c r="D117" s="126" t="s">
        <v>1684</v>
      </c>
      <c r="E117" s="126" t="s">
        <v>307</v>
      </c>
      <c r="F117" s="126" t="s">
        <v>1703</v>
      </c>
      <c r="G117" s="500">
        <v>45062</v>
      </c>
    </row>
    <row r="118" spans="1:7" ht="12.75">
      <c r="A118" s="126" t="s">
        <v>1766</v>
      </c>
      <c r="B118" s="126" t="s">
        <v>1643</v>
      </c>
      <c r="C118" s="126" t="s">
        <v>1768</v>
      </c>
      <c r="D118" s="126" t="s">
        <v>1684</v>
      </c>
      <c r="E118" s="126" t="s">
        <v>307</v>
      </c>
      <c r="F118" s="498"/>
      <c r="G118" s="500">
        <v>45062</v>
      </c>
    </row>
    <row r="119" spans="1:7" ht="12.75">
      <c r="A119" s="126" t="s">
        <v>1766</v>
      </c>
      <c r="B119" s="126" t="s">
        <v>1660</v>
      </c>
      <c r="C119" s="126" t="s">
        <v>1769</v>
      </c>
      <c r="D119" s="126" t="s">
        <v>1684</v>
      </c>
      <c r="E119" s="126" t="s">
        <v>307</v>
      </c>
      <c r="F119" s="498"/>
      <c r="G119" s="500">
        <v>45062</v>
      </c>
    </row>
    <row r="120" spans="1:7" ht="12.75">
      <c r="A120" s="126" t="s">
        <v>1766</v>
      </c>
      <c r="B120" s="126" t="s">
        <v>1660</v>
      </c>
      <c r="C120" s="126" t="s">
        <v>1770</v>
      </c>
      <c r="D120" s="126" t="s">
        <v>1684</v>
      </c>
      <c r="E120" s="126" t="s">
        <v>307</v>
      </c>
      <c r="F120" s="126" t="s">
        <v>1703</v>
      </c>
      <c r="G120" s="500">
        <v>45062</v>
      </c>
    </row>
    <row r="121" spans="1:7" ht="12.75">
      <c r="A121" s="126" t="s">
        <v>1766</v>
      </c>
      <c r="B121" s="126" t="s">
        <v>1660</v>
      </c>
      <c r="C121" s="126" t="s">
        <v>1771</v>
      </c>
      <c r="D121" s="126" t="s">
        <v>1684</v>
      </c>
      <c r="E121" s="126" t="s">
        <v>307</v>
      </c>
      <c r="F121" s="498"/>
      <c r="G121" s="500">
        <v>45062</v>
      </c>
    </row>
    <row r="122" spans="1:7" ht="12.75">
      <c r="A122" s="126" t="s">
        <v>1766</v>
      </c>
      <c r="B122" s="126" t="s">
        <v>1660</v>
      </c>
      <c r="C122" s="126" t="s">
        <v>1772</v>
      </c>
      <c r="D122" s="126" t="s">
        <v>1684</v>
      </c>
      <c r="E122" s="126" t="s">
        <v>307</v>
      </c>
      <c r="F122" s="126" t="s">
        <v>1703</v>
      </c>
      <c r="G122" s="500">
        <v>45062</v>
      </c>
    </row>
    <row r="123" spans="1:7" ht="12.75">
      <c r="A123" s="126" t="s">
        <v>1766</v>
      </c>
      <c r="B123" s="126" t="s">
        <v>1668</v>
      </c>
      <c r="C123" s="126" t="s">
        <v>1754</v>
      </c>
      <c r="D123" s="126" t="s">
        <v>1684</v>
      </c>
      <c r="E123" s="126" t="s">
        <v>307</v>
      </c>
      <c r="F123" s="498"/>
      <c r="G123" s="500">
        <v>45062</v>
      </c>
    </row>
    <row r="124" spans="1:7" ht="12.75">
      <c r="A124" s="126" t="s">
        <v>1773</v>
      </c>
      <c r="B124" s="126" t="s">
        <v>1643</v>
      </c>
      <c r="C124" s="126" t="s">
        <v>1774</v>
      </c>
      <c r="D124" s="126" t="s">
        <v>1684</v>
      </c>
      <c r="E124" s="126" t="s">
        <v>254</v>
      </c>
      <c r="F124" s="498"/>
      <c r="G124" s="500">
        <v>45062</v>
      </c>
    </row>
    <row r="125" spans="1:7" ht="12.75">
      <c r="A125" s="126" t="s">
        <v>1775</v>
      </c>
      <c r="B125" s="126" t="s">
        <v>1643</v>
      </c>
      <c r="C125" s="126" t="s">
        <v>1769</v>
      </c>
      <c r="D125" s="126" t="s">
        <v>1684</v>
      </c>
      <c r="E125" s="126" t="s">
        <v>307</v>
      </c>
      <c r="F125" s="498"/>
      <c r="G125" s="500">
        <v>45062</v>
      </c>
    </row>
    <row r="126" spans="1:7" ht="12.75">
      <c r="A126" s="126" t="s">
        <v>1775</v>
      </c>
      <c r="B126" s="126" t="s">
        <v>1643</v>
      </c>
      <c r="C126" s="126" t="s">
        <v>1776</v>
      </c>
      <c r="D126" s="126" t="s">
        <v>1684</v>
      </c>
      <c r="E126" s="126" t="s">
        <v>307</v>
      </c>
      <c r="F126" s="498"/>
      <c r="G126" s="500">
        <v>45062</v>
      </c>
    </row>
    <row r="127" spans="1:7" ht="12.75">
      <c r="A127" s="126" t="s">
        <v>1775</v>
      </c>
      <c r="B127" s="126" t="s">
        <v>1643</v>
      </c>
      <c r="C127" s="126" t="s">
        <v>1777</v>
      </c>
      <c r="D127" s="126" t="s">
        <v>1684</v>
      </c>
      <c r="F127" s="498"/>
      <c r="G127" s="500">
        <v>45062</v>
      </c>
    </row>
    <row r="128" spans="1:7" ht="12.75">
      <c r="A128" s="126" t="s">
        <v>1775</v>
      </c>
      <c r="B128" s="126" t="s">
        <v>1643</v>
      </c>
      <c r="C128" s="126" t="s">
        <v>1768</v>
      </c>
      <c r="D128" s="126" t="s">
        <v>1684</v>
      </c>
      <c r="E128" s="498"/>
      <c r="F128" s="498"/>
      <c r="G128" s="500">
        <v>45062</v>
      </c>
    </row>
    <row r="129" spans="1:7" ht="12.75">
      <c r="A129" s="126" t="s">
        <v>1775</v>
      </c>
      <c r="B129" s="126" t="s">
        <v>1660</v>
      </c>
      <c r="C129" s="126" t="s">
        <v>1778</v>
      </c>
      <c r="D129" s="126" t="s">
        <v>1684</v>
      </c>
      <c r="E129" s="126" t="s">
        <v>307</v>
      </c>
      <c r="F129" s="498"/>
      <c r="G129" s="500">
        <v>45062</v>
      </c>
    </row>
    <row r="130" spans="1:7" ht="12.75">
      <c r="A130" s="126" t="s">
        <v>1775</v>
      </c>
      <c r="B130" s="126" t="s">
        <v>1660</v>
      </c>
      <c r="C130" s="126" t="s">
        <v>1754</v>
      </c>
      <c r="D130" s="126" t="s">
        <v>1684</v>
      </c>
      <c r="E130" s="126" t="s">
        <v>307</v>
      </c>
      <c r="F130" s="498"/>
      <c r="G130" s="500">
        <v>45062</v>
      </c>
    </row>
    <row r="131" spans="1:7" ht="12.75">
      <c r="A131" s="126" t="s">
        <v>1775</v>
      </c>
      <c r="B131" s="126" t="s">
        <v>1668</v>
      </c>
      <c r="C131" s="126" t="s">
        <v>1762</v>
      </c>
      <c r="D131" s="126" t="s">
        <v>1684</v>
      </c>
      <c r="E131" s="126" t="s">
        <v>307</v>
      </c>
      <c r="F131" s="498"/>
      <c r="G131" s="500">
        <v>45062</v>
      </c>
    </row>
    <row r="132" spans="1:7" ht="12.75">
      <c r="G132" s="501"/>
    </row>
    <row r="133" spans="1:7" ht="12.75">
      <c r="B133" s="498"/>
      <c r="C133" s="498"/>
      <c r="D133" s="498"/>
      <c r="E133" s="498"/>
      <c r="F133" s="498"/>
      <c r="G133" s="499"/>
    </row>
    <row r="134" spans="1:7" ht="12.75">
      <c r="B134" s="498"/>
      <c r="C134" s="498"/>
      <c r="D134" s="498"/>
      <c r="E134" s="498"/>
      <c r="F134" s="498"/>
      <c r="G134" s="499"/>
    </row>
    <row r="135" spans="1:7" ht="12.75">
      <c r="A135" s="498"/>
      <c r="B135" s="498"/>
      <c r="C135" s="498"/>
      <c r="D135" s="498"/>
      <c r="E135" s="498"/>
      <c r="F135" s="498"/>
      <c r="G135" s="499"/>
    </row>
    <row r="136" spans="1:7" ht="12.75">
      <c r="A136" s="498"/>
      <c r="B136" s="498"/>
      <c r="C136" s="498"/>
      <c r="D136" s="498"/>
      <c r="E136" s="498"/>
      <c r="F136" s="498"/>
      <c r="G136" s="499"/>
    </row>
    <row r="137" spans="1:7" ht="12.75">
      <c r="A137" s="498"/>
      <c r="B137" s="498"/>
      <c r="C137" s="498"/>
      <c r="D137" s="498"/>
      <c r="E137" s="498"/>
      <c r="F137" s="498"/>
      <c r="G137" s="499"/>
    </row>
    <row r="138" spans="1:7" ht="12.75">
      <c r="A138" s="498"/>
      <c r="B138" s="498"/>
      <c r="C138" s="498"/>
      <c r="D138" s="498"/>
      <c r="E138" s="498"/>
      <c r="F138" s="498"/>
      <c r="G138" s="499"/>
    </row>
    <row r="139" spans="1:7" ht="12.75">
      <c r="A139" s="498"/>
      <c r="B139" s="498"/>
      <c r="C139" s="498"/>
      <c r="D139" s="498"/>
      <c r="E139" s="498"/>
      <c r="F139" s="498"/>
      <c r="G139" s="499"/>
    </row>
    <row r="140" spans="1:7" ht="12.75">
      <c r="A140" s="498"/>
      <c r="B140" s="498"/>
      <c r="C140" s="498"/>
      <c r="D140" s="498"/>
      <c r="E140" s="498"/>
      <c r="F140" s="498"/>
      <c r="G140" s="499"/>
    </row>
    <row r="141" spans="1:7" ht="12.75">
      <c r="A141" s="498"/>
      <c r="B141" s="498"/>
      <c r="C141" s="498"/>
      <c r="D141" s="498"/>
      <c r="E141" s="498"/>
      <c r="F141" s="498"/>
      <c r="G141" s="499"/>
    </row>
    <row r="142" spans="1:7" ht="12.75">
      <c r="A142" s="498"/>
      <c r="B142" s="498"/>
      <c r="C142" s="498"/>
      <c r="D142" s="498"/>
      <c r="E142" s="498"/>
      <c r="F142" s="498"/>
      <c r="G142" s="499"/>
    </row>
    <row r="143" spans="1:7" ht="12.75">
      <c r="A143" s="498"/>
      <c r="B143" s="498"/>
      <c r="C143" s="498"/>
      <c r="D143" s="498"/>
      <c r="E143" s="498"/>
      <c r="F143" s="498"/>
      <c r="G143" s="499"/>
    </row>
    <row r="144" spans="1:7" ht="12.75">
      <c r="A144" s="498"/>
      <c r="B144" s="498"/>
      <c r="C144" s="498"/>
      <c r="D144" s="498"/>
      <c r="E144" s="498"/>
      <c r="F144" s="498"/>
      <c r="G144" s="499"/>
    </row>
    <row r="145" spans="1:7" ht="12.75">
      <c r="A145" s="498"/>
      <c r="B145" s="498"/>
      <c r="C145" s="498"/>
      <c r="D145" s="498"/>
      <c r="E145" s="498"/>
      <c r="F145" s="498"/>
      <c r="G145" s="499"/>
    </row>
    <row r="146" spans="1:7" ht="12.75">
      <c r="A146" s="498"/>
      <c r="B146" s="498"/>
      <c r="C146" s="498"/>
      <c r="D146" s="498"/>
      <c r="E146" s="498"/>
      <c r="F146" s="498"/>
      <c r="G146" s="499"/>
    </row>
    <row r="147" spans="1:7" ht="12.75">
      <c r="A147" s="498"/>
      <c r="B147" s="498"/>
      <c r="C147" s="498"/>
      <c r="D147" s="498"/>
      <c r="E147" s="498"/>
      <c r="F147" s="498"/>
      <c r="G147" s="499"/>
    </row>
    <row r="148" spans="1:7" ht="12.75">
      <c r="A148" s="498"/>
      <c r="B148" s="498"/>
      <c r="C148" s="498"/>
      <c r="D148" s="498"/>
      <c r="E148" s="498"/>
      <c r="F148" s="498"/>
      <c r="G148" s="499"/>
    </row>
    <row r="149" spans="1:7" ht="12.75">
      <c r="A149" s="498"/>
      <c r="B149" s="498"/>
      <c r="C149" s="498"/>
      <c r="D149" s="498"/>
      <c r="E149" s="498"/>
      <c r="F149" s="498"/>
      <c r="G149" s="499"/>
    </row>
    <row r="150" spans="1:7" ht="12.75">
      <c r="A150" s="498"/>
      <c r="B150" s="498"/>
      <c r="C150" s="498"/>
      <c r="D150" s="498"/>
      <c r="E150" s="498"/>
      <c r="F150" s="498"/>
      <c r="G150" s="499"/>
    </row>
    <row r="151" spans="1:7" ht="12.75">
      <c r="A151" s="498"/>
      <c r="B151" s="498"/>
      <c r="C151" s="498"/>
      <c r="D151" s="498"/>
      <c r="E151" s="498"/>
      <c r="F151" s="498"/>
      <c r="G151" s="499"/>
    </row>
    <row r="152" spans="1:7" ht="12.75">
      <c r="A152" s="498"/>
      <c r="B152" s="498"/>
      <c r="C152" s="498"/>
      <c r="D152" s="498"/>
      <c r="E152" s="498"/>
      <c r="F152" s="498"/>
      <c r="G152" s="499"/>
    </row>
    <row r="153" spans="1:7" ht="12.75">
      <c r="A153" s="498"/>
      <c r="B153" s="498"/>
      <c r="C153" s="498"/>
      <c r="D153" s="498"/>
      <c r="E153" s="498"/>
      <c r="F153" s="498"/>
      <c r="G153" s="499"/>
    </row>
    <row r="154" spans="1:7" ht="12.75">
      <c r="A154" s="498"/>
      <c r="B154" s="498"/>
      <c r="C154" s="498"/>
      <c r="D154" s="498"/>
      <c r="E154" s="498"/>
      <c r="F154" s="498"/>
      <c r="G154" s="499"/>
    </row>
    <row r="155" spans="1:7" ht="12.75">
      <c r="A155" s="498"/>
      <c r="B155" s="498"/>
      <c r="C155" s="498"/>
      <c r="D155" s="498"/>
      <c r="E155" s="498"/>
      <c r="F155" s="498"/>
      <c r="G155" s="499"/>
    </row>
    <row r="156" spans="1:7" ht="12.75">
      <c r="A156" s="498"/>
      <c r="B156" s="498"/>
      <c r="C156" s="498"/>
      <c r="D156" s="498"/>
      <c r="E156" s="498"/>
      <c r="F156" s="498"/>
      <c r="G156" s="499"/>
    </row>
    <row r="157" spans="1:7" ht="12.75">
      <c r="A157" s="498"/>
      <c r="B157" s="498"/>
      <c r="C157" s="498"/>
      <c r="D157" s="498"/>
      <c r="E157" s="498"/>
      <c r="F157" s="498"/>
      <c r="G157" s="499"/>
    </row>
    <row r="158" spans="1:7" ht="12.75">
      <c r="A158" s="498"/>
      <c r="B158" s="498"/>
      <c r="C158" s="498"/>
      <c r="D158" s="498"/>
      <c r="E158" s="498"/>
      <c r="F158" s="498"/>
      <c r="G158" s="499"/>
    </row>
    <row r="159" spans="1:7" ht="12.75">
      <c r="A159" s="498"/>
      <c r="B159" s="498"/>
      <c r="C159" s="498"/>
      <c r="D159" s="498"/>
      <c r="E159" s="498"/>
      <c r="F159" s="498"/>
      <c r="G159" s="499"/>
    </row>
    <row r="160" spans="1:7" ht="12.75">
      <c r="A160" s="498"/>
      <c r="B160" s="498"/>
      <c r="C160" s="498"/>
      <c r="D160" s="498"/>
      <c r="E160" s="498"/>
      <c r="F160" s="498"/>
      <c r="G160" s="499"/>
    </row>
    <row r="161" spans="1:7" ht="12.75">
      <c r="A161" s="498"/>
      <c r="B161" s="498"/>
      <c r="C161" s="498"/>
      <c r="D161" s="498"/>
      <c r="E161" s="498"/>
      <c r="F161" s="498"/>
      <c r="G161" s="499"/>
    </row>
    <row r="162" spans="1:7" ht="12.75">
      <c r="A162" s="498"/>
      <c r="B162" s="498"/>
      <c r="C162" s="498"/>
      <c r="D162" s="498"/>
      <c r="E162" s="498"/>
      <c r="F162" s="498"/>
      <c r="G162" s="499"/>
    </row>
    <row r="163" spans="1:7" ht="12.75">
      <c r="A163" s="498"/>
      <c r="B163" s="498"/>
      <c r="C163" s="498"/>
      <c r="D163" s="498"/>
      <c r="E163" s="498"/>
      <c r="F163" s="498"/>
      <c r="G163" s="499"/>
    </row>
    <row r="164" spans="1:7" ht="12.75">
      <c r="A164" s="498"/>
      <c r="B164" s="498"/>
      <c r="C164" s="498"/>
      <c r="D164" s="498"/>
      <c r="E164" s="498"/>
      <c r="F164" s="498"/>
      <c r="G164" s="499"/>
    </row>
    <row r="165" spans="1:7" ht="12.75">
      <c r="A165" s="498"/>
      <c r="B165" s="498"/>
      <c r="C165" s="498"/>
      <c r="D165" s="498"/>
      <c r="E165" s="498"/>
      <c r="F165" s="498"/>
      <c r="G165" s="499"/>
    </row>
    <row r="166" spans="1:7" ht="12.75">
      <c r="A166" s="498"/>
      <c r="B166" s="498"/>
      <c r="C166" s="498"/>
      <c r="D166" s="498"/>
      <c r="E166" s="498"/>
      <c r="F166" s="498"/>
      <c r="G166" s="499"/>
    </row>
    <row r="167" spans="1:7" ht="12.75">
      <c r="A167" s="498"/>
      <c r="B167" s="498"/>
      <c r="C167" s="498"/>
      <c r="D167" s="498"/>
      <c r="E167" s="498"/>
      <c r="F167" s="498"/>
      <c r="G167" s="499"/>
    </row>
    <row r="168" spans="1:7" ht="12.75">
      <c r="A168" s="498"/>
      <c r="B168" s="498"/>
      <c r="C168" s="498"/>
      <c r="D168" s="498"/>
      <c r="E168" s="498"/>
      <c r="F168" s="498"/>
      <c r="G168" s="499"/>
    </row>
    <row r="169" spans="1:7" ht="12.75">
      <c r="A169" s="498"/>
      <c r="B169" s="498"/>
      <c r="C169" s="498"/>
      <c r="D169" s="498"/>
      <c r="E169" s="498"/>
      <c r="F169" s="498"/>
      <c r="G169" s="499"/>
    </row>
    <row r="170" spans="1:7" ht="12.75">
      <c r="A170" s="498"/>
      <c r="B170" s="498"/>
      <c r="C170" s="498"/>
      <c r="D170" s="498"/>
      <c r="E170" s="498"/>
      <c r="F170" s="498"/>
      <c r="G170" s="499"/>
    </row>
    <row r="171" spans="1:7" ht="12.75">
      <c r="A171" s="498"/>
      <c r="B171" s="498"/>
      <c r="C171" s="498"/>
      <c r="D171" s="498"/>
      <c r="E171" s="498"/>
      <c r="F171" s="498"/>
      <c r="G171" s="499"/>
    </row>
    <row r="172" spans="1:7" ht="12.75">
      <c r="A172" s="498"/>
      <c r="B172" s="498"/>
      <c r="C172" s="498"/>
      <c r="D172" s="498"/>
      <c r="E172" s="498"/>
      <c r="F172" s="498"/>
      <c r="G172" s="499"/>
    </row>
    <row r="173" spans="1:7" ht="12.75">
      <c r="A173" s="498"/>
      <c r="B173" s="498"/>
      <c r="C173" s="498"/>
      <c r="D173" s="498"/>
      <c r="E173" s="498"/>
      <c r="F173" s="498"/>
      <c r="G173" s="499"/>
    </row>
    <row r="174" spans="1:7" ht="12.75">
      <c r="A174" s="498"/>
      <c r="B174" s="498"/>
      <c r="C174" s="498"/>
      <c r="D174" s="498"/>
      <c r="E174" s="498"/>
      <c r="F174" s="498"/>
      <c r="G174" s="499"/>
    </row>
    <row r="175" spans="1:7" ht="12.75">
      <c r="A175" s="498"/>
      <c r="B175" s="498"/>
      <c r="C175" s="498"/>
      <c r="D175" s="498"/>
      <c r="E175" s="498"/>
      <c r="F175" s="498"/>
      <c r="G175" s="499"/>
    </row>
    <row r="176" spans="1:7" ht="12.75">
      <c r="A176" s="498"/>
      <c r="B176" s="498"/>
      <c r="C176" s="498"/>
      <c r="D176" s="498"/>
      <c r="E176" s="498"/>
      <c r="F176" s="498"/>
      <c r="G176" s="499"/>
    </row>
    <row r="177" spans="1:7" ht="12.75">
      <c r="A177" s="498"/>
      <c r="B177" s="498"/>
      <c r="C177" s="498"/>
      <c r="D177" s="498"/>
      <c r="E177" s="498"/>
      <c r="F177" s="498"/>
      <c r="G177" s="499"/>
    </row>
    <row r="178" spans="1:7" ht="12.75">
      <c r="A178" s="498"/>
      <c r="B178" s="498"/>
      <c r="C178" s="498"/>
      <c r="D178" s="498"/>
      <c r="E178" s="498"/>
      <c r="F178" s="498"/>
      <c r="G178" s="499"/>
    </row>
    <row r="179" spans="1:7" ht="12.75">
      <c r="A179" s="498"/>
      <c r="B179" s="498"/>
      <c r="C179" s="498"/>
      <c r="D179" s="498"/>
      <c r="E179" s="498"/>
      <c r="F179" s="498"/>
      <c r="G179" s="499"/>
    </row>
    <row r="180" spans="1:7" ht="12.75">
      <c r="A180" s="498"/>
      <c r="B180" s="498"/>
      <c r="C180" s="498"/>
      <c r="D180" s="498"/>
      <c r="E180" s="498"/>
      <c r="F180" s="498"/>
      <c r="G180" s="499"/>
    </row>
    <row r="181" spans="1:7" ht="12.75">
      <c r="A181" s="498"/>
      <c r="B181" s="498"/>
      <c r="C181" s="498"/>
      <c r="D181" s="498"/>
      <c r="E181" s="498"/>
      <c r="F181" s="498"/>
      <c r="G181" s="499"/>
    </row>
    <row r="182" spans="1:7" ht="12.75">
      <c r="A182" s="498"/>
      <c r="B182" s="498"/>
      <c r="C182" s="498"/>
      <c r="D182" s="498"/>
      <c r="E182" s="498"/>
      <c r="F182" s="498"/>
      <c r="G182" s="499"/>
    </row>
    <row r="183" spans="1:7" ht="12.75">
      <c r="A183" s="498"/>
      <c r="B183" s="498"/>
      <c r="C183" s="498"/>
      <c r="D183" s="498"/>
      <c r="E183" s="498"/>
      <c r="F183" s="498"/>
      <c r="G183" s="499"/>
    </row>
    <row r="184" spans="1:7" ht="12.75">
      <c r="A184" s="498"/>
      <c r="B184" s="498"/>
      <c r="C184" s="498"/>
      <c r="D184" s="498"/>
      <c r="E184" s="498"/>
      <c r="F184" s="498"/>
      <c r="G184" s="499"/>
    </row>
    <row r="185" spans="1:7" ht="12.75">
      <c r="A185" s="498"/>
      <c r="B185" s="498"/>
      <c r="C185" s="498"/>
      <c r="D185" s="498"/>
      <c r="E185" s="498"/>
      <c r="F185" s="498"/>
      <c r="G185" s="499"/>
    </row>
    <row r="186" spans="1:7" ht="12.75">
      <c r="A186" s="498"/>
      <c r="B186" s="498"/>
      <c r="C186" s="498"/>
      <c r="D186" s="498"/>
      <c r="E186" s="498"/>
      <c r="F186" s="498"/>
      <c r="G186" s="499"/>
    </row>
    <row r="187" spans="1:7" ht="12.75">
      <c r="A187" s="498"/>
      <c r="B187" s="498"/>
      <c r="C187" s="498"/>
      <c r="D187" s="498"/>
      <c r="E187" s="498"/>
      <c r="F187" s="498"/>
      <c r="G187" s="499"/>
    </row>
    <row r="188" spans="1:7" ht="12.75">
      <c r="A188" s="498"/>
      <c r="B188" s="498"/>
      <c r="C188" s="498"/>
      <c r="D188" s="498"/>
      <c r="E188" s="498"/>
      <c r="F188" s="498"/>
      <c r="G188" s="499"/>
    </row>
    <row r="189" spans="1:7" ht="12.75">
      <c r="A189" s="498"/>
      <c r="B189" s="498"/>
      <c r="C189" s="498"/>
      <c r="D189" s="498"/>
      <c r="E189" s="498"/>
      <c r="F189" s="498"/>
      <c r="G189" s="499"/>
    </row>
    <row r="190" spans="1:7" ht="12.75">
      <c r="A190" s="498"/>
      <c r="B190" s="498"/>
      <c r="C190" s="498"/>
      <c r="D190" s="498"/>
      <c r="E190" s="498"/>
      <c r="F190" s="498"/>
      <c r="G190" s="499"/>
    </row>
    <row r="191" spans="1:7" ht="12.75">
      <c r="A191" s="498"/>
      <c r="B191" s="498"/>
      <c r="C191" s="498"/>
      <c r="D191" s="498"/>
      <c r="E191" s="498"/>
      <c r="F191" s="498"/>
      <c r="G191" s="499"/>
    </row>
    <row r="192" spans="1:7" ht="12.75">
      <c r="A192" s="498"/>
      <c r="B192" s="498"/>
      <c r="C192" s="498"/>
      <c r="D192" s="498"/>
      <c r="E192" s="498"/>
      <c r="F192" s="498"/>
      <c r="G192" s="499"/>
    </row>
    <row r="193" spans="1:7" ht="12.75">
      <c r="A193" s="498"/>
      <c r="B193" s="498"/>
      <c r="C193" s="498"/>
      <c r="D193" s="498"/>
      <c r="E193" s="498"/>
      <c r="F193" s="498"/>
      <c r="G193" s="499"/>
    </row>
    <row r="194" spans="1:7" ht="12.75">
      <c r="A194" s="498"/>
      <c r="B194" s="498"/>
      <c r="C194" s="498"/>
      <c r="D194" s="498"/>
      <c r="E194" s="498"/>
      <c r="F194" s="498"/>
      <c r="G194" s="499"/>
    </row>
    <row r="195" spans="1:7" ht="12.75">
      <c r="A195" s="498"/>
      <c r="B195" s="498"/>
      <c r="C195" s="498"/>
      <c r="D195" s="498"/>
      <c r="E195" s="498"/>
      <c r="F195" s="498"/>
      <c r="G195" s="499"/>
    </row>
    <row r="196" spans="1:7" ht="12.75">
      <c r="A196" s="498"/>
      <c r="B196" s="498"/>
      <c r="C196" s="498"/>
      <c r="D196" s="498"/>
      <c r="E196" s="498"/>
      <c r="F196" s="498"/>
      <c r="G196" s="499"/>
    </row>
    <row r="197" spans="1:7" ht="12.75">
      <c r="A197" s="498"/>
      <c r="B197" s="498"/>
      <c r="C197" s="498"/>
      <c r="D197" s="498"/>
      <c r="E197" s="498"/>
      <c r="F197" s="498"/>
      <c r="G197" s="499"/>
    </row>
    <row r="198" spans="1:7" ht="12.75">
      <c r="A198" s="498"/>
      <c r="B198" s="498"/>
      <c r="C198" s="498"/>
      <c r="D198" s="498"/>
      <c r="E198" s="498"/>
      <c r="F198" s="498"/>
      <c r="G198" s="499"/>
    </row>
    <row r="199" spans="1:7" ht="12.75">
      <c r="A199" s="498"/>
      <c r="B199" s="498"/>
      <c r="C199" s="498"/>
      <c r="D199" s="498"/>
      <c r="E199" s="498"/>
      <c r="F199" s="498"/>
      <c r="G199" s="499"/>
    </row>
    <row r="200" spans="1:7" ht="12.75">
      <c r="A200" s="498"/>
      <c r="B200" s="498"/>
      <c r="C200" s="498"/>
      <c r="D200" s="498"/>
      <c r="E200" s="498"/>
      <c r="F200" s="498"/>
      <c r="G200" s="499"/>
    </row>
    <row r="201" spans="1:7" ht="12.75">
      <c r="A201" s="498"/>
      <c r="B201" s="498"/>
      <c r="C201" s="498"/>
      <c r="D201" s="498"/>
      <c r="E201" s="498"/>
      <c r="F201" s="498"/>
      <c r="G201" s="499"/>
    </row>
    <row r="202" spans="1:7" ht="12.75">
      <c r="A202" s="498"/>
      <c r="B202" s="498"/>
      <c r="C202" s="498"/>
      <c r="D202" s="498"/>
      <c r="E202" s="498"/>
      <c r="F202" s="498"/>
      <c r="G202" s="499"/>
    </row>
    <row r="203" spans="1:7" ht="12.75">
      <c r="A203" s="498"/>
      <c r="B203" s="498"/>
      <c r="C203" s="498"/>
      <c r="D203" s="498"/>
      <c r="E203" s="498"/>
      <c r="F203" s="498"/>
      <c r="G203" s="499"/>
    </row>
    <row r="204" spans="1:7" ht="12.75">
      <c r="A204" s="498"/>
      <c r="B204" s="498"/>
      <c r="C204" s="498"/>
      <c r="D204" s="498"/>
      <c r="E204" s="498"/>
      <c r="F204" s="498"/>
      <c r="G204" s="499"/>
    </row>
    <row r="205" spans="1:7" ht="12.75">
      <c r="A205" s="498"/>
      <c r="B205" s="498"/>
      <c r="C205" s="498"/>
      <c r="D205" s="498"/>
      <c r="E205" s="498"/>
      <c r="F205" s="498"/>
      <c r="G205" s="499"/>
    </row>
    <row r="206" spans="1:7" ht="12.75">
      <c r="A206" s="498"/>
      <c r="B206" s="498"/>
      <c r="C206" s="498"/>
      <c r="D206" s="498"/>
      <c r="E206" s="498"/>
      <c r="F206" s="498"/>
      <c r="G206" s="499"/>
    </row>
    <row r="207" spans="1:7" ht="12.75">
      <c r="A207" s="498"/>
      <c r="B207" s="498"/>
      <c r="C207" s="498"/>
      <c r="D207" s="498"/>
      <c r="E207" s="498"/>
      <c r="F207" s="498"/>
      <c r="G207" s="499"/>
    </row>
    <row r="208" spans="1:7" ht="12.75">
      <c r="A208" s="498"/>
      <c r="B208" s="498"/>
      <c r="C208" s="498"/>
      <c r="D208" s="498"/>
      <c r="E208" s="498"/>
      <c r="F208" s="498"/>
      <c r="G208" s="499"/>
    </row>
    <row r="209" spans="1:7" ht="12.75">
      <c r="A209" s="498"/>
      <c r="B209" s="498"/>
      <c r="C209" s="498"/>
      <c r="D209" s="498"/>
      <c r="E209" s="498"/>
      <c r="F209" s="498"/>
      <c r="G209" s="499"/>
    </row>
    <row r="210" spans="1:7" ht="12.75">
      <c r="A210" s="498"/>
      <c r="B210" s="498"/>
      <c r="C210" s="498"/>
      <c r="D210" s="498"/>
      <c r="E210" s="498"/>
      <c r="F210" s="498"/>
      <c r="G210" s="499"/>
    </row>
    <row r="211" spans="1:7" ht="12.75">
      <c r="A211" s="498"/>
      <c r="B211" s="498"/>
      <c r="C211" s="498"/>
      <c r="D211" s="498"/>
      <c r="E211" s="498"/>
      <c r="F211" s="498"/>
      <c r="G211" s="499"/>
    </row>
    <row r="212" spans="1:7" ht="12.75">
      <c r="A212" s="498"/>
      <c r="B212" s="498"/>
      <c r="C212" s="498"/>
      <c r="D212" s="498"/>
      <c r="E212" s="498"/>
      <c r="F212" s="498"/>
      <c r="G212" s="499"/>
    </row>
    <row r="213" spans="1:7" ht="12.75">
      <c r="A213" s="498"/>
      <c r="B213" s="498"/>
      <c r="C213" s="498"/>
      <c r="D213" s="498"/>
      <c r="E213" s="498"/>
      <c r="F213" s="498"/>
      <c r="G213" s="499"/>
    </row>
    <row r="214" spans="1:7" ht="12.75">
      <c r="A214" s="498"/>
      <c r="B214" s="498"/>
      <c r="C214" s="498"/>
      <c r="D214" s="498"/>
      <c r="E214" s="498"/>
      <c r="F214" s="498"/>
      <c r="G214" s="499"/>
    </row>
    <row r="215" spans="1:7" ht="12.75">
      <c r="A215" s="498"/>
      <c r="B215" s="498"/>
      <c r="C215" s="498"/>
      <c r="D215" s="498"/>
      <c r="E215" s="498"/>
      <c r="F215" s="498"/>
      <c r="G215" s="499"/>
    </row>
    <row r="216" spans="1:7" ht="12.75">
      <c r="A216" s="498"/>
      <c r="B216" s="498"/>
      <c r="C216" s="498"/>
      <c r="D216" s="498"/>
      <c r="E216" s="498"/>
      <c r="F216" s="498"/>
      <c r="G216" s="499"/>
    </row>
    <row r="217" spans="1:7" ht="12.75">
      <c r="A217" s="498"/>
      <c r="B217" s="498"/>
      <c r="C217" s="498"/>
      <c r="D217" s="498"/>
      <c r="E217" s="498"/>
      <c r="F217" s="498"/>
      <c r="G217" s="499"/>
    </row>
    <row r="218" spans="1:7" ht="12.75">
      <c r="A218" s="498"/>
      <c r="B218" s="498"/>
      <c r="C218" s="498"/>
      <c r="D218" s="498"/>
      <c r="E218" s="498"/>
      <c r="F218" s="498"/>
      <c r="G218" s="499"/>
    </row>
    <row r="219" spans="1:7" ht="12.75">
      <c r="A219" s="498"/>
      <c r="B219" s="498"/>
      <c r="C219" s="498"/>
      <c r="D219" s="498"/>
      <c r="E219" s="498"/>
      <c r="F219" s="498"/>
      <c r="G219" s="499"/>
    </row>
    <row r="220" spans="1:7" ht="12.75">
      <c r="A220" s="498"/>
      <c r="B220" s="498"/>
      <c r="C220" s="498"/>
      <c r="D220" s="498"/>
      <c r="E220" s="498"/>
      <c r="F220" s="498"/>
      <c r="G220" s="499"/>
    </row>
    <row r="221" spans="1:7" ht="12.75">
      <c r="A221" s="498"/>
      <c r="B221" s="498"/>
      <c r="C221" s="498"/>
      <c r="D221" s="498"/>
      <c r="E221" s="498"/>
      <c r="F221" s="498"/>
      <c r="G221" s="499"/>
    </row>
    <row r="222" spans="1:7" ht="12.75">
      <c r="A222" s="498"/>
      <c r="B222" s="498"/>
      <c r="C222" s="498"/>
      <c r="D222" s="498"/>
      <c r="E222" s="498"/>
      <c r="F222" s="498"/>
      <c r="G222" s="499"/>
    </row>
    <row r="223" spans="1:7" ht="12.75">
      <c r="A223" s="498"/>
      <c r="B223" s="498"/>
      <c r="C223" s="498"/>
      <c r="D223" s="498"/>
      <c r="E223" s="498"/>
      <c r="F223" s="498"/>
      <c r="G223" s="499"/>
    </row>
    <row r="224" spans="1:7" ht="12.75">
      <c r="A224" s="498"/>
      <c r="B224" s="498"/>
      <c r="C224" s="498"/>
      <c r="D224" s="498"/>
      <c r="E224" s="498"/>
      <c r="F224" s="498"/>
      <c r="G224" s="499"/>
    </row>
    <row r="225" spans="1:7" ht="12.75">
      <c r="A225" s="498"/>
      <c r="B225" s="498"/>
      <c r="C225" s="498"/>
      <c r="D225" s="498"/>
      <c r="E225" s="498"/>
      <c r="F225" s="498"/>
      <c r="G225" s="499"/>
    </row>
    <row r="226" spans="1:7" ht="12.75">
      <c r="A226" s="498"/>
      <c r="B226" s="498"/>
      <c r="C226" s="498"/>
      <c r="D226" s="498"/>
      <c r="E226" s="498"/>
      <c r="F226" s="498"/>
      <c r="G226" s="499"/>
    </row>
    <row r="227" spans="1:7" ht="12.75">
      <c r="A227" s="498"/>
      <c r="B227" s="498"/>
      <c r="C227" s="498"/>
      <c r="D227" s="498"/>
      <c r="E227" s="498"/>
      <c r="F227" s="498"/>
      <c r="G227" s="499"/>
    </row>
    <row r="228" spans="1:7" ht="12.75">
      <c r="A228" s="498"/>
      <c r="B228" s="498"/>
      <c r="C228" s="498"/>
      <c r="D228" s="498"/>
      <c r="E228" s="498"/>
      <c r="F228" s="498"/>
      <c r="G228" s="499"/>
    </row>
    <row r="229" spans="1:7" ht="12.75">
      <c r="A229" s="498"/>
      <c r="B229" s="498"/>
      <c r="C229" s="498"/>
      <c r="D229" s="498"/>
      <c r="E229" s="498"/>
      <c r="F229" s="498"/>
      <c r="G229" s="499"/>
    </row>
    <row r="230" spans="1:7" ht="12.75">
      <c r="A230" s="498"/>
      <c r="B230" s="498"/>
      <c r="C230" s="498"/>
      <c r="D230" s="498"/>
      <c r="E230" s="498"/>
      <c r="F230" s="498"/>
      <c r="G230" s="499"/>
    </row>
    <row r="231" spans="1:7" ht="12.75">
      <c r="A231" s="498"/>
      <c r="B231" s="498"/>
      <c r="C231" s="498"/>
      <c r="D231" s="498"/>
      <c r="E231" s="498"/>
      <c r="F231" s="498"/>
      <c r="G231" s="499"/>
    </row>
    <row r="232" spans="1:7" ht="12.75">
      <c r="A232" s="498"/>
      <c r="B232" s="498"/>
      <c r="C232" s="498"/>
      <c r="D232" s="498"/>
      <c r="E232" s="498"/>
      <c r="F232" s="498"/>
      <c r="G232" s="499"/>
    </row>
    <row r="233" spans="1:7" ht="12.75">
      <c r="A233" s="498"/>
      <c r="B233" s="498"/>
      <c r="C233" s="498"/>
      <c r="D233" s="498"/>
      <c r="E233" s="498"/>
      <c r="F233" s="498"/>
      <c r="G233" s="499"/>
    </row>
    <row r="234" spans="1:7" ht="12.75">
      <c r="A234" s="498"/>
      <c r="B234" s="498"/>
      <c r="C234" s="498"/>
      <c r="D234" s="498"/>
      <c r="E234" s="498"/>
      <c r="F234" s="498"/>
      <c r="G234" s="499"/>
    </row>
    <row r="235" spans="1:7" ht="12.75">
      <c r="A235" s="498"/>
      <c r="B235" s="498"/>
      <c r="C235" s="498"/>
      <c r="D235" s="498"/>
      <c r="E235" s="498"/>
      <c r="F235" s="498"/>
      <c r="G235" s="499"/>
    </row>
    <row r="236" spans="1:7" ht="12.75">
      <c r="A236" s="498"/>
      <c r="B236" s="498"/>
      <c r="C236" s="498"/>
      <c r="D236" s="498"/>
      <c r="E236" s="498"/>
      <c r="F236" s="498"/>
      <c r="G236" s="499"/>
    </row>
    <row r="237" spans="1:7" ht="12.75">
      <c r="A237" s="498"/>
      <c r="B237" s="498"/>
      <c r="C237" s="498"/>
      <c r="D237" s="498"/>
      <c r="E237" s="498"/>
      <c r="F237" s="498"/>
      <c r="G237" s="499"/>
    </row>
    <row r="238" spans="1:7" ht="12.75">
      <c r="A238" s="498"/>
      <c r="B238" s="498"/>
      <c r="C238" s="498"/>
      <c r="D238" s="498"/>
      <c r="E238" s="498"/>
      <c r="F238" s="498"/>
      <c r="G238" s="499"/>
    </row>
    <row r="239" spans="1:7" ht="12.75">
      <c r="A239" s="498"/>
      <c r="B239" s="498"/>
      <c r="C239" s="498"/>
      <c r="D239" s="498"/>
      <c r="E239" s="498"/>
      <c r="F239" s="498"/>
      <c r="G239" s="499"/>
    </row>
    <row r="240" spans="1:7" ht="12.75">
      <c r="A240" s="498"/>
      <c r="B240" s="498"/>
      <c r="C240" s="498"/>
      <c r="D240" s="498"/>
      <c r="E240" s="498"/>
      <c r="F240" s="498"/>
      <c r="G240" s="499"/>
    </row>
    <row r="241" spans="1:7" ht="12.75">
      <c r="A241" s="498"/>
      <c r="B241" s="498"/>
      <c r="C241" s="498"/>
      <c r="D241" s="498"/>
      <c r="E241" s="498"/>
      <c r="F241" s="498"/>
      <c r="G241" s="499"/>
    </row>
    <row r="242" spans="1:7" ht="12.75">
      <c r="A242" s="498"/>
      <c r="B242" s="498"/>
      <c r="C242" s="498"/>
      <c r="D242" s="498"/>
      <c r="E242" s="498"/>
      <c r="F242" s="498"/>
      <c r="G242" s="499"/>
    </row>
    <row r="243" spans="1:7" ht="12.75">
      <c r="A243" s="498"/>
      <c r="B243" s="498"/>
      <c r="C243" s="498"/>
      <c r="D243" s="498"/>
      <c r="E243" s="498"/>
      <c r="F243" s="498"/>
      <c r="G243" s="499"/>
    </row>
    <row r="244" spans="1:7" ht="12.75">
      <c r="A244" s="498"/>
      <c r="B244" s="498"/>
      <c r="C244" s="498"/>
      <c r="D244" s="498"/>
      <c r="E244" s="498"/>
      <c r="F244" s="498"/>
      <c r="G244" s="499"/>
    </row>
    <row r="245" spans="1:7" ht="12.75">
      <c r="A245" s="498"/>
      <c r="B245" s="498"/>
      <c r="C245" s="498"/>
      <c r="D245" s="498"/>
      <c r="E245" s="498"/>
      <c r="F245" s="498"/>
      <c r="G245" s="499"/>
    </row>
    <row r="246" spans="1:7" ht="12.75">
      <c r="A246" s="498"/>
      <c r="B246" s="498"/>
      <c r="C246" s="498"/>
      <c r="D246" s="498"/>
      <c r="E246" s="498"/>
      <c r="F246" s="498"/>
      <c r="G246" s="499"/>
    </row>
    <row r="247" spans="1:7" ht="12.75">
      <c r="A247" s="498"/>
      <c r="B247" s="498"/>
      <c r="C247" s="498"/>
      <c r="D247" s="498"/>
      <c r="E247" s="498"/>
      <c r="F247" s="498"/>
      <c r="G247" s="499"/>
    </row>
    <row r="248" spans="1:7" ht="12.75">
      <c r="A248" s="498"/>
      <c r="B248" s="498"/>
      <c r="C248" s="498"/>
      <c r="D248" s="498"/>
      <c r="E248" s="498"/>
      <c r="F248" s="498"/>
      <c r="G248" s="499"/>
    </row>
    <row r="249" spans="1:7" ht="12.75">
      <c r="A249" s="498"/>
      <c r="B249" s="498"/>
      <c r="C249" s="498"/>
      <c r="D249" s="498"/>
      <c r="E249" s="498"/>
      <c r="F249" s="498"/>
      <c r="G249" s="499"/>
    </row>
    <row r="250" spans="1:7" ht="12.75">
      <c r="A250" s="498"/>
      <c r="B250" s="498"/>
      <c r="C250" s="498"/>
      <c r="D250" s="498"/>
      <c r="E250" s="498"/>
      <c r="F250" s="498"/>
      <c r="G250" s="499"/>
    </row>
    <row r="251" spans="1:7" ht="12.75">
      <c r="A251" s="498"/>
      <c r="B251" s="498"/>
      <c r="C251" s="498"/>
      <c r="D251" s="498"/>
      <c r="E251" s="498"/>
      <c r="F251" s="498"/>
      <c r="G251" s="499"/>
    </row>
    <row r="252" spans="1:7" ht="12.75">
      <c r="A252" s="498"/>
      <c r="B252" s="498"/>
      <c r="C252" s="498"/>
      <c r="D252" s="498"/>
      <c r="E252" s="498"/>
      <c r="F252" s="498"/>
      <c r="G252" s="499"/>
    </row>
    <row r="253" spans="1:7" ht="12.75">
      <c r="A253" s="498"/>
      <c r="B253" s="498"/>
      <c r="C253" s="498"/>
      <c r="D253" s="498"/>
      <c r="E253" s="498"/>
      <c r="F253" s="498"/>
      <c r="G253" s="499"/>
    </row>
    <row r="254" spans="1:7" ht="12.75">
      <c r="A254" s="498"/>
      <c r="B254" s="498"/>
      <c r="C254" s="498"/>
      <c r="D254" s="498"/>
      <c r="E254" s="498"/>
      <c r="F254" s="498"/>
      <c r="G254" s="499"/>
    </row>
    <row r="255" spans="1:7" ht="12.75">
      <c r="A255" s="498"/>
      <c r="B255" s="498"/>
      <c r="C255" s="498"/>
      <c r="D255" s="498"/>
      <c r="E255" s="498"/>
      <c r="F255" s="498"/>
      <c r="G255" s="499"/>
    </row>
    <row r="256" spans="1:7" ht="12.75">
      <c r="A256" s="498"/>
      <c r="B256" s="498"/>
      <c r="C256" s="498"/>
      <c r="D256" s="498"/>
      <c r="E256" s="498"/>
      <c r="F256" s="498"/>
      <c r="G256" s="499"/>
    </row>
    <row r="257" spans="1:7" ht="12.75">
      <c r="A257" s="498"/>
      <c r="B257" s="498"/>
      <c r="C257" s="498"/>
      <c r="D257" s="498"/>
      <c r="E257" s="498"/>
      <c r="F257" s="498"/>
      <c r="G257" s="499"/>
    </row>
    <row r="258" spans="1:7" ht="12.75">
      <c r="A258" s="498"/>
      <c r="B258" s="498"/>
      <c r="C258" s="498"/>
      <c r="D258" s="498"/>
      <c r="E258" s="498"/>
      <c r="F258" s="498"/>
      <c r="G258" s="499"/>
    </row>
    <row r="259" spans="1:7" ht="12.75">
      <c r="A259" s="498"/>
      <c r="B259" s="498"/>
      <c r="C259" s="498"/>
      <c r="D259" s="498"/>
      <c r="E259" s="498"/>
      <c r="F259" s="498"/>
      <c r="G259" s="499"/>
    </row>
    <row r="260" spans="1:7" ht="12.75">
      <c r="A260" s="498"/>
      <c r="B260" s="498"/>
      <c r="C260" s="498"/>
      <c r="D260" s="498"/>
      <c r="E260" s="498"/>
      <c r="F260" s="498"/>
      <c r="G260" s="499"/>
    </row>
    <row r="261" spans="1:7" ht="12.75">
      <c r="A261" s="498"/>
      <c r="B261" s="498"/>
      <c r="C261" s="498"/>
      <c r="D261" s="498"/>
      <c r="E261" s="498"/>
      <c r="F261" s="498"/>
      <c r="G261" s="499"/>
    </row>
    <row r="262" spans="1:7" ht="12.75">
      <c r="A262" s="498"/>
      <c r="B262" s="498"/>
      <c r="C262" s="498"/>
      <c r="D262" s="498"/>
      <c r="E262" s="498"/>
      <c r="F262" s="498"/>
      <c r="G262" s="499"/>
    </row>
    <row r="263" spans="1:7" ht="12.75">
      <c r="A263" s="498"/>
      <c r="B263" s="498"/>
      <c r="C263" s="498"/>
      <c r="D263" s="498"/>
      <c r="E263" s="498"/>
      <c r="F263" s="498"/>
      <c r="G263" s="499"/>
    </row>
    <row r="264" spans="1:7" ht="12.75">
      <c r="A264" s="498"/>
      <c r="B264" s="498"/>
      <c r="C264" s="498"/>
      <c r="D264" s="498"/>
      <c r="E264" s="498"/>
      <c r="F264" s="498"/>
      <c r="G264" s="499"/>
    </row>
    <row r="265" spans="1:7" ht="12.75">
      <c r="A265" s="498"/>
      <c r="B265" s="498"/>
      <c r="C265" s="498"/>
      <c r="D265" s="498"/>
      <c r="E265" s="498"/>
      <c r="F265" s="498"/>
      <c r="G265" s="499"/>
    </row>
    <row r="266" spans="1:7" ht="12.75">
      <c r="A266" s="498"/>
      <c r="B266" s="498"/>
      <c r="C266" s="498"/>
      <c r="D266" s="498"/>
      <c r="E266" s="498"/>
      <c r="F266" s="498"/>
      <c r="G266" s="499"/>
    </row>
    <row r="267" spans="1:7" ht="12.75">
      <c r="A267" s="498"/>
      <c r="B267" s="498"/>
      <c r="C267" s="498"/>
      <c r="D267" s="498"/>
      <c r="E267" s="498"/>
      <c r="F267" s="498"/>
      <c r="G267" s="499"/>
    </row>
    <row r="268" spans="1:7" ht="12.75">
      <c r="A268" s="498"/>
      <c r="B268" s="498"/>
      <c r="C268" s="498"/>
      <c r="D268" s="498"/>
      <c r="E268" s="498"/>
      <c r="F268" s="498"/>
      <c r="G268" s="499"/>
    </row>
    <row r="269" spans="1:7" ht="12.75">
      <c r="A269" s="498"/>
      <c r="B269" s="498"/>
      <c r="C269" s="498"/>
      <c r="D269" s="498"/>
      <c r="E269" s="498"/>
      <c r="F269" s="498"/>
      <c r="G269" s="499"/>
    </row>
    <row r="270" spans="1:7" ht="12.75">
      <c r="A270" s="498"/>
      <c r="B270" s="498"/>
      <c r="C270" s="498"/>
      <c r="D270" s="498"/>
      <c r="E270" s="498"/>
      <c r="F270" s="498"/>
      <c r="G270" s="499"/>
    </row>
    <row r="271" spans="1:7" ht="12.75">
      <c r="A271" s="498"/>
      <c r="B271" s="498"/>
      <c r="C271" s="498"/>
      <c r="D271" s="498"/>
      <c r="E271" s="498"/>
      <c r="F271" s="498"/>
      <c r="G271" s="499"/>
    </row>
    <row r="272" spans="1:7" ht="12.75">
      <c r="A272" s="498"/>
      <c r="B272" s="498"/>
      <c r="C272" s="498"/>
      <c r="D272" s="498"/>
      <c r="E272" s="498"/>
      <c r="F272" s="498"/>
      <c r="G272" s="499"/>
    </row>
    <row r="273" spans="1:7" ht="12.75">
      <c r="A273" s="498"/>
      <c r="B273" s="498"/>
      <c r="C273" s="498"/>
      <c r="D273" s="498"/>
      <c r="E273" s="498"/>
      <c r="F273" s="498"/>
      <c r="G273" s="499"/>
    </row>
    <row r="274" spans="1:7" ht="12.75">
      <c r="A274" s="498"/>
      <c r="B274" s="498"/>
      <c r="C274" s="498"/>
      <c r="D274" s="498"/>
      <c r="E274" s="498"/>
      <c r="F274" s="498"/>
      <c r="G274" s="499"/>
    </row>
    <row r="275" spans="1:7" ht="12.75">
      <c r="A275" s="498"/>
      <c r="B275" s="498"/>
      <c r="C275" s="498"/>
      <c r="D275" s="498"/>
      <c r="E275" s="498"/>
      <c r="F275" s="498"/>
      <c r="G275" s="499"/>
    </row>
    <row r="276" spans="1:7" ht="12.75">
      <c r="A276" s="498"/>
      <c r="B276" s="498"/>
      <c r="C276" s="498"/>
      <c r="D276" s="498"/>
      <c r="E276" s="498"/>
      <c r="F276" s="498"/>
      <c r="G276" s="499"/>
    </row>
    <row r="277" spans="1:7" ht="12.75">
      <c r="A277" s="498"/>
      <c r="B277" s="498"/>
      <c r="C277" s="498"/>
      <c r="D277" s="498"/>
      <c r="E277" s="498"/>
      <c r="F277" s="498"/>
      <c r="G277" s="499"/>
    </row>
    <row r="278" spans="1:7" ht="12.75">
      <c r="A278" s="498"/>
      <c r="B278" s="498"/>
      <c r="C278" s="498"/>
      <c r="D278" s="498"/>
      <c r="E278" s="498"/>
      <c r="F278" s="498"/>
      <c r="G278" s="499"/>
    </row>
    <row r="279" spans="1:7" ht="12.75">
      <c r="A279" s="498"/>
      <c r="B279" s="498"/>
      <c r="C279" s="498"/>
      <c r="D279" s="498"/>
      <c r="E279" s="498"/>
      <c r="F279" s="498"/>
      <c r="G279" s="499"/>
    </row>
    <row r="280" spans="1:7" ht="12.75">
      <c r="A280" s="498"/>
      <c r="B280" s="498"/>
      <c r="C280" s="498"/>
      <c r="D280" s="498"/>
      <c r="E280" s="498"/>
      <c r="F280" s="498"/>
      <c r="G280" s="499"/>
    </row>
    <row r="281" spans="1:7" ht="12.75">
      <c r="A281" s="498"/>
      <c r="B281" s="498"/>
      <c r="C281" s="498"/>
      <c r="D281" s="498"/>
      <c r="E281" s="498"/>
      <c r="F281" s="498"/>
      <c r="G281" s="499"/>
    </row>
    <row r="282" spans="1:7" ht="12.75">
      <c r="A282" s="498"/>
      <c r="B282" s="498"/>
      <c r="C282" s="498"/>
      <c r="D282" s="498"/>
      <c r="E282" s="498"/>
      <c r="F282" s="498"/>
      <c r="G282" s="499"/>
    </row>
    <row r="283" spans="1:7" ht="12.75">
      <c r="A283" s="498"/>
      <c r="B283" s="498"/>
      <c r="C283" s="498"/>
      <c r="D283" s="498"/>
      <c r="E283" s="498"/>
      <c r="F283" s="498"/>
      <c r="G283" s="499"/>
    </row>
    <row r="284" spans="1:7" ht="12.75">
      <c r="A284" s="498"/>
      <c r="B284" s="498"/>
      <c r="C284" s="498"/>
      <c r="D284" s="498"/>
      <c r="E284" s="498"/>
      <c r="F284" s="498"/>
      <c r="G284" s="499"/>
    </row>
    <row r="285" spans="1:7" ht="12.75">
      <c r="A285" s="498"/>
      <c r="B285" s="498"/>
      <c r="C285" s="498"/>
      <c r="D285" s="498"/>
      <c r="E285" s="498"/>
      <c r="F285" s="498"/>
      <c r="G285" s="499"/>
    </row>
    <row r="286" spans="1:7" ht="12.75">
      <c r="A286" s="498"/>
      <c r="B286" s="498"/>
      <c r="C286" s="498"/>
      <c r="D286" s="498"/>
      <c r="E286" s="498"/>
      <c r="F286" s="498"/>
      <c r="G286" s="499"/>
    </row>
    <row r="287" spans="1:7" ht="12.75">
      <c r="A287" s="498"/>
      <c r="B287" s="498"/>
      <c r="C287" s="498"/>
      <c r="D287" s="498"/>
      <c r="E287" s="498"/>
      <c r="F287" s="498"/>
      <c r="G287" s="499"/>
    </row>
    <row r="288" spans="1:7" ht="12.75">
      <c r="A288" s="498"/>
      <c r="B288" s="498"/>
      <c r="C288" s="498"/>
      <c r="D288" s="498"/>
      <c r="E288" s="498"/>
      <c r="F288" s="498"/>
      <c r="G288" s="499"/>
    </row>
    <row r="289" spans="1:7" ht="12.75">
      <c r="A289" s="498"/>
      <c r="B289" s="498"/>
      <c r="C289" s="498"/>
      <c r="D289" s="498"/>
      <c r="E289" s="498"/>
      <c r="F289" s="498"/>
      <c r="G289" s="499"/>
    </row>
    <row r="290" spans="1:7" ht="12.75">
      <c r="A290" s="498"/>
      <c r="B290" s="498"/>
      <c r="C290" s="498"/>
      <c r="D290" s="498"/>
      <c r="E290" s="498"/>
      <c r="F290" s="498"/>
      <c r="G290" s="499"/>
    </row>
    <row r="291" spans="1:7" ht="12.75">
      <c r="A291" s="498"/>
      <c r="B291" s="498"/>
      <c r="C291" s="498"/>
      <c r="D291" s="498"/>
      <c r="E291" s="498"/>
      <c r="F291" s="498"/>
      <c r="G291" s="499"/>
    </row>
    <row r="292" spans="1:7" ht="12.75">
      <c r="A292" s="498"/>
      <c r="B292" s="498"/>
      <c r="C292" s="498"/>
      <c r="D292" s="498"/>
      <c r="E292" s="498"/>
      <c r="F292" s="498"/>
      <c r="G292" s="499"/>
    </row>
    <row r="293" spans="1:7" ht="12.75">
      <c r="A293" s="498"/>
      <c r="B293" s="498"/>
      <c r="C293" s="498"/>
      <c r="D293" s="498"/>
      <c r="E293" s="498"/>
      <c r="F293" s="498"/>
      <c r="G293" s="499"/>
    </row>
    <row r="294" spans="1:7" ht="12.75">
      <c r="A294" s="498"/>
      <c r="B294" s="498"/>
      <c r="C294" s="498"/>
      <c r="D294" s="498"/>
      <c r="E294" s="498"/>
      <c r="F294" s="498"/>
      <c r="G294" s="499"/>
    </row>
    <row r="295" spans="1:7" ht="12.75">
      <c r="A295" s="498"/>
      <c r="B295" s="498"/>
      <c r="C295" s="498"/>
      <c r="D295" s="498"/>
      <c r="E295" s="498"/>
      <c r="F295" s="498"/>
      <c r="G295" s="499"/>
    </row>
    <row r="296" spans="1:7" ht="12.75">
      <c r="A296" s="498"/>
      <c r="B296" s="498"/>
      <c r="C296" s="498"/>
      <c r="D296" s="498"/>
      <c r="E296" s="498"/>
      <c r="F296" s="498"/>
      <c r="G296" s="499"/>
    </row>
    <row r="297" spans="1:7" ht="12.75">
      <c r="A297" s="498"/>
      <c r="B297" s="498"/>
      <c r="C297" s="498"/>
      <c r="D297" s="498"/>
      <c r="E297" s="498"/>
      <c r="F297" s="498"/>
      <c r="G297" s="499"/>
    </row>
    <row r="298" spans="1:7" ht="12.75">
      <c r="A298" s="498"/>
      <c r="B298" s="498"/>
      <c r="C298" s="498"/>
      <c r="D298" s="498"/>
      <c r="E298" s="498"/>
      <c r="F298" s="498"/>
      <c r="G298" s="499"/>
    </row>
    <row r="299" spans="1:7" ht="12.75">
      <c r="A299" s="498"/>
      <c r="B299" s="498"/>
      <c r="C299" s="498"/>
      <c r="D299" s="498"/>
      <c r="E299" s="498"/>
      <c r="F299" s="498"/>
      <c r="G299" s="499"/>
    </row>
    <row r="300" spans="1:7" ht="12.75">
      <c r="A300" s="498"/>
      <c r="B300" s="498"/>
      <c r="C300" s="498"/>
      <c r="D300" s="498"/>
      <c r="E300" s="498"/>
      <c r="F300" s="498"/>
      <c r="G300" s="499"/>
    </row>
    <row r="301" spans="1:7" ht="12.75">
      <c r="A301" s="498"/>
      <c r="B301" s="498"/>
      <c r="C301" s="498"/>
      <c r="D301" s="498"/>
      <c r="E301" s="498"/>
      <c r="F301" s="498"/>
      <c r="G301" s="499"/>
    </row>
    <row r="302" spans="1:7" ht="12.75">
      <c r="A302" s="498"/>
      <c r="B302" s="498"/>
      <c r="C302" s="498"/>
      <c r="D302" s="498"/>
      <c r="E302" s="498"/>
      <c r="F302" s="498"/>
      <c r="G302" s="499"/>
    </row>
    <row r="303" spans="1:7" ht="12.75">
      <c r="A303" s="498"/>
      <c r="B303" s="498"/>
      <c r="C303" s="498"/>
      <c r="D303" s="498"/>
      <c r="E303" s="498"/>
      <c r="F303" s="498"/>
      <c r="G303" s="499"/>
    </row>
    <row r="304" spans="1:7" ht="12.75">
      <c r="A304" s="498"/>
      <c r="B304" s="498"/>
      <c r="C304" s="498"/>
      <c r="D304" s="498"/>
      <c r="E304" s="498"/>
      <c r="F304" s="498"/>
      <c r="G304" s="499"/>
    </row>
    <row r="305" spans="1:7" ht="12.75">
      <c r="A305" s="498"/>
      <c r="B305" s="498"/>
      <c r="C305" s="498"/>
      <c r="D305" s="498"/>
      <c r="E305" s="498"/>
      <c r="F305" s="498"/>
      <c r="G305" s="499"/>
    </row>
    <row r="306" spans="1:7" ht="12.75">
      <c r="A306" s="498"/>
      <c r="B306" s="498"/>
      <c r="C306" s="498"/>
      <c r="D306" s="498"/>
      <c r="E306" s="498"/>
      <c r="F306" s="498"/>
      <c r="G306" s="499"/>
    </row>
    <row r="307" spans="1:7" ht="12.75">
      <c r="A307" s="498"/>
      <c r="B307" s="498"/>
      <c r="C307" s="498"/>
      <c r="D307" s="498"/>
      <c r="E307" s="498"/>
      <c r="F307" s="498"/>
      <c r="G307" s="499"/>
    </row>
    <row r="308" spans="1:7" ht="12.75">
      <c r="A308" s="498"/>
      <c r="B308" s="498"/>
      <c r="C308" s="498"/>
      <c r="D308" s="498"/>
      <c r="E308" s="498"/>
      <c r="F308" s="498"/>
      <c r="G308" s="499"/>
    </row>
    <row r="309" spans="1:7" ht="12.75">
      <c r="A309" s="498"/>
      <c r="B309" s="498"/>
      <c r="C309" s="498"/>
      <c r="D309" s="498"/>
      <c r="E309" s="498"/>
      <c r="F309" s="498"/>
      <c r="G309" s="499"/>
    </row>
    <row r="310" spans="1:7" ht="12.75">
      <c r="A310" s="498"/>
      <c r="B310" s="498"/>
      <c r="C310" s="498"/>
      <c r="D310" s="498"/>
      <c r="E310" s="498"/>
      <c r="F310" s="498"/>
      <c r="G310" s="499"/>
    </row>
    <row r="311" spans="1:7" ht="12.75">
      <c r="A311" s="498"/>
      <c r="B311" s="498"/>
      <c r="C311" s="498"/>
      <c r="D311" s="498"/>
      <c r="E311" s="498"/>
      <c r="F311" s="498"/>
      <c r="G311" s="499"/>
    </row>
    <row r="312" spans="1:7" ht="12.75">
      <c r="A312" s="498"/>
      <c r="B312" s="498"/>
      <c r="C312" s="498"/>
      <c r="D312" s="498"/>
      <c r="E312" s="498"/>
      <c r="F312" s="498"/>
      <c r="G312" s="499"/>
    </row>
    <row r="313" spans="1:7" ht="12.75">
      <c r="A313" s="498"/>
      <c r="B313" s="498"/>
      <c r="C313" s="498"/>
      <c r="D313" s="498"/>
      <c r="E313" s="498"/>
      <c r="F313" s="498"/>
      <c r="G313" s="499"/>
    </row>
    <row r="314" spans="1:7" ht="12.75">
      <c r="A314" s="498"/>
      <c r="B314" s="498"/>
      <c r="C314" s="498"/>
      <c r="D314" s="498"/>
      <c r="E314" s="498"/>
      <c r="F314" s="498"/>
      <c r="G314" s="499"/>
    </row>
    <row r="315" spans="1:7" ht="12.75">
      <c r="A315" s="498"/>
      <c r="B315" s="498"/>
      <c r="C315" s="498"/>
      <c r="D315" s="498"/>
      <c r="E315" s="498"/>
      <c r="F315" s="498"/>
      <c r="G315" s="499"/>
    </row>
    <row r="316" spans="1:7" ht="12.75">
      <c r="A316" s="498"/>
      <c r="B316" s="498"/>
      <c r="C316" s="498"/>
      <c r="D316" s="498"/>
      <c r="E316" s="498"/>
      <c r="F316" s="498"/>
      <c r="G316" s="499"/>
    </row>
    <row r="317" spans="1:7" ht="12.75">
      <c r="A317" s="498"/>
      <c r="B317" s="498"/>
      <c r="C317" s="498"/>
      <c r="D317" s="498"/>
      <c r="E317" s="498"/>
      <c r="F317" s="498"/>
      <c r="G317" s="499"/>
    </row>
    <row r="318" spans="1:7" ht="12.75">
      <c r="A318" s="498"/>
      <c r="B318" s="498"/>
      <c r="C318" s="498"/>
      <c r="D318" s="498"/>
      <c r="E318" s="498"/>
      <c r="F318" s="498"/>
      <c r="G318" s="499"/>
    </row>
    <row r="319" spans="1:7" ht="12.75">
      <c r="A319" s="498"/>
      <c r="B319" s="498"/>
      <c r="C319" s="498"/>
      <c r="D319" s="498"/>
      <c r="E319" s="498"/>
      <c r="F319" s="498"/>
      <c r="G319" s="499"/>
    </row>
    <row r="320" spans="1:7" ht="12.75">
      <c r="A320" s="498"/>
      <c r="B320" s="498"/>
      <c r="C320" s="498"/>
      <c r="D320" s="498"/>
      <c r="E320" s="498"/>
      <c r="F320" s="498"/>
      <c r="G320" s="499"/>
    </row>
    <row r="321" spans="1:7" ht="12.75">
      <c r="A321" s="498"/>
      <c r="B321" s="498"/>
      <c r="C321" s="498"/>
      <c r="D321" s="498"/>
      <c r="E321" s="498"/>
      <c r="F321" s="498"/>
      <c r="G321" s="499"/>
    </row>
    <row r="322" spans="1:7" ht="12.75">
      <c r="A322" s="498"/>
      <c r="B322" s="498"/>
      <c r="C322" s="498"/>
      <c r="D322" s="498"/>
      <c r="E322" s="498"/>
      <c r="F322" s="498"/>
      <c r="G322" s="499"/>
    </row>
    <row r="323" spans="1:7" ht="12.75">
      <c r="A323" s="498"/>
      <c r="B323" s="498"/>
      <c r="C323" s="498"/>
      <c r="D323" s="498"/>
      <c r="E323" s="498"/>
      <c r="F323" s="498"/>
      <c r="G323" s="499"/>
    </row>
    <row r="324" spans="1:7" ht="12.75">
      <c r="A324" s="498"/>
      <c r="B324" s="498"/>
      <c r="C324" s="498"/>
      <c r="D324" s="498"/>
      <c r="E324" s="498"/>
      <c r="F324" s="498"/>
      <c r="G324" s="499"/>
    </row>
    <row r="325" spans="1:7" ht="12.75">
      <c r="A325" s="498"/>
      <c r="B325" s="498"/>
      <c r="C325" s="498"/>
      <c r="D325" s="498"/>
      <c r="E325" s="498"/>
      <c r="F325" s="498"/>
      <c r="G325" s="499"/>
    </row>
    <row r="326" spans="1:7" ht="12.75">
      <c r="A326" s="498"/>
      <c r="B326" s="498"/>
      <c r="C326" s="498"/>
      <c r="D326" s="498"/>
      <c r="E326" s="498"/>
      <c r="F326" s="498"/>
      <c r="G326" s="499"/>
    </row>
    <row r="327" spans="1:7" ht="12.75">
      <c r="A327" s="498"/>
      <c r="B327" s="498"/>
      <c r="C327" s="498"/>
      <c r="D327" s="498"/>
      <c r="E327" s="498"/>
      <c r="F327" s="498"/>
      <c r="G327" s="499"/>
    </row>
    <row r="328" spans="1:7" ht="12.75">
      <c r="A328" s="498"/>
      <c r="B328" s="498"/>
      <c r="C328" s="498"/>
      <c r="D328" s="498"/>
      <c r="E328" s="498"/>
      <c r="F328" s="498"/>
      <c r="G328" s="499"/>
    </row>
    <row r="329" spans="1:7" ht="12.75">
      <c r="A329" s="498"/>
      <c r="B329" s="498"/>
      <c r="C329" s="498"/>
      <c r="D329" s="498"/>
      <c r="E329" s="498"/>
      <c r="F329" s="498"/>
      <c r="G329" s="499"/>
    </row>
    <row r="330" spans="1:7" ht="12.75">
      <c r="A330" s="498"/>
      <c r="B330" s="498"/>
      <c r="C330" s="498"/>
      <c r="D330" s="498"/>
      <c r="E330" s="498"/>
      <c r="F330" s="498"/>
      <c r="G330" s="499"/>
    </row>
    <row r="331" spans="1:7" ht="12.75">
      <c r="A331" s="498"/>
      <c r="B331" s="498"/>
      <c r="C331" s="498"/>
      <c r="D331" s="498"/>
      <c r="E331" s="498"/>
      <c r="F331" s="498"/>
      <c r="G331" s="499"/>
    </row>
    <row r="332" spans="1:7" ht="12.75">
      <c r="A332" s="498"/>
      <c r="B332" s="498"/>
      <c r="C332" s="498"/>
      <c r="D332" s="498"/>
      <c r="E332" s="498"/>
      <c r="F332" s="498"/>
      <c r="G332" s="499"/>
    </row>
    <row r="333" spans="1:7" ht="12.75">
      <c r="A333" s="498"/>
      <c r="B333" s="498"/>
      <c r="C333" s="498"/>
      <c r="D333" s="498"/>
      <c r="E333" s="498"/>
      <c r="F333" s="498"/>
      <c r="G333" s="499"/>
    </row>
    <row r="334" spans="1:7" ht="12.75">
      <c r="A334" s="498"/>
      <c r="B334" s="498"/>
      <c r="C334" s="498"/>
      <c r="D334" s="498"/>
      <c r="E334" s="498"/>
      <c r="F334" s="498"/>
      <c r="G334" s="499"/>
    </row>
    <row r="335" spans="1:7" ht="12.75">
      <c r="A335" s="498"/>
      <c r="B335" s="498"/>
      <c r="C335" s="498"/>
      <c r="D335" s="498"/>
      <c r="E335" s="498"/>
      <c r="F335" s="498"/>
      <c r="G335" s="499"/>
    </row>
    <row r="336" spans="1:7" ht="12.75">
      <c r="A336" s="498"/>
      <c r="B336" s="498"/>
      <c r="C336" s="498"/>
      <c r="D336" s="498"/>
      <c r="E336" s="498"/>
      <c r="F336" s="498"/>
      <c r="G336" s="499"/>
    </row>
    <row r="337" spans="1:7" ht="12.75">
      <c r="A337" s="498"/>
      <c r="B337" s="498"/>
      <c r="C337" s="498"/>
      <c r="D337" s="498"/>
      <c r="E337" s="498"/>
      <c r="F337" s="498"/>
      <c r="G337" s="499"/>
    </row>
    <row r="338" spans="1:7" ht="12.75">
      <c r="A338" s="498"/>
      <c r="B338" s="498"/>
      <c r="C338" s="498"/>
      <c r="D338" s="498"/>
      <c r="E338" s="498"/>
      <c r="F338" s="498"/>
      <c r="G338" s="499"/>
    </row>
    <row r="339" spans="1:7" ht="12.75">
      <c r="A339" s="498"/>
      <c r="B339" s="498"/>
      <c r="C339" s="498"/>
      <c r="D339" s="498"/>
      <c r="E339" s="498"/>
      <c r="F339" s="498"/>
      <c r="G339" s="499"/>
    </row>
    <row r="340" spans="1:7" ht="12.75">
      <c r="A340" s="498"/>
      <c r="B340" s="498"/>
      <c r="C340" s="498"/>
      <c r="D340" s="498"/>
      <c r="E340" s="498"/>
      <c r="F340" s="498"/>
      <c r="G340" s="499"/>
    </row>
    <row r="341" spans="1:7" ht="12.75">
      <c r="A341" s="498"/>
      <c r="B341" s="498"/>
      <c r="C341" s="498"/>
      <c r="D341" s="498"/>
      <c r="E341" s="498"/>
      <c r="F341" s="498"/>
      <c r="G341" s="499"/>
    </row>
    <row r="342" spans="1:7" ht="12.75">
      <c r="A342" s="498"/>
      <c r="B342" s="498"/>
      <c r="C342" s="498"/>
      <c r="D342" s="498"/>
      <c r="E342" s="498"/>
      <c r="F342" s="498"/>
      <c r="G342" s="499"/>
    </row>
    <row r="343" spans="1:7" ht="12.75">
      <c r="A343" s="498"/>
      <c r="B343" s="498"/>
      <c r="C343" s="498"/>
      <c r="D343" s="498"/>
      <c r="E343" s="498"/>
      <c r="F343" s="498"/>
      <c r="G343" s="499"/>
    </row>
    <row r="344" spans="1:7" ht="12.75">
      <c r="A344" s="498"/>
      <c r="B344" s="498"/>
      <c r="C344" s="498"/>
      <c r="D344" s="498"/>
      <c r="E344" s="498"/>
      <c r="F344" s="498"/>
      <c r="G344" s="499"/>
    </row>
    <row r="345" spans="1:7" ht="12.75">
      <c r="A345" s="498"/>
      <c r="B345" s="498"/>
      <c r="C345" s="498"/>
      <c r="D345" s="498"/>
      <c r="E345" s="498"/>
      <c r="F345" s="498"/>
      <c r="G345" s="499"/>
    </row>
    <row r="346" spans="1:7" ht="12.75">
      <c r="A346" s="498"/>
      <c r="B346" s="498"/>
      <c r="C346" s="498"/>
      <c r="D346" s="498"/>
      <c r="E346" s="498"/>
      <c r="F346" s="498"/>
      <c r="G346" s="499"/>
    </row>
    <row r="347" spans="1:7" ht="12.75">
      <c r="A347" s="498"/>
      <c r="B347" s="498"/>
      <c r="C347" s="498"/>
      <c r="D347" s="498"/>
      <c r="E347" s="498"/>
      <c r="F347" s="498"/>
      <c r="G347" s="499"/>
    </row>
    <row r="348" spans="1:7" ht="12.75">
      <c r="A348" s="498"/>
      <c r="B348" s="498"/>
      <c r="C348" s="498"/>
      <c r="D348" s="498"/>
      <c r="E348" s="498"/>
      <c r="F348" s="498"/>
      <c r="G348" s="499"/>
    </row>
    <row r="349" spans="1:7" ht="12.75">
      <c r="A349" s="498"/>
      <c r="B349" s="498"/>
      <c r="C349" s="498"/>
      <c r="D349" s="498"/>
      <c r="E349" s="498"/>
      <c r="F349" s="498"/>
      <c r="G349" s="499"/>
    </row>
    <row r="350" spans="1:7" ht="12.75">
      <c r="A350" s="498"/>
      <c r="B350" s="498"/>
      <c r="C350" s="498"/>
      <c r="D350" s="498"/>
      <c r="E350" s="498"/>
      <c r="F350" s="498"/>
      <c r="G350" s="499"/>
    </row>
    <row r="351" spans="1:7" ht="12.75">
      <c r="A351" s="498"/>
      <c r="B351" s="498"/>
      <c r="C351" s="498"/>
      <c r="D351" s="498"/>
      <c r="E351" s="498"/>
      <c r="F351" s="498"/>
      <c r="G351" s="499"/>
    </row>
    <row r="352" spans="1:7" ht="12.75">
      <c r="A352" s="498"/>
      <c r="B352" s="498"/>
      <c r="C352" s="498"/>
      <c r="D352" s="498"/>
      <c r="E352" s="498"/>
      <c r="F352" s="498"/>
      <c r="G352" s="499"/>
    </row>
    <row r="353" spans="1:7" ht="12.75">
      <c r="A353" s="498"/>
      <c r="B353" s="498"/>
      <c r="C353" s="498"/>
      <c r="D353" s="498"/>
      <c r="E353" s="498"/>
      <c r="F353" s="498"/>
      <c r="G353" s="499"/>
    </row>
    <row r="354" spans="1:7" ht="12.75">
      <c r="A354" s="498"/>
      <c r="B354" s="498"/>
      <c r="C354" s="498"/>
      <c r="D354" s="498"/>
      <c r="E354" s="498"/>
      <c r="F354" s="498"/>
      <c r="G354" s="499"/>
    </row>
    <row r="355" spans="1:7" ht="12.75">
      <c r="A355" s="498"/>
      <c r="B355" s="498"/>
      <c r="C355" s="498"/>
      <c r="D355" s="498"/>
      <c r="E355" s="498"/>
      <c r="F355" s="498"/>
      <c r="G355" s="499"/>
    </row>
    <row r="356" spans="1:7" ht="12.75">
      <c r="A356" s="498"/>
      <c r="B356" s="498"/>
      <c r="C356" s="498"/>
      <c r="D356" s="498"/>
      <c r="E356" s="498"/>
      <c r="F356" s="498"/>
      <c r="G356" s="499"/>
    </row>
    <row r="357" spans="1:7" ht="12.75">
      <c r="A357" s="498"/>
      <c r="B357" s="498"/>
      <c r="C357" s="498"/>
      <c r="D357" s="498"/>
      <c r="E357" s="498"/>
      <c r="F357" s="498"/>
      <c r="G357" s="499"/>
    </row>
    <row r="358" spans="1:7" ht="12.75">
      <c r="A358" s="498"/>
      <c r="B358" s="498"/>
      <c r="C358" s="498"/>
      <c r="D358" s="498"/>
      <c r="E358" s="498"/>
      <c r="F358" s="498"/>
      <c r="G358" s="499"/>
    </row>
    <row r="359" spans="1:7" ht="12.75">
      <c r="A359" s="498"/>
      <c r="B359" s="498"/>
      <c r="C359" s="498"/>
      <c r="D359" s="498"/>
      <c r="E359" s="498"/>
      <c r="F359" s="498"/>
      <c r="G359" s="499"/>
    </row>
    <row r="360" spans="1:7" ht="12.75">
      <c r="A360" s="498"/>
      <c r="B360" s="498"/>
      <c r="C360" s="498"/>
      <c r="D360" s="498"/>
      <c r="E360" s="498"/>
      <c r="F360" s="498"/>
      <c r="G360" s="499"/>
    </row>
    <row r="361" spans="1:7" ht="12.75">
      <c r="A361" s="498"/>
      <c r="B361" s="498"/>
      <c r="C361" s="498"/>
      <c r="D361" s="498"/>
      <c r="E361" s="498"/>
      <c r="F361" s="498"/>
      <c r="G361" s="499"/>
    </row>
    <row r="362" spans="1:7" ht="12.75">
      <c r="A362" s="498"/>
      <c r="B362" s="498"/>
      <c r="C362" s="498"/>
      <c r="D362" s="498"/>
      <c r="E362" s="498"/>
      <c r="F362" s="498"/>
      <c r="G362" s="499"/>
    </row>
    <row r="363" spans="1:7" ht="12.75">
      <c r="A363" s="498"/>
      <c r="B363" s="498"/>
      <c r="C363" s="498"/>
      <c r="D363" s="498"/>
      <c r="E363" s="498"/>
      <c r="F363" s="498"/>
      <c r="G363" s="499"/>
    </row>
    <row r="364" spans="1:7" ht="12.75">
      <c r="A364" s="498"/>
      <c r="B364" s="498"/>
      <c r="C364" s="498"/>
      <c r="D364" s="498"/>
      <c r="E364" s="498"/>
      <c r="F364" s="498"/>
      <c r="G364" s="499"/>
    </row>
    <row r="365" spans="1:7" ht="12.75">
      <c r="A365" s="498"/>
      <c r="B365" s="498"/>
      <c r="C365" s="498"/>
      <c r="D365" s="498"/>
      <c r="E365" s="498"/>
      <c r="F365" s="498"/>
      <c r="G365" s="499"/>
    </row>
    <row r="366" spans="1:7" ht="12.75">
      <c r="A366" s="498"/>
      <c r="B366" s="498"/>
      <c r="C366" s="498"/>
      <c r="D366" s="498"/>
      <c r="E366" s="498"/>
      <c r="F366" s="498"/>
      <c r="G366" s="499"/>
    </row>
    <row r="367" spans="1:7" ht="12.75">
      <c r="A367" s="498"/>
      <c r="B367" s="498"/>
      <c r="C367" s="498"/>
      <c r="D367" s="498"/>
      <c r="E367" s="498"/>
      <c r="F367" s="498"/>
      <c r="G367" s="499"/>
    </row>
    <row r="368" spans="1:7" ht="12.75">
      <c r="A368" s="498"/>
      <c r="B368" s="498"/>
      <c r="C368" s="498"/>
      <c r="D368" s="498"/>
      <c r="E368" s="498"/>
      <c r="F368" s="498"/>
      <c r="G368" s="499"/>
    </row>
    <row r="369" spans="1:7" ht="12.75">
      <c r="A369" s="498"/>
      <c r="B369" s="498"/>
      <c r="C369" s="498"/>
      <c r="D369" s="498"/>
      <c r="E369" s="498"/>
      <c r="F369" s="498"/>
      <c r="G369" s="499"/>
    </row>
    <row r="370" spans="1:7" ht="12.75">
      <c r="A370" s="498"/>
      <c r="B370" s="498"/>
      <c r="C370" s="498"/>
      <c r="D370" s="498"/>
      <c r="E370" s="498"/>
      <c r="F370" s="498"/>
      <c r="G370" s="499"/>
    </row>
    <row r="371" spans="1:7" ht="12.75">
      <c r="A371" s="498"/>
      <c r="B371" s="498"/>
      <c r="C371" s="498"/>
      <c r="D371" s="498"/>
      <c r="E371" s="498"/>
      <c r="F371" s="498"/>
      <c r="G371" s="499"/>
    </row>
    <row r="372" spans="1:7" ht="12.75">
      <c r="A372" s="498"/>
      <c r="B372" s="498"/>
      <c r="C372" s="498"/>
      <c r="D372" s="498"/>
      <c r="E372" s="498"/>
      <c r="F372" s="498"/>
      <c r="G372" s="499"/>
    </row>
    <row r="373" spans="1:7" ht="12.75">
      <c r="A373" s="498"/>
      <c r="B373" s="498"/>
      <c r="C373" s="498"/>
      <c r="D373" s="498"/>
      <c r="E373" s="498"/>
      <c r="F373" s="498"/>
      <c r="G373" s="499"/>
    </row>
    <row r="374" spans="1:7" ht="12.75">
      <c r="A374" s="498"/>
      <c r="B374" s="498"/>
      <c r="C374" s="498"/>
      <c r="D374" s="498"/>
      <c r="E374" s="498"/>
      <c r="F374" s="498"/>
      <c r="G374" s="499"/>
    </row>
    <row r="375" spans="1:7" ht="12.75">
      <c r="A375" s="498"/>
      <c r="B375" s="498"/>
      <c r="C375" s="498"/>
      <c r="D375" s="498"/>
      <c r="E375" s="498"/>
      <c r="F375" s="498"/>
      <c r="G375" s="499"/>
    </row>
    <row r="376" spans="1:7" ht="12.75">
      <c r="A376" s="498"/>
      <c r="B376" s="498"/>
      <c r="C376" s="498"/>
      <c r="D376" s="498"/>
      <c r="E376" s="498"/>
      <c r="F376" s="498"/>
      <c r="G376" s="499"/>
    </row>
    <row r="377" spans="1:7" ht="12.75">
      <c r="A377" s="498"/>
      <c r="B377" s="498"/>
      <c r="C377" s="498"/>
      <c r="D377" s="498"/>
      <c r="E377" s="498"/>
      <c r="F377" s="498"/>
      <c r="G377" s="499"/>
    </row>
    <row r="378" spans="1:7" ht="12.75">
      <c r="A378" s="498"/>
      <c r="B378" s="498"/>
      <c r="C378" s="498"/>
      <c r="D378" s="498"/>
      <c r="E378" s="498"/>
      <c r="F378" s="498"/>
      <c r="G378" s="499"/>
    </row>
    <row r="379" spans="1:7" ht="12.75">
      <c r="A379" s="498"/>
      <c r="B379" s="498"/>
      <c r="C379" s="498"/>
      <c r="D379" s="498"/>
      <c r="E379" s="498"/>
      <c r="F379" s="498"/>
      <c r="G379" s="499"/>
    </row>
    <row r="380" spans="1:7" ht="12.75">
      <c r="A380" s="498"/>
      <c r="B380" s="498"/>
      <c r="C380" s="498"/>
      <c r="D380" s="498"/>
      <c r="E380" s="498"/>
      <c r="F380" s="498"/>
      <c r="G380" s="499"/>
    </row>
    <row r="381" spans="1:7" ht="12.75">
      <c r="A381" s="498"/>
      <c r="B381" s="498"/>
      <c r="C381" s="498"/>
      <c r="D381" s="498"/>
      <c r="E381" s="498"/>
      <c r="F381" s="498"/>
      <c r="G381" s="499"/>
    </row>
    <row r="382" spans="1:7" ht="12.75">
      <c r="A382" s="498"/>
      <c r="B382" s="498"/>
      <c r="C382" s="498"/>
      <c r="D382" s="498"/>
      <c r="E382" s="498"/>
      <c r="F382" s="498"/>
      <c r="G382" s="499"/>
    </row>
    <row r="383" spans="1:7" ht="12.75">
      <c r="A383" s="498"/>
      <c r="B383" s="498"/>
      <c r="C383" s="498"/>
      <c r="D383" s="498"/>
      <c r="E383" s="498"/>
      <c r="F383" s="498"/>
      <c r="G383" s="499"/>
    </row>
    <row r="384" spans="1:7" ht="12.75">
      <c r="A384" s="498"/>
      <c r="B384" s="498"/>
      <c r="C384" s="498"/>
      <c r="D384" s="498"/>
      <c r="E384" s="498"/>
      <c r="F384" s="498"/>
      <c r="G384" s="499"/>
    </row>
    <row r="385" spans="1:7" ht="12.75">
      <c r="A385" s="498"/>
      <c r="B385" s="498"/>
      <c r="C385" s="498"/>
      <c r="D385" s="498"/>
      <c r="E385" s="498"/>
      <c r="F385" s="498"/>
      <c r="G385" s="499"/>
    </row>
    <row r="386" spans="1:7" ht="12.75">
      <c r="A386" s="498"/>
      <c r="B386" s="498"/>
      <c r="C386" s="498"/>
      <c r="D386" s="498"/>
      <c r="E386" s="498"/>
      <c r="F386" s="498"/>
      <c r="G386" s="499"/>
    </row>
    <row r="387" spans="1:7" ht="12.75">
      <c r="A387" s="498"/>
      <c r="B387" s="498"/>
      <c r="C387" s="498"/>
      <c r="D387" s="498"/>
      <c r="E387" s="498"/>
      <c r="F387" s="498"/>
      <c r="G387" s="499"/>
    </row>
    <row r="388" spans="1:7" ht="12.75">
      <c r="A388" s="498"/>
      <c r="B388" s="498"/>
      <c r="C388" s="498"/>
      <c r="D388" s="498"/>
      <c r="E388" s="498"/>
      <c r="F388" s="498"/>
      <c r="G388" s="499"/>
    </row>
    <row r="389" spans="1:7" ht="12.75">
      <c r="A389" s="498"/>
      <c r="B389" s="498"/>
      <c r="C389" s="498"/>
      <c r="D389" s="498"/>
      <c r="E389" s="498"/>
      <c r="F389" s="498"/>
      <c r="G389" s="499"/>
    </row>
    <row r="390" spans="1:7" ht="12.75">
      <c r="A390" s="498"/>
      <c r="B390" s="498"/>
      <c r="C390" s="498"/>
      <c r="D390" s="498"/>
      <c r="E390" s="498"/>
      <c r="F390" s="498"/>
      <c r="G390" s="499"/>
    </row>
    <row r="391" spans="1:7" ht="12.75">
      <c r="A391" s="498"/>
      <c r="B391" s="498"/>
      <c r="C391" s="498"/>
      <c r="D391" s="498"/>
      <c r="E391" s="498"/>
      <c r="F391" s="498"/>
      <c r="G391" s="499"/>
    </row>
    <row r="392" spans="1:7" ht="12.75">
      <c r="A392" s="498"/>
      <c r="B392" s="498"/>
      <c r="C392" s="498"/>
      <c r="D392" s="498"/>
      <c r="E392" s="498"/>
      <c r="F392" s="498"/>
      <c r="G392" s="499"/>
    </row>
    <row r="393" spans="1:7" ht="12.75">
      <c r="A393" s="498"/>
      <c r="B393" s="498"/>
      <c r="C393" s="498"/>
      <c r="D393" s="498"/>
      <c r="E393" s="498"/>
      <c r="F393" s="498"/>
      <c r="G393" s="499"/>
    </row>
    <row r="394" spans="1:7" ht="12.75">
      <c r="A394" s="498"/>
      <c r="B394" s="498"/>
      <c r="C394" s="498"/>
      <c r="D394" s="498"/>
      <c r="E394" s="498"/>
      <c r="F394" s="498"/>
      <c r="G394" s="499"/>
    </row>
    <row r="395" spans="1:7" ht="12.75">
      <c r="A395" s="498"/>
      <c r="B395" s="498"/>
      <c r="C395" s="498"/>
      <c r="D395" s="498"/>
      <c r="E395" s="498"/>
      <c r="F395" s="498"/>
      <c r="G395" s="499"/>
    </row>
    <row r="396" spans="1:7" ht="12.75">
      <c r="A396" s="498"/>
      <c r="B396" s="498"/>
      <c r="C396" s="498"/>
      <c r="D396" s="498"/>
      <c r="E396" s="498"/>
      <c r="F396" s="498"/>
      <c r="G396" s="499"/>
    </row>
    <row r="397" spans="1:7" ht="12.75">
      <c r="A397" s="498"/>
      <c r="B397" s="498"/>
      <c r="C397" s="498"/>
      <c r="D397" s="498"/>
      <c r="E397" s="498"/>
      <c r="F397" s="498"/>
      <c r="G397" s="499"/>
    </row>
    <row r="398" spans="1:7" ht="12.75">
      <c r="A398" s="498"/>
      <c r="B398" s="498"/>
      <c r="C398" s="498"/>
      <c r="D398" s="498"/>
      <c r="E398" s="498"/>
      <c r="F398" s="498"/>
      <c r="G398" s="499"/>
    </row>
    <row r="399" spans="1:7" ht="12.75">
      <c r="A399" s="498"/>
      <c r="B399" s="498"/>
      <c r="C399" s="498"/>
      <c r="D399" s="498"/>
      <c r="E399" s="498"/>
      <c r="F399" s="498"/>
      <c r="G399" s="499"/>
    </row>
    <row r="400" spans="1:7" ht="12.75">
      <c r="A400" s="498"/>
      <c r="B400" s="498"/>
      <c r="C400" s="498"/>
      <c r="D400" s="498"/>
      <c r="E400" s="498"/>
      <c r="F400" s="498"/>
      <c r="G400" s="499"/>
    </row>
    <row r="401" spans="1:7" ht="12.75">
      <c r="A401" s="498"/>
      <c r="B401" s="498"/>
      <c r="C401" s="498"/>
      <c r="D401" s="498"/>
      <c r="E401" s="498"/>
      <c r="F401" s="498"/>
      <c r="G401" s="499"/>
    </row>
    <row r="402" spans="1:7" ht="12.75">
      <c r="A402" s="498"/>
      <c r="B402" s="498"/>
      <c r="C402" s="498"/>
      <c r="D402" s="498"/>
      <c r="E402" s="498"/>
      <c r="F402" s="498"/>
      <c r="G402" s="499"/>
    </row>
    <row r="403" spans="1:7" ht="12.75">
      <c r="A403" s="498"/>
      <c r="B403" s="498"/>
      <c r="C403" s="498"/>
      <c r="D403" s="498"/>
      <c r="E403" s="498"/>
      <c r="F403" s="498"/>
      <c r="G403" s="499"/>
    </row>
    <row r="404" spans="1:7" ht="12.75">
      <c r="A404" s="498"/>
      <c r="B404" s="498"/>
      <c r="C404" s="498"/>
      <c r="D404" s="498"/>
      <c r="E404" s="498"/>
      <c r="F404" s="498"/>
      <c r="G404" s="499"/>
    </row>
    <row r="405" spans="1:7" ht="12.75">
      <c r="A405" s="498"/>
      <c r="B405" s="498"/>
      <c r="C405" s="498"/>
      <c r="D405" s="498"/>
      <c r="E405" s="498"/>
      <c r="F405" s="498"/>
      <c r="G405" s="499"/>
    </row>
    <row r="406" spans="1:7" ht="12.75">
      <c r="A406" s="498"/>
      <c r="B406" s="498"/>
      <c r="C406" s="498"/>
      <c r="D406" s="498"/>
      <c r="E406" s="498"/>
      <c r="F406" s="498"/>
      <c r="G406" s="499"/>
    </row>
    <row r="407" spans="1:7" ht="12.75">
      <c r="A407" s="498"/>
      <c r="B407" s="498"/>
      <c r="C407" s="498"/>
      <c r="D407" s="498"/>
      <c r="E407" s="498"/>
      <c r="F407" s="498"/>
      <c r="G407" s="499"/>
    </row>
    <row r="408" spans="1:7" ht="12.75">
      <c r="A408" s="498"/>
      <c r="B408" s="498"/>
      <c r="C408" s="498"/>
      <c r="D408" s="498"/>
      <c r="E408" s="498"/>
      <c r="F408" s="498"/>
      <c r="G408" s="499"/>
    </row>
    <row r="409" spans="1:7" ht="12.75">
      <c r="A409" s="498"/>
      <c r="B409" s="498"/>
      <c r="C409" s="498"/>
      <c r="D409" s="498"/>
      <c r="E409" s="498"/>
      <c r="F409" s="498"/>
      <c r="G409" s="499"/>
    </row>
    <row r="410" spans="1:7" ht="12.75">
      <c r="A410" s="498"/>
      <c r="B410" s="498"/>
      <c r="C410" s="498"/>
      <c r="D410" s="498"/>
      <c r="E410" s="498"/>
      <c r="F410" s="498"/>
      <c r="G410" s="499"/>
    </row>
    <row r="411" spans="1:7" ht="12.75">
      <c r="A411" s="498"/>
      <c r="B411" s="498"/>
      <c r="C411" s="498"/>
      <c r="D411" s="498"/>
      <c r="E411" s="498"/>
      <c r="F411" s="498"/>
      <c r="G411" s="499"/>
    </row>
    <row r="412" spans="1:7" ht="12.75">
      <c r="A412" s="498"/>
      <c r="B412" s="498"/>
      <c r="C412" s="498"/>
      <c r="D412" s="498"/>
      <c r="E412" s="498"/>
      <c r="F412" s="498"/>
      <c r="G412" s="499"/>
    </row>
    <row r="413" spans="1:7" ht="12.75">
      <c r="A413" s="498"/>
      <c r="B413" s="498"/>
      <c r="C413" s="498"/>
      <c r="D413" s="498"/>
      <c r="E413" s="498"/>
      <c r="F413" s="498"/>
      <c r="G413" s="499"/>
    </row>
    <row r="414" spans="1:7" ht="12.75">
      <c r="A414" s="498"/>
      <c r="B414" s="498"/>
      <c r="C414" s="498"/>
      <c r="D414" s="498"/>
      <c r="E414" s="498"/>
      <c r="F414" s="498"/>
      <c r="G414" s="499"/>
    </row>
    <row r="415" spans="1:7" ht="12.75">
      <c r="A415" s="498"/>
      <c r="B415" s="498"/>
      <c r="C415" s="498"/>
      <c r="D415" s="498"/>
      <c r="E415" s="498"/>
      <c r="F415" s="498"/>
      <c r="G415" s="499"/>
    </row>
    <row r="416" spans="1:7" ht="12.75">
      <c r="A416" s="498"/>
      <c r="B416" s="498"/>
      <c r="C416" s="498"/>
      <c r="D416" s="498"/>
      <c r="E416" s="498"/>
      <c r="F416" s="498"/>
      <c r="G416" s="499"/>
    </row>
    <row r="417" spans="1:7" ht="12.75">
      <c r="A417" s="498"/>
      <c r="B417" s="498"/>
      <c r="C417" s="498"/>
      <c r="D417" s="498"/>
      <c r="E417" s="498"/>
      <c r="F417" s="498"/>
      <c r="G417" s="499"/>
    </row>
    <row r="418" spans="1:7" ht="12.75">
      <c r="A418" s="498"/>
      <c r="B418" s="498"/>
      <c r="C418" s="498"/>
      <c r="D418" s="498"/>
      <c r="E418" s="498"/>
      <c r="F418" s="498"/>
      <c r="G418" s="499"/>
    </row>
    <row r="419" spans="1:7" ht="12.75">
      <c r="A419" s="498"/>
      <c r="B419" s="498"/>
      <c r="C419" s="498"/>
      <c r="D419" s="498"/>
      <c r="E419" s="498"/>
      <c r="F419" s="498"/>
      <c r="G419" s="499"/>
    </row>
    <row r="420" spans="1:7" ht="12.75">
      <c r="A420" s="498"/>
      <c r="B420" s="498"/>
      <c r="C420" s="498"/>
      <c r="D420" s="498"/>
      <c r="E420" s="498"/>
      <c r="F420" s="498"/>
      <c r="G420" s="499"/>
    </row>
    <row r="421" spans="1:7" ht="12.75">
      <c r="A421" s="498"/>
      <c r="B421" s="498"/>
      <c r="C421" s="498"/>
      <c r="D421" s="498"/>
      <c r="E421" s="498"/>
      <c r="F421" s="498"/>
      <c r="G421" s="499"/>
    </row>
    <row r="422" spans="1:7" ht="12.75">
      <c r="A422" s="498"/>
      <c r="B422" s="498"/>
      <c r="C422" s="498"/>
      <c r="D422" s="498"/>
      <c r="E422" s="498"/>
      <c r="F422" s="498"/>
      <c r="G422" s="499"/>
    </row>
    <row r="423" spans="1:7" ht="12.75">
      <c r="A423" s="498"/>
      <c r="B423" s="498"/>
      <c r="C423" s="498"/>
      <c r="D423" s="498"/>
      <c r="E423" s="498"/>
      <c r="F423" s="498"/>
      <c r="G423" s="499"/>
    </row>
    <row r="424" spans="1:7" ht="12.75">
      <c r="A424" s="498"/>
      <c r="B424" s="498"/>
      <c r="C424" s="498"/>
      <c r="D424" s="498"/>
      <c r="E424" s="498"/>
      <c r="F424" s="498"/>
      <c r="G424" s="499"/>
    </row>
    <row r="425" spans="1:7" ht="12.75">
      <c r="A425" s="498"/>
      <c r="B425" s="498"/>
      <c r="C425" s="498"/>
      <c r="D425" s="498"/>
      <c r="E425" s="498"/>
      <c r="F425" s="498"/>
      <c r="G425" s="499"/>
    </row>
    <row r="426" spans="1:7" ht="12.75">
      <c r="A426" s="498"/>
      <c r="B426" s="498"/>
      <c r="C426" s="498"/>
      <c r="D426" s="498"/>
      <c r="E426" s="498"/>
      <c r="F426" s="498"/>
      <c r="G426" s="499"/>
    </row>
    <row r="427" spans="1:7" ht="12.75">
      <c r="A427" s="498"/>
      <c r="B427" s="498"/>
      <c r="C427" s="498"/>
      <c r="D427" s="498"/>
      <c r="E427" s="498"/>
      <c r="F427" s="498"/>
      <c r="G427" s="499"/>
    </row>
    <row r="428" spans="1:7" ht="12.75">
      <c r="A428" s="498"/>
      <c r="B428" s="498"/>
      <c r="C428" s="498"/>
      <c r="D428" s="498"/>
      <c r="E428" s="498"/>
      <c r="F428" s="498"/>
      <c r="G428" s="499"/>
    </row>
    <row r="429" spans="1:7" ht="12.75">
      <c r="A429" s="498"/>
      <c r="B429" s="498"/>
      <c r="C429" s="498"/>
      <c r="D429" s="498"/>
      <c r="E429" s="498"/>
      <c r="F429" s="498"/>
      <c r="G429" s="499"/>
    </row>
    <row r="430" spans="1:7" ht="12.75">
      <c r="A430" s="498"/>
      <c r="B430" s="498"/>
      <c r="C430" s="498"/>
      <c r="D430" s="498"/>
      <c r="E430" s="498"/>
      <c r="F430" s="498"/>
      <c r="G430" s="499"/>
    </row>
    <row r="431" spans="1:7" ht="12.75">
      <c r="A431" s="498"/>
      <c r="B431" s="498"/>
      <c r="C431" s="498"/>
      <c r="D431" s="498"/>
      <c r="E431" s="498"/>
      <c r="F431" s="498"/>
      <c r="G431" s="499"/>
    </row>
    <row r="432" spans="1:7" ht="12.75">
      <c r="A432" s="498"/>
      <c r="B432" s="498"/>
      <c r="C432" s="498"/>
      <c r="D432" s="498"/>
      <c r="E432" s="498"/>
      <c r="F432" s="498"/>
      <c r="G432" s="499"/>
    </row>
    <row r="433" spans="1:7" ht="12.75">
      <c r="A433" s="498"/>
      <c r="B433" s="498"/>
      <c r="C433" s="498"/>
      <c r="D433" s="498"/>
      <c r="E433" s="498"/>
      <c r="F433" s="498"/>
      <c r="G433" s="499"/>
    </row>
    <row r="434" spans="1:7" ht="12.75">
      <c r="A434" s="498"/>
      <c r="B434" s="498"/>
      <c r="C434" s="498"/>
      <c r="D434" s="498"/>
      <c r="E434" s="498"/>
      <c r="F434" s="498"/>
      <c r="G434" s="499"/>
    </row>
    <row r="435" spans="1:7" ht="12.75">
      <c r="A435" s="498"/>
      <c r="B435" s="498"/>
      <c r="C435" s="498"/>
      <c r="D435" s="498"/>
      <c r="E435" s="498"/>
      <c r="F435" s="498"/>
      <c r="G435" s="499"/>
    </row>
    <row r="436" spans="1:7" ht="12.75">
      <c r="A436" s="498"/>
      <c r="B436" s="498"/>
      <c r="C436" s="498"/>
      <c r="D436" s="498"/>
      <c r="E436" s="498"/>
      <c r="F436" s="498"/>
      <c r="G436" s="499"/>
    </row>
    <row r="437" spans="1:7" ht="12.75">
      <c r="A437" s="498"/>
      <c r="B437" s="498"/>
      <c r="C437" s="498"/>
      <c r="D437" s="498"/>
      <c r="E437" s="498"/>
      <c r="F437" s="498"/>
      <c r="G437" s="499"/>
    </row>
    <row r="438" spans="1:7" ht="12.75">
      <c r="A438" s="498"/>
      <c r="B438" s="498"/>
      <c r="C438" s="498"/>
      <c r="D438" s="498"/>
      <c r="E438" s="498"/>
      <c r="F438" s="498"/>
      <c r="G438" s="499"/>
    </row>
    <row r="439" spans="1:7" ht="12.75">
      <c r="A439" s="498"/>
      <c r="B439" s="498"/>
      <c r="C439" s="498"/>
      <c r="D439" s="498"/>
      <c r="E439" s="498"/>
      <c r="F439" s="498"/>
      <c r="G439" s="499"/>
    </row>
    <row r="440" spans="1:7" ht="12.75">
      <c r="A440" s="498"/>
      <c r="B440" s="498"/>
      <c r="C440" s="498"/>
      <c r="D440" s="498"/>
      <c r="E440" s="498"/>
      <c r="F440" s="498"/>
      <c r="G440" s="499"/>
    </row>
    <row r="441" spans="1:7" ht="12.75">
      <c r="A441" s="498"/>
      <c r="B441" s="498"/>
      <c r="C441" s="498"/>
      <c r="D441" s="498"/>
      <c r="E441" s="498"/>
      <c r="F441" s="498"/>
      <c r="G441" s="499"/>
    </row>
    <row r="442" spans="1:7" ht="12.75">
      <c r="A442" s="498"/>
      <c r="B442" s="498"/>
      <c r="C442" s="498"/>
      <c r="D442" s="498"/>
      <c r="E442" s="498"/>
      <c r="F442" s="498"/>
      <c r="G442" s="499"/>
    </row>
    <row r="443" spans="1:7" ht="12.75">
      <c r="A443" s="498"/>
      <c r="B443" s="498"/>
      <c r="C443" s="498"/>
      <c r="D443" s="498"/>
      <c r="E443" s="498"/>
      <c r="F443" s="498"/>
      <c r="G443" s="499"/>
    </row>
    <row r="444" spans="1:7" ht="12.75">
      <c r="A444" s="498"/>
      <c r="B444" s="498"/>
      <c r="C444" s="498"/>
      <c r="D444" s="498"/>
      <c r="E444" s="498"/>
      <c r="F444" s="498"/>
      <c r="G444" s="499"/>
    </row>
    <row r="445" spans="1:7" ht="12.75">
      <c r="A445" s="498"/>
      <c r="B445" s="498"/>
      <c r="C445" s="498"/>
      <c r="D445" s="498"/>
      <c r="E445" s="498"/>
      <c r="F445" s="498"/>
      <c r="G445" s="499"/>
    </row>
    <row r="446" spans="1:7" ht="12.75">
      <c r="A446" s="498"/>
      <c r="B446" s="498"/>
      <c r="C446" s="498"/>
      <c r="D446" s="498"/>
      <c r="E446" s="498"/>
      <c r="F446" s="498"/>
      <c r="G446" s="499"/>
    </row>
    <row r="447" spans="1:7" ht="12.75">
      <c r="A447" s="498"/>
      <c r="B447" s="498"/>
      <c r="C447" s="498"/>
      <c r="D447" s="498"/>
      <c r="E447" s="498"/>
      <c r="F447" s="498"/>
      <c r="G447" s="499"/>
    </row>
    <row r="448" spans="1:7" ht="12.75">
      <c r="A448" s="498"/>
      <c r="B448" s="498"/>
      <c r="C448" s="498"/>
      <c r="D448" s="498"/>
      <c r="E448" s="498"/>
      <c r="F448" s="498"/>
      <c r="G448" s="499"/>
    </row>
    <row r="449" spans="1:7" ht="12.75">
      <c r="A449" s="498"/>
      <c r="B449" s="498"/>
      <c r="C449" s="498"/>
      <c r="D449" s="498"/>
      <c r="E449" s="498"/>
      <c r="F449" s="498"/>
      <c r="G449" s="499"/>
    </row>
    <row r="450" spans="1:7" ht="12.75">
      <c r="A450" s="498"/>
      <c r="B450" s="498"/>
      <c r="C450" s="498"/>
      <c r="D450" s="498"/>
      <c r="E450" s="498"/>
      <c r="F450" s="498"/>
      <c r="G450" s="499"/>
    </row>
    <row r="451" spans="1:7" ht="12.75">
      <c r="A451" s="498"/>
      <c r="B451" s="498"/>
      <c r="C451" s="498"/>
      <c r="D451" s="498"/>
      <c r="E451" s="498"/>
      <c r="F451" s="498"/>
      <c r="G451" s="499"/>
    </row>
    <row r="452" spans="1:7" ht="12.75">
      <c r="A452" s="498"/>
      <c r="B452" s="498"/>
      <c r="C452" s="498"/>
      <c r="D452" s="498"/>
      <c r="E452" s="498"/>
      <c r="F452" s="498"/>
      <c r="G452" s="499"/>
    </row>
    <row r="453" spans="1:7" ht="12.75">
      <c r="A453" s="498"/>
      <c r="B453" s="498"/>
      <c r="C453" s="498"/>
      <c r="D453" s="498"/>
      <c r="E453" s="498"/>
      <c r="F453" s="498"/>
      <c r="G453" s="499"/>
    </row>
    <row r="454" spans="1:7" ht="12.75">
      <c r="A454" s="498"/>
      <c r="B454" s="498"/>
      <c r="C454" s="498"/>
      <c r="D454" s="498"/>
      <c r="E454" s="498"/>
      <c r="F454" s="498"/>
      <c r="G454" s="499"/>
    </row>
    <row r="455" spans="1:7" ht="12.75">
      <c r="A455" s="498"/>
      <c r="B455" s="498"/>
      <c r="C455" s="498"/>
      <c r="D455" s="498"/>
      <c r="E455" s="498"/>
      <c r="F455" s="498"/>
      <c r="G455" s="499"/>
    </row>
    <row r="456" spans="1:7" ht="12.75">
      <c r="A456" s="498"/>
      <c r="B456" s="498"/>
      <c r="C456" s="498"/>
      <c r="D456" s="498"/>
      <c r="E456" s="498"/>
      <c r="F456" s="498"/>
      <c r="G456" s="499"/>
    </row>
    <row r="457" spans="1:7" ht="12.75">
      <c r="A457" s="498"/>
      <c r="B457" s="498"/>
      <c r="C457" s="498"/>
      <c r="D457" s="498"/>
      <c r="E457" s="498"/>
      <c r="F457" s="498"/>
      <c r="G457" s="499"/>
    </row>
    <row r="458" spans="1:7" ht="12.75">
      <c r="A458" s="498"/>
      <c r="B458" s="498"/>
      <c r="C458" s="498"/>
      <c r="D458" s="498"/>
      <c r="E458" s="498"/>
      <c r="F458" s="498"/>
      <c r="G458" s="499"/>
    </row>
    <row r="459" spans="1:7" ht="12.75">
      <c r="A459" s="498"/>
      <c r="B459" s="498"/>
      <c r="C459" s="498"/>
      <c r="D459" s="498"/>
      <c r="E459" s="498"/>
      <c r="F459" s="498"/>
      <c r="G459" s="499"/>
    </row>
    <row r="460" spans="1:7" ht="12.75">
      <c r="A460" s="498"/>
      <c r="B460" s="498"/>
      <c r="C460" s="498"/>
      <c r="D460" s="498"/>
      <c r="E460" s="498"/>
      <c r="F460" s="498"/>
      <c r="G460" s="499"/>
    </row>
    <row r="461" spans="1:7" ht="12.75">
      <c r="A461" s="498"/>
      <c r="B461" s="498"/>
      <c r="C461" s="498"/>
      <c r="D461" s="498"/>
      <c r="E461" s="498"/>
      <c r="F461" s="498"/>
      <c r="G461" s="499"/>
    </row>
    <row r="462" spans="1:7" ht="12.75">
      <c r="A462" s="498"/>
      <c r="B462" s="498"/>
      <c r="C462" s="498"/>
      <c r="D462" s="498"/>
      <c r="E462" s="498"/>
      <c r="F462" s="498"/>
      <c r="G462" s="499"/>
    </row>
    <row r="463" spans="1:7" ht="12.75">
      <c r="A463" s="498"/>
      <c r="B463" s="498"/>
      <c r="C463" s="498"/>
      <c r="D463" s="498"/>
      <c r="E463" s="498"/>
      <c r="F463" s="498"/>
      <c r="G463" s="499"/>
    </row>
    <row r="464" spans="1:7" ht="12.75">
      <c r="A464" s="498"/>
      <c r="B464" s="498"/>
      <c r="C464" s="498"/>
      <c r="D464" s="498"/>
      <c r="E464" s="498"/>
      <c r="F464" s="498"/>
      <c r="G464" s="499"/>
    </row>
    <row r="465" spans="1:7" ht="12.75">
      <c r="A465" s="498"/>
      <c r="B465" s="498"/>
      <c r="C465" s="498"/>
      <c r="D465" s="498"/>
      <c r="E465" s="498"/>
      <c r="F465" s="498"/>
      <c r="G465" s="499"/>
    </row>
    <row r="466" spans="1:7" ht="12.75">
      <c r="A466" s="498"/>
      <c r="B466" s="498"/>
      <c r="C466" s="498"/>
      <c r="D466" s="498"/>
      <c r="E466" s="498"/>
      <c r="F466" s="498"/>
      <c r="G466" s="499"/>
    </row>
    <row r="467" spans="1:7" ht="12.75">
      <c r="A467" s="498"/>
      <c r="B467" s="498"/>
      <c r="C467" s="498"/>
      <c r="D467" s="498"/>
      <c r="E467" s="498"/>
      <c r="F467" s="498"/>
      <c r="G467" s="499"/>
    </row>
    <row r="468" spans="1:7" ht="12.75">
      <c r="A468" s="498"/>
      <c r="B468" s="498"/>
      <c r="C468" s="498"/>
      <c r="D468" s="498"/>
      <c r="E468" s="498"/>
      <c r="F468" s="498"/>
      <c r="G468" s="499"/>
    </row>
    <row r="469" spans="1:7" ht="12.75">
      <c r="A469" s="498"/>
      <c r="B469" s="498"/>
      <c r="C469" s="498"/>
      <c r="D469" s="498"/>
      <c r="E469" s="498"/>
      <c r="F469" s="498"/>
      <c r="G469" s="499"/>
    </row>
    <row r="470" spans="1:7" ht="12.75">
      <c r="A470" s="498"/>
      <c r="B470" s="498"/>
      <c r="C470" s="498"/>
      <c r="D470" s="498"/>
      <c r="E470" s="498"/>
      <c r="F470" s="498"/>
      <c r="G470" s="499"/>
    </row>
    <row r="471" spans="1:7" ht="12.75">
      <c r="A471" s="498"/>
      <c r="B471" s="498"/>
      <c r="C471" s="498"/>
      <c r="D471" s="498"/>
      <c r="E471" s="498"/>
      <c r="F471" s="498"/>
      <c r="G471" s="499"/>
    </row>
    <row r="472" spans="1:7" ht="12.75">
      <c r="A472" s="498"/>
      <c r="B472" s="498"/>
      <c r="C472" s="498"/>
      <c r="D472" s="498"/>
      <c r="E472" s="498"/>
      <c r="F472" s="498"/>
      <c r="G472" s="499"/>
    </row>
    <row r="473" spans="1:7" ht="12.75">
      <c r="A473" s="498"/>
      <c r="B473" s="498"/>
      <c r="C473" s="498"/>
      <c r="D473" s="498"/>
      <c r="E473" s="498"/>
      <c r="F473" s="498"/>
      <c r="G473" s="499"/>
    </row>
    <row r="474" spans="1:7" ht="12.75">
      <c r="A474" s="498"/>
      <c r="B474" s="498"/>
      <c r="C474" s="498"/>
      <c r="D474" s="498"/>
      <c r="E474" s="498"/>
      <c r="F474" s="498"/>
      <c r="G474" s="499"/>
    </row>
    <row r="475" spans="1:7" ht="12.75">
      <c r="A475" s="498"/>
      <c r="B475" s="498"/>
      <c r="C475" s="498"/>
      <c r="D475" s="498"/>
      <c r="E475" s="498"/>
      <c r="F475" s="498"/>
      <c r="G475" s="499"/>
    </row>
    <row r="476" spans="1:7" ht="12.75">
      <c r="A476" s="498"/>
      <c r="B476" s="498"/>
      <c r="C476" s="498"/>
      <c r="D476" s="498"/>
      <c r="E476" s="498"/>
      <c r="F476" s="498"/>
      <c r="G476" s="499"/>
    </row>
    <row r="477" spans="1:7" ht="12.75">
      <c r="A477" s="498"/>
      <c r="B477" s="498"/>
      <c r="C477" s="498"/>
      <c r="D477" s="498"/>
      <c r="E477" s="498"/>
      <c r="F477" s="498"/>
      <c r="G477" s="499"/>
    </row>
    <row r="478" spans="1:7" ht="12.75">
      <c r="A478" s="498"/>
      <c r="B478" s="498"/>
      <c r="C478" s="498"/>
      <c r="D478" s="498"/>
      <c r="E478" s="498"/>
      <c r="F478" s="498"/>
      <c r="G478" s="499"/>
    </row>
    <row r="479" spans="1:7" ht="12.75">
      <c r="A479" s="498"/>
      <c r="B479" s="498"/>
      <c r="C479" s="498"/>
      <c r="D479" s="498"/>
      <c r="E479" s="498"/>
      <c r="F479" s="498"/>
      <c r="G479" s="499"/>
    </row>
    <row r="480" spans="1:7" ht="12.75">
      <c r="A480" s="498"/>
      <c r="B480" s="498"/>
      <c r="C480" s="498"/>
      <c r="D480" s="498"/>
      <c r="E480" s="498"/>
      <c r="F480" s="498"/>
      <c r="G480" s="499"/>
    </row>
    <row r="481" spans="1:7" ht="12.75">
      <c r="A481" s="498"/>
      <c r="B481" s="498"/>
      <c r="C481" s="498"/>
      <c r="D481" s="498"/>
      <c r="E481" s="498"/>
      <c r="F481" s="498"/>
      <c r="G481" s="499"/>
    </row>
    <row r="482" spans="1:7" ht="12.75">
      <c r="A482" s="498"/>
      <c r="B482" s="498"/>
      <c r="C482" s="498"/>
      <c r="D482" s="498"/>
      <c r="E482" s="498"/>
      <c r="F482" s="498"/>
      <c r="G482" s="499"/>
    </row>
    <row r="483" spans="1:7" ht="12.75">
      <c r="A483" s="498"/>
      <c r="B483" s="498"/>
      <c r="C483" s="498"/>
      <c r="D483" s="498"/>
      <c r="E483" s="498"/>
      <c r="F483" s="498"/>
      <c r="G483" s="499"/>
    </row>
    <row r="484" spans="1:7" ht="12.75">
      <c r="A484" s="498"/>
      <c r="B484" s="498"/>
      <c r="C484" s="498"/>
      <c r="D484" s="498"/>
      <c r="E484" s="498"/>
      <c r="F484" s="498"/>
      <c r="G484" s="499"/>
    </row>
    <row r="485" spans="1:7" ht="12.75">
      <c r="A485" s="498"/>
      <c r="B485" s="498"/>
      <c r="C485" s="498"/>
      <c r="D485" s="498"/>
      <c r="E485" s="498"/>
      <c r="F485" s="498"/>
      <c r="G485" s="499"/>
    </row>
    <row r="486" spans="1:7" ht="12.75">
      <c r="A486" s="498"/>
      <c r="B486" s="498"/>
      <c r="C486" s="498"/>
      <c r="D486" s="498"/>
      <c r="E486" s="498"/>
      <c r="F486" s="498"/>
      <c r="G486" s="499"/>
    </row>
    <row r="487" spans="1:7" ht="12.75">
      <c r="A487" s="498"/>
      <c r="B487" s="498"/>
      <c r="C487" s="498"/>
      <c r="D487" s="498"/>
      <c r="E487" s="498"/>
      <c r="F487" s="498"/>
      <c r="G487" s="499"/>
    </row>
    <row r="488" spans="1:7" ht="12.75">
      <c r="A488" s="498"/>
      <c r="B488" s="498"/>
      <c r="C488" s="498"/>
      <c r="D488" s="498"/>
      <c r="E488" s="498"/>
      <c r="F488" s="498"/>
      <c r="G488" s="499"/>
    </row>
    <row r="489" spans="1:7" ht="12.75">
      <c r="A489" s="498"/>
      <c r="B489" s="498"/>
      <c r="C489" s="498"/>
      <c r="D489" s="498"/>
      <c r="E489" s="498"/>
      <c r="F489" s="498"/>
      <c r="G489" s="499"/>
    </row>
    <row r="490" spans="1:7" ht="12.75">
      <c r="A490" s="498"/>
      <c r="B490" s="498"/>
      <c r="C490" s="498"/>
      <c r="D490" s="498"/>
      <c r="E490" s="498"/>
      <c r="F490" s="498"/>
      <c r="G490" s="499"/>
    </row>
    <row r="491" spans="1:7" ht="12.75">
      <c r="A491" s="498"/>
      <c r="B491" s="498"/>
      <c r="C491" s="498"/>
      <c r="D491" s="498"/>
      <c r="E491" s="498"/>
      <c r="F491" s="498"/>
      <c r="G491" s="499"/>
    </row>
    <row r="492" spans="1:7" ht="12.75">
      <c r="A492" s="498"/>
      <c r="B492" s="498"/>
      <c r="C492" s="498"/>
      <c r="D492" s="498"/>
      <c r="E492" s="498"/>
      <c r="F492" s="498"/>
      <c r="G492" s="499"/>
    </row>
    <row r="493" spans="1:7" ht="12.75">
      <c r="A493" s="498"/>
      <c r="B493" s="498"/>
      <c r="C493" s="498"/>
      <c r="D493" s="498"/>
      <c r="E493" s="498"/>
      <c r="F493" s="498"/>
      <c r="G493" s="499"/>
    </row>
    <row r="494" spans="1:7" ht="12.75">
      <c r="A494" s="498"/>
      <c r="B494" s="498"/>
      <c r="C494" s="498"/>
      <c r="D494" s="498"/>
      <c r="E494" s="498"/>
      <c r="F494" s="498"/>
      <c r="G494" s="499"/>
    </row>
    <row r="495" spans="1:7" ht="12.75">
      <c r="A495" s="498"/>
      <c r="B495" s="498"/>
      <c r="C495" s="498"/>
      <c r="D495" s="498"/>
      <c r="E495" s="498"/>
      <c r="F495" s="498"/>
      <c r="G495" s="499"/>
    </row>
    <row r="496" spans="1:7" ht="12.75">
      <c r="A496" s="498"/>
      <c r="B496" s="498"/>
      <c r="C496" s="498"/>
      <c r="D496" s="498"/>
      <c r="E496" s="498"/>
      <c r="F496" s="498"/>
      <c r="G496" s="499"/>
    </row>
    <row r="497" spans="1:7" ht="12.75">
      <c r="A497" s="498"/>
      <c r="B497" s="498"/>
      <c r="C497" s="498"/>
      <c r="D497" s="498"/>
      <c r="E497" s="498"/>
      <c r="F497" s="498"/>
      <c r="G497" s="499"/>
    </row>
    <row r="498" spans="1:7" ht="12.75">
      <c r="A498" s="498"/>
      <c r="B498" s="498"/>
      <c r="C498" s="498"/>
      <c r="D498" s="498"/>
      <c r="E498" s="498"/>
      <c r="F498" s="498"/>
      <c r="G498" s="499"/>
    </row>
    <row r="499" spans="1:7" ht="12.75">
      <c r="A499" s="498"/>
      <c r="B499" s="498"/>
      <c r="C499" s="498"/>
      <c r="D499" s="498"/>
      <c r="E499" s="498"/>
      <c r="F499" s="498"/>
      <c r="G499" s="499"/>
    </row>
    <row r="500" spans="1:7" ht="12.75">
      <c r="A500" s="498"/>
      <c r="B500" s="498"/>
      <c r="C500" s="498"/>
      <c r="D500" s="498"/>
      <c r="E500" s="498"/>
      <c r="F500" s="498"/>
      <c r="G500" s="499"/>
    </row>
    <row r="501" spans="1:7" ht="12.75">
      <c r="A501" s="498"/>
      <c r="B501" s="498"/>
      <c r="C501" s="498"/>
      <c r="D501" s="498"/>
      <c r="E501" s="498"/>
      <c r="F501" s="498"/>
      <c r="G501" s="499"/>
    </row>
    <row r="502" spans="1:7" ht="12.75">
      <c r="A502" s="498"/>
      <c r="B502" s="498"/>
      <c r="C502" s="498"/>
      <c r="D502" s="498"/>
      <c r="E502" s="498"/>
      <c r="F502" s="498"/>
      <c r="G502" s="499"/>
    </row>
    <row r="503" spans="1:7" ht="12.75">
      <c r="A503" s="498"/>
      <c r="B503" s="498"/>
      <c r="C503" s="498"/>
      <c r="D503" s="498"/>
      <c r="E503" s="498"/>
      <c r="F503" s="498"/>
      <c r="G503" s="499"/>
    </row>
    <row r="504" spans="1:7" ht="12.75">
      <c r="A504" s="498"/>
      <c r="B504" s="498"/>
      <c r="C504" s="498"/>
      <c r="D504" s="498"/>
      <c r="E504" s="498"/>
      <c r="F504" s="498"/>
      <c r="G504" s="499"/>
    </row>
    <row r="505" spans="1:7" ht="12.75">
      <c r="A505" s="498"/>
      <c r="B505" s="498"/>
      <c r="C505" s="498"/>
      <c r="D505" s="498"/>
      <c r="E505" s="498"/>
      <c r="F505" s="498"/>
      <c r="G505" s="499"/>
    </row>
    <row r="506" spans="1:7" ht="12.75">
      <c r="A506" s="498"/>
      <c r="B506" s="498"/>
      <c r="C506" s="498"/>
      <c r="D506" s="498"/>
      <c r="E506" s="498"/>
      <c r="F506" s="498"/>
      <c r="G506" s="499"/>
    </row>
    <row r="507" spans="1:7" ht="12.75">
      <c r="A507" s="498"/>
      <c r="B507" s="498"/>
      <c r="C507" s="498"/>
      <c r="D507" s="498"/>
      <c r="E507" s="498"/>
      <c r="F507" s="498"/>
      <c r="G507" s="499"/>
    </row>
    <row r="508" spans="1:7" ht="12.75">
      <c r="A508" s="498"/>
      <c r="B508" s="498"/>
      <c r="C508" s="498"/>
      <c r="D508" s="498"/>
      <c r="E508" s="498"/>
      <c r="F508" s="498"/>
      <c r="G508" s="499"/>
    </row>
    <row r="509" spans="1:7" ht="12.75">
      <c r="A509" s="498"/>
      <c r="B509" s="498"/>
      <c r="C509" s="498"/>
      <c r="D509" s="498"/>
      <c r="E509" s="498"/>
      <c r="F509" s="498"/>
      <c r="G509" s="499"/>
    </row>
    <row r="510" spans="1:7" ht="12.75">
      <c r="A510" s="498"/>
      <c r="B510" s="498"/>
      <c r="C510" s="498"/>
      <c r="D510" s="498"/>
      <c r="E510" s="498"/>
      <c r="F510" s="498"/>
      <c r="G510" s="499"/>
    </row>
    <row r="511" spans="1:7" ht="12.75">
      <c r="A511" s="498"/>
      <c r="B511" s="498"/>
      <c r="C511" s="498"/>
      <c r="D511" s="498"/>
      <c r="E511" s="498"/>
      <c r="F511" s="498"/>
      <c r="G511" s="499"/>
    </row>
    <row r="512" spans="1:7" ht="12.75">
      <c r="A512" s="498"/>
      <c r="B512" s="498"/>
      <c r="C512" s="498"/>
      <c r="D512" s="498"/>
      <c r="E512" s="498"/>
      <c r="F512" s="498"/>
      <c r="G512" s="499"/>
    </row>
    <row r="513" spans="1:7" ht="12.75">
      <c r="A513" s="498"/>
      <c r="B513" s="498"/>
      <c r="C513" s="498"/>
      <c r="D513" s="498"/>
      <c r="E513" s="498"/>
      <c r="F513" s="498"/>
      <c r="G513" s="499"/>
    </row>
    <row r="514" spans="1:7" ht="12.75">
      <c r="A514" s="498"/>
      <c r="B514" s="498"/>
      <c r="C514" s="498"/>
      <c r="D514" s="498"/>
      <c r="E514" s="498"/>
      <c r="F514" s="498"/>
      <c r="G514" s="499"/>
    </row>
    <row r="515" spans="1:7" ht="12.75">
      <c r="A515" s="498"/>
      <c r="B515" s="498"/>
      <c r="C515" s="498"/>
      <c r="D515" s="498"/>
      <c r="E515" s="498"/>
      <c r="F515" s="498"/>
      <c r="G515" s="499"/>
    </row>
    <row r="516" spans="1:7" ht="12.75">
      <c r="A516" s="498"/>
      <c r="B516" s="498"/>
      <c r="C516" s="498"/>
      <c r="D516" s="498"/>
      <c r="E516" s="498"/>
      <c r="F516" s="498"/>
      <c r="G516" s="499"/>
    </row>
    <row r="517" spans="1:7" ht="12.75">
      <c r="A517" s="498"/>
      <c r="B517" s="498"/>
      <c r="C517" s="498"/>
      <c r="D517" s="498"/>
      <c r="E517" s="498"/>
      <c r="F517" s="498"/>
      <c r="G517" s="499"/>
    </row>
    <row r="518" spans="1:7" ht="12.75">
      <c r="A518" s="498"/>
      <c r="B518" s="498"/>
      <c r="C518" s="498"/>
      <c r="D518" s="498"/>
      <c r="E518" s="498"/>
      <c r="F518" s="498"/>
      <c r="G518" s="499"/>
    </row>
    <row r="519" spans="1:7" ht="12.75">
      <c r="A519" s="498"/>
      <c r="B519" s="498"/>
      <c r="C519" s="498"/>
      <c r="D519" s="498"/>
      <c r="E519" s="498"/>
      <c r="F519" s="498"/>
      <c r="G519" s="499"/>
    </row>
    <row r="520" spans="1:7" ht="12.75">
      <c r="A520" s="498"/>
      <c r="B520" s="498"/>
      <c r="C520" s="498"/>
      <c r="D520" s="498"/>
      <c r="E520" s="498"/>
      <c r="F520" s="498"/>
      <c r="G520" s="499"/>
    </row>
    <row r="521" spans="1:7" ht="12.75">
      <c r="A521" s="498"/>
      <c r="B521" s="498"/>
      <c r="C521" s="498"/>
      <c r="D521" s="498"/>
      <c r="E521" s="498"/>
      <c r="F521" s="498"/>
      <c r="G521" s="499"/>
    </row>
    <row r="522" spans="1:7" ht="12.75">
      <c r="A522" s="498"/>
      <c r="B522" s="498"/>
      <c r="C522" s="498"/>
      <c r="D522" s="498"/>
      <c r="E522" s="498"/>
      <c r="F522" s="498"/>
      <c r="G522" s="499"/>
    </row>
    <row r="523" spans="1:7" ht="12.75">
      <c r="A523" s="498"/>
      <c r="B523" s="498"/>
      <c r="C523" s="498"/>
      <c r="D523" s="498"/>
      <c r="E523" s="498"/>
      <c r="F523" s="498"/>
      <c r="G523" s="499"/>
    </row>
    <row r="524" spans="1:7" ht="12.75">
      <c r="A524" s="498"/>
      <c r="B524" s="498"/>
      <c r="C524" s="498"/>
      <c r="D524" s="498"/>
      <c r="E524" s="498"/>
      <c r="F524" s="498"/>
      <c r="G524" s="499"/>
    </row>
    <row r="525" spans="1:7" ht="12.75">
      <c r="A525" s="498"/>
      <c r="B525" s="498"/>
      <c r="C525" s="498"/>
      <c r="D525" s="498"/>
      <c r="E525" s="498"/>
      <c r="F525" s="498"/>
      <c r="G525" s="499"/>
    </row>
    <row r="526" spans="1:7" ht="12.75">
      <c r="A526" s="498"/>
      <c r="B526" s="498"/>
      <c r="C526" s="498"/>
      <c r="D526" s="498"/>
      <c r="E526" s="498"/>
      <c r="F526" s="498"/>
      <c r="G526" s="499"/>
    </row>
    <row r="527" spans="1:7" ht="12.75">
      <c r="A527" s="498"/>
      <c r="B527" s="498"/>
      <c r="C527" s="498"/>
      <c r="D527" s="498"/>
      <c r="E527" s="498"/>
      <c r="F527" s="498"/>
      <c r="G527" s="499"/>
    </row>
    <row r="528" spans="1:7" ht="12.75">
      <c r="A528" s="498"/>
      <c r="B528" s="498"/>
      <c r="C528" s="498"/>
      <c r="D528" s="498"/>
      <c r="E528" s="498"/>
      <c r="F528" s="498"/>
      <c r="G528" s="499"/>
    </row>
    <row r="529" spans="1:7" ht="12.75">
      <c r="A529" s="498"/>
      <c r="B529" s="498"/>
      <c r="C529" s="498"/>
      <c r="D529" s="498"/>
      <c r="E529" s="498"/>
      <c r="F529" s="498"/>
      <c r="G529" s="499"/>
    </row>
    <row r="530" spans="1:7" ht="12.75">
      <c r="A530" s="498"/>
      <c r="B530" s="498"/>
      <c r="C530" s="498"/>
      <c r="D530" s="498"/>
      <c r="E530" s="498"/>
      <c r="F530" s="498"/>
      <c r="G530" s="499"/>
    </row>
    <row r="531" spans="1:7" ht="12.75">
      <c r="A531" s="498"/>
      <c r="B531" s="498"/>
      <c r="C531" s="498"/>
      <c r="D531" s="498"/>
      <c r="E531" s="498"/>
      <c r="F531" s="498"/>
      <c r="G531" s="499"/>
    </row>
    <row r="532" spans="1:7" ht="12.75">
      <c r="A532" s="498"/>
      <c r="B532" s="498"/>
      <c r="C532" s="498"/>
      <c r="D532" s="498"/>
      <c r="E532" s="498"/>
      <c r="F532" s="498"/>
      <c r="G532" s="499"/>
    </row>
    <row r="533" spans="1:7" ht="12.75">
      <c r="A533" s="498"/>
      <c r="B533" s="498"/>
      <c r="C533" s="498"/>
      <c r="D533" s="498"/>
      <c r="E533" s="498"/>
      <c r="F533" s="498"/>
      <c r="G533" s="499"/>
    </row>
    <row r="534" spans="1:7" ht="12.75">
      <c r="A534" s="498"/>
      <c r="B534" s="498"/>
      <c r="C534" s="498"/>
      <c r="D534" s="498"/>
      <c r="E534" s="498"/>
      <c r="F534" s="498"/>
      <c r="G534" s="499"/>
    </row>
    <row r="535" spans="1:7" ht="12.75">
      <c r="A535" s="498"/>
      <c r="B535" s="498"/>
      <c r="C535" s="498"/>
      <c r="D535" s="498"/>
      <c r="E535" s="498"/>
      <c r="F535" s="498"/>
      <c r="G535" s="499"/>
    </row>
    <row r="536" spans="1:7" ht="12.75">
      <c r="A536" s="498"/>
      <c r="B536" s="498"/>
      <c r="C536" s="498"/>
      <c r="D536" s="498"/>
      <c r="E536" s="498"/>
      <c r="F536" s="498"/>
      <c r="G536" s="499"/>
    </row>
    <row r="537" spans="1:7" ht="12.75">
      <c r="A537" s="498"/>
      <c r="B537" s="498"/>
      <c r="C537" s="498"/>
      <c r="D537" s="498"/>
      <c r="E537" s="498"/>
      <c r="F537" s="498"/>
      <c r="G537" s="499"/>
    </row>
    <row r="538" spans="1:7" ht="12.75">
      <c r="A538" s="498"/>
      <c r="B538" s="498"/>
      <c r="C538" s="498"/>
      <c r="D538" s="498"/>
      <c r="E538" s="498"/>
      <c r="F538" s="498"/>
      <c r="G538" s="499"/>
    </row>
    <row r="539" spans="1:7" ht="12.75">
      <c r="A539" s="498"/>
      <c r="B539" s="498"/>
      <c r="C539" s="498"/>
      <c r="D539" s="498"/>
      <c r="E539" s="498"/>
      <c r="F539" s="498"/>
      <c r="G539" s="499"/>
    </row>
    <row r="540" spans="1:7" ht="12.75">
      <c r="A540" s="498"/>
      <c r="B540" s="498"/>
      <c r="C540" s="498"/>
      <c r="D540" s="498"/>
      <c r="E540" s="498"/>
      <c r="F540" s="498"/>
      <c r="G540" s="499"/>
    </row>
    <row r="541" spans="1:7" ht="12.75">
      <c r="A541" s="498"/>
      <c r="B541" s="498"/>
      <c r="C541" s="498"/>
      <c r="D541" s="498"/>
      <c r="E541" s="498"/>
      <c r="F541" s="498"/>
      <c r="G541" s="499"/>
    </row>
    <row r="542" spans="1:7" ht="12.75">
      <c r="A542" s="498"/>
      <c r="B542" s="498"/>
      <c r="C542" s="498"/>
      <c r="D542" s="498"/>
      <c r="E542" s="498"/>
      <c r="F542" s="498"/>
      <c r="G542" s="499"/>
    </row>
    <row r="543" spans="1:7" ht="12.75">
      <c r="A543" s="498"/>
      <c r="B543" s="498"/>
      <c r="C543" s="498"/>
      <c r="D543" s="498"/>
      <c r="E543" s="498"/>
      <c r="F543" s="498"/>
      <c r="G543" s="499"/>
    </row>
    <row r="544" spans="1:7" ht="12.75">
      <c r="A544" s="498"/>
      <c r="B544" s="498"/>
      <c r="C544" s="498"/>
      <c r="D544" s="498"/>
      <c r="E544" s="498"/>
      <c r="F544" s="498"/>
      <c r="G544" s="499"/>
    </row>
    <row r="545" spans="1:7" ht="12.75">
      <c r="A545" s="498"/>
      <c r="B545" s="498"/>
      <c r="C545" s="498"/>
      <c r="D545" s="498"/>
      <c r="E545" s="498"/>
      <c r="F545" s="498"/>
      <c r="G545" s="499"/>
    </row>
    <row r="546" spans="1:7" ht="12.75">
      <c r="A546" s="498"/>
      <c r="B546" s="498"/>
      <c r="C546" s="498"/>
      <c r="D546" s="498"/>
      <c r="E546" s="498"/>
      <c r="F546" s="498"/>
      <c r="G546" s="499"/>
    </row>
    <row r="547" spans="1:7" ht="12.75">
      <c r="A547" s="498"/>
      <c r="B547" s="498"/>
      <c r="C547" s="498"/>
      <c r="D547" s="498"/>
      <c r="E547" s="498"/>
      <c r="F547" s="498"/>
      <c r="G547" s="499"/>
    </row>
    <row r="548" spans="1:7" ht="12.75">
      <c r="A548" s="498"/>
      <c r="B548" s="498"/>
      <c r="C548" s="498"/>
      <c r="D548" s="498"/>
      <c r="E548" s="498"/>
      <c r="F548" s="498"/>
      <c r="G548" s="499"/>
    </row>
    <row r="549" spans="1:7" ht="12.75">
      <c r="A549" s="498"/>
      <c r="B549" s="498"/>
      <c r="C549" s="498"/>
      <c r="D549" s="498"/>
      <c r="E549" s="498"/>
      <c r="F549" s="498"/>
      <c r="G549" s="499"/>
    </row>
    <row r="550" spans="1:7" ht="12.75">
      <c r="A550" s="498"/>
      <c r="B550" s="498"/>
      <c r="C550" s="498"/>
      <c r="D550" s="498"/>
      <c r="E550" s="498"/>
      <c r="F550" s="498"/>
      <c r="G550" s="499"/>
    </row>
    <row r="551" spans="1:7" ht="12.75">
      <c r="A551" s="498"/>
      <c r="B551" s="498"/>
      <c r="C551" s="498"/>
      <c r="D551" s="498"/>
      <c r="E551" s="498"/>
      <c r="F551" s="498"/>
      <c r="G551" s="499"/>
    </row>
    <row r="552" spans="1:7" ht="12.75">
      <c r="A552" s="498"/>
      <c r="B552" s="498"/>
      <c r="C552" s="498"/>
      <c r="D552" s="498"/>
      <c r="E552" s="498"/>
      <c r="F552" s="498"/>
      <c r="G552" s="499"/>
    </row>
    <row r="553" spans="1:7" ht="12.75">
      <c r="A553" s="498"/>
      <c r="B553" s="498"/>
      <c r="C553" s="498"/>
      <c r="D553" s="498"/>
      <c r="E553" s="498"/>
      <c r="F553" s="498"/>
      <c r="G553" s="499"/>
    </row>
    <row r="554" spans="1:7" ht="12.75">
      <c r="A554" s="498"/>
      <c r="B554" s="498"/>
      <c r="C554" s="498"/>
      <c r="D554" s="498"/>
      <c r="E554" s="498"/>
      <c r="F554" s="498"/>
      <c r="G554" s="499"/>
    </row>
    <row r="555" spans="1:7" ht="12.75">
      <c r="A555" s="498"/>
      <c r="B555" s="498"/>
      <c r="C555" s="498"/>
      <c r="D555" s="498"/>
      <c r="E555" s="498"/>
      <c r="F555" s="498"/>
      <c r="G555" s="499"/>
    </row>
    <row r="556" spans="1:7" ht="12.75">
      <c r="A556" s="498"/>
      <c r="B556" s="498"/>
      <c r="C556" s="498"/>
      <c r="D556" s="498"/>
      <c r="E556" s="498"/>
      <c r="F556" s="498"/>
      <c r="G556" s="499"/>
    </row>
    <row r="557" spans="1:7" ht="12.75">
      <c r="A557" s="498"/>
      <c r="B557" s="498"/>
      <c r="C557" s="498"/>
      <c r="D557" s="498"/>
      <c r="E557" s="498"/>
      <c r="F557" s="498"/>
      <c r="G557" s="499"/>
    </row>
    <row r="558" spans="1:7" ht="12.75">
      <c r="A558" s="498"/>
      <c r="B558" s="498"/>
      <c r="C558" s="498"/>
      <c r="D558" s="498"/>
      <c r="E558" s="498"/>
      <c r="F558" s="498"/>
      <c r="G558" s="499"/>
    </row>
    <row r="559" spans="1:7" ht="12.75">
      <c r="A559" s="498"/>
      <c r="B559" s="498"/>
      <c r="C559" s="498"/>
      <c r="D559" s="498"/>
      <c r="E559" s="498"/>
      <c r="F559" s="498"/>
      <c r="G559" s="499"/>
    </row>
    <row r="560" spans="1:7" ht="12.75">
      <c r="A560" s="498"/>
      <c r="B560" s="498"/>
      <c r="C560" s="498"/>
      <c r="D560" s="498"/>
      <c r="E560" s="498"/>
      <c r="F560" s="498"/>
      <c r="G560" s="499"/>
    </row>
    <row r="561" spans="1:7" ht="12.75">
      <c r="A561" s="498"/>
      <c r="B561" s="498"/>
      <c r="C561" s="498"/>
      <c r="D561" s="498"/>
      <c r="E561" s="498"/>
      <c r="F561" s="498"/>
      <c r="G561" s="499"/>
    </row>
    <row r="562" spans="1:7" ht="12.75">
      <c r="A562" s="498"/>
      <c r="B562" s="498"/>
      <c r="C562" s="498"/>
      <c r="D562" s="498"/>
      <c r="E562" s="498"/>
      <c r="F562" s="498"/>
      <c r="G562" s="499"/>
    </row>
    <row r="563" spans="1:7" ht="12.75">
      <c r="A563" s="498"/>
      <c r="B563" s="498"/>
      <c r="C563" s="498"/>
      <c r="D563" s="498"/>
      <c r="E563" s="498"/>
      <c r="F563" s="498"/>
      <c r="G563" s="499"/>
    </row>
    <row r="564" spans="1:7" ht="12.75">
      <c r="A564" s="498"/>
      <c r="B564" s="498"/>
      <c r="C564" s="498"/>
      <c r="D564" s="498"/>
      <c r="E564" s="498"/>
      <c r="F564" s="498"/>
      <c r="G564" s="499"/>
    </row>
    <row r="565" spans="1:7" ht="12.75">
      <c r="A565" s="498"/>
      <c r="B565" s="498"/>
      <c r="C565" s="498"/>
      <c r="D565" s="498"/>
      <c r="E565" s="498"/>
      <c r="F565" s="498"/>
      <c r="G565" s="499"/>
    </row>
    <row r="566" spans="1:7" ht="12.75">
      <c r="A566" s="498"/>
      <c r="B566" s="498"/>
      <c r="C566" s="498"/>
      <c r="D566" s="498"/>
      <c r="E566" s="498"/>
      <c r="F566" s="498"/>
      <c r="G566" s="499"/>
    </row>
    <row r="567" spans="1:7" ht="12.75">
      <c r="A567" s="498"/>
      <c r="B567" s="498"/>
      <c r="C567" s="498"/>
      <c r="D567" s="498"/>
      <c r="E567" s="498"/>
      <c r="F567" s="498"/>
      <c r="G567" s="499"/>
    </row>
    <row r="568" spans="1:7" ht="12.75">
      <c r="A568" s="498"/>
      <c r="B568" s="498"/>
      <c r="C568" s="498"/>
      <c r="D568" s="498"/>
      <c r="E568" s="498"/>
      <c r="F568" s="498"/>
      <c r="G568" s="499"/>
    </row>
    <row r="569" spans="1:7" ht="12.75">
      <c r="A569" s="498"/>
      <c r="B569" s="498"/>
      <c r="C569" s="498"/>
      <c r="D569" s="498"/>
      <c r="E569" s="498"/>
      <c r="F569" s="498"/>
      <c r="G569" s="499"/>
    </row>
    <row r="570" spans="1:7" ht="12.75">
      <c r="A570" s="498"/>
      <c r="B570" s="498"/>
      <c r="C570" s="498"/>
      <c r="D570" s="498"/>
      <c r="E570" s="498"/>
      <c r="F570" s="498"/>
      <c r="G570" s="499"/>
    </row>
    <row r="571" spans="1:7" ht="12.75">
      <c r="A571" s="498"/>
      <c r="B571" s="498"/>
      <c r="C571" s="498"/>
      <c r="D571" s="498"/>
      <c r="E571" s="498"/>
      <c r="F571" s="498"/>
      <c r="G571" s="499"/>
    </row>
    <row r="572" spans="1:7" ht="12.75">
      <c r="A572" s="498"/>
      <c r="B572" s="498"/>
      <c r="C572" s="498"/>
      <c r="D572" s="498"/>
      <c r="E572" s="498"/>
      <c r="F572" s="498"/>
      <c r="G572" s="499"/>
    </row>
    <row r="573" spans="1:7" ht="12.75">
      <c r="A573" s="498"/>
      <c r="B573" s="498"/>
      <c r="C573" s="498"/>
      <c r="D573" s="498"/>
      <c r="E573" s="498"/>
      <c r="F573" s="498"/>
      <c r="G573" s="499"/>
    </row>
    <row r="574" spans="1:7" ht="12.75">
      <c r="A574" s="498"/>
      <c r="B574" s="498"/>
      <c r="C574" s="498"/>
      <c r="D574" s="498"/>
      <c r="E574" s="498"/>
      <c r="F574" s="498"/>
      <c r="G574" s="499"/>
    </row>
    <row r="575" spans="1:7" ht="12.75">
      <c r="A575" s="498"/>
      <c r="B575" s="498"/>
      <c r="C575" s="498"/>
      <c r="D575" s="498"/>
      <c r="E575" s="498"/>
      <c r="F575" s="498"/>
      <c r="G575" s="499"/>
    </row>
    <row r="576" spans="1:7" ht="12.75">
      <c r="A576" s="498"/>
      <c r="B576" s="498"/>
      <c r="C576" s="498"/>
      <c r="D576" s="498"/>
      <c r="E576" s="498"/>
      <c r="F576" s="498"/>
      <c r="G576" s="499"/>
    </row>
    <row r="577" spans="1:7" ht="12.75">
      <c r="A577" s="498"/>
      <c r="B577" s="498"/>
      <c r="C577" s="498"/>
      <c r="D577" s="498"/>
      <c r="E577" s="498"/>
      <c r="F577" s="498"/>
      <c r="G577" s="499"/>
    </row>
    <row r="578" spans="1:7" ht="12.75">
      <c r="A578" s="498"/>
      <c r="B578" s="498"/>
      <c r="C578" s="498"/>
      <c r="D578" s="498"/>
      <c r="E578" s="498"/>
      <c r="F578" s="498"/>
      <c r="G578" s="499"/>
    </row>
    <row r="579" spans="1:7" ht="12.75">
      <c r="A579" s="498"/>
      <c r="B579" s="498"/>
      <c r="C579" s="498"/>
      <c r="D579" s="498"/>
      <c r="E579" s="498"/>
      <c r="F579" s="498"/>
      <c r="G579" s="499"/>
    </row>
    <row r="580" spans="1:7" ht="12.75">
      <c r="A580" s="498"/>
      <c r="B580" s="498"/>
      <c r="C580" s="498"/>
      <c r="D580" s="498"/>
      <c r="E580" s="498"/>
      <c r="F580" s="498"/>
      <c r="G580" s="499"/>
    </row>
    <row r="581" spans="1:7" ht="12.75">
      <c r="A581" s="498"/>
      <c r="B581" s="498"/>
      <c r="C581" s="498"/>
      <c r="D581" s="498"/>
      <c r="E581" s="498"/>
      <c r="F581" s="498"/>
      <c r="G581" s="499"/>
    </row>
    <row r="582" spans="1:7" ht="12.75">
      <c r="A582" s="498"/>
      <c r="B582" s="498"/>
      <c r="C582" s="498"/>
      <c r="D582" s="498"/>
      <c r="E582" s="498"/>
      <c r="F582" s="498"/>
      <c r="G582" s="499"/>
    </row>
    <row r="583" spans="1:7" ht="12.75">
      <c r="A583" s="498"/>
      <c r="B583" s="498"/>
      <c r="C583" s="498"/>
      <c r="D583" s="498"/>
      <c r="E583" s="498"/>
      <c r="F583" s="498"/>
      <c r="G583" s="499"/>
    </row>
    <row r="584" spans="1:7" ht="12.75">
      <c r="A584" s="498"/>
      <c r="B584" s="498"/>
      <c r="C584" s="498"/>
      <c r="D584" s="498"/>
      <c r="E584" s="498"/>
      <c r="F584" s="498"/>
      <c r="G584" s="499"/>
    </row>
    <row r="585" spans="1:7" ht="12.75">
      <c r="A585" s="498"/>
      <c r="B585" s="498"/>
      <c r="C585" s="498"/>
      <c r="D585" s="498"/>
      <c r="E585" s="498"/>
      <c r="F585" s="498"/>
      <c r="G585" s="499"/>
    </row>
    <row r="586" spans="1:7" ht="12.75">
      <c r="A586" s="498"/>
      <c r="B586" s="498"/>
      <c r="C586" s="498"/>
      <c r="D586" s="498"/>
      <c r="E586" s="498"/>
      <c r="F586" s="498"/>
      <c r="G586" s="499"/>
    </row>
    <row r="587" spans="1:7" ht="12.75">
      <c r="A587" s="498"/>
      <c r="B587" s="498"/>
      <c r="C587" s="498"/>
      <c r="D587" s="498"/>
      <c r="E587" s="498"/>
      <c r="F587" s="498"/>
      <c r="G587" s="499"/>
    </row>
    <row r="588" spans="1:7" ht="12.75">
      <c r="A588" s="498"/>
      <c r="B588" s="498"/>
      <c r="C588" s="498"/>
      <c r="D588" s="498"/>
      <c r="E588" s="498"/>
      <c r="F588" s="498"/>
      <c r="G588" s="499"/>
    </row>
    <row r="589" spans="1:7" ht="12.75">
      <c r="A589" s="498"/>
      <c r="B589" s="498"/>
      <c r="C589" s="498"/>
      <c r="D589" s="498"/>
      <c r="E589" s="498"/>
      <c r="F589" s="498"/>
      <c r="G589" s="499"/>
    </row>
    <row r="590" spans="1:7" ht="12.75">
      <c r="A590" s="498"/>
      <c r="B590" s="498"/>
      <c r="C590" s="498"/>
      <c r="D590" s="498"/>
      <c r="E590" s="498"/>
      <c r="F590" s="498"/>
      <c r="G590" s="499"/>
    </row>
    <row r="591" spans="1:7" ht="12.75">
      <c r="A591" s="498"/>
      <c r="B591" s="498"/>
      <c r="C591" s="498"/>
      <c r="D591" s="498"/>
      <c r="E591" s="498"/>
      <c r="F591" s="498"/>
      <c r="G591" s="499"/>
    </row>
    <row r="592" spans="1:7" ht="12.75">
      <c r="A592" s="498"/>
      <c r="B592" s="498"/>
      <c r="C592" s="498"/>
      <c r="D592" s="498"/>
      <c r="E592" s="498"/>
      <c r="F592" s="498"/>
      <c r="G592" s="499"/>
    </row>
    <row r="593" spans="1:7" ht="12.75">
      <c r="A593" s="498"/>
      <c r="B593" s="498"/>
      <c r="C593" s="498"/>
      <c r="D593" s="498"/>
      <c r="E593" s="498"/>
      <c r="F593" s="498"/>
      <c r="G593" s="499"/>
    </row>
    <row r="594" spans="1:7" ht="12.75">
      <c r="A594" s="498"/>
      <c r="B594" s="498"/>
      <c r="C594" s="498"/>
      <c r="D594" s="498"/>
      <c r="E594" s="498"/>
      <c r="F594" s="498"/>
      <c r="G594" s="499"/>
    </row>
    <row r="595" spans="1:7" ht="12.75">
      <c r="A595" s="498"/>
      <c r="B595" s="498"/>
      <c r="C595" s="498"/>
      <c r="D595" s="498"/>
      <c r="E595" s="498"/>
      <c r="F595" s="498"/>
      <c r="G595" s="499"/>
    </row>
    <row r="596" spans="1:7" ht="12.75">
      <c r="A596" s="498"/>
      <c r="B596" s="498"/>
      <c r="C596" s="498"/>
      <c r="D596" s="498"/>
      <c r="E596" s="498"/>
      <c r="F596" s="498"/>
      <c r="G596" s="499"/>
    </row>
    <row r="597" spans="1:7" ht="12.75">
      <c r="A597" s="498"/>
      <c r="B597" s="498"/>
      <c r="C597" s="498"/>
      <c r="D597" s="498"/>
      <c r="E597" s="498"/>
      <c r="F597" s="498"/>
      <c r="G597" s="499"/>
    </row>
    <row r="598" spans="1:7" ht="12.75">
      <c r="A598" s="498"/>
      <c r="B598" s="498"/>
      <c r="C598" s="498"/>
      <c r="D598" s="498"/>
      <c r="E598" s="498"/>
      <c r="F598" s="498"/>
      <c r="G598" s="499"/>
    </row>
    <row r="599" spans="1:7" ht="12.75">
      <c r="A599" s="498"/>
      <c r="B599" s="498"/>
      <c r="C599" s="498"/>
      <c r="D599" s="498"/>
      <c r="E599" s="498"/>
      <c r="F599" s="498"/>
      <c r="G599" s="499"/>
    </row>
    <row r="600" spans="1:7" ht="12.75">
      <c r="A600" s="498"/>
      <c r="B600" s="498"/>
      <c r="C600" s="498"/>
      <c r="D600" s="498"/>
      <c r="E600" s="498"/>
      <c r="F600" s="498"/>
      <c r="G600" s="499"/>
    </row>
    <row r="601" spans="1:7" ht="12.75">
      <c r="A601" s="498"/>
      <c r="B601" s="498"/>
      <c r="C601" s="498"/>
      <c r="D601" s="498"/>
      <c r="E601" s="498"/>
      <c r="F601" s="498"/>
      <c r="G601" s="499"/>
    </row>
    <row r="602" spans="1:7" ht="12.75">
      <c r="A602" s="498"/>
      <c r="B602" s="498"/>
      <c r="C602" s="498"/>
      <c r="D602" s="498"/>
      <c r="E602" s="498"/>
      <c r="F602" s="498"/>
      <c r="G602" s="499"/>
    </row>
    <row r="603" spans="1:7" ht="12.75">
      <c r="A603" s="498"/>
      <c r="B603" s="498"/>
      <c r="C603" s="498"/>
      <c r="D603" s="498"/>
      <c r="E603" s="498"/>
      <c r="F603" s="498"/>
      <c r="G603" s="499"/>
    </row>
    <row r="604" spans="1:7" ht="12.75">
      <c r="A604" s="498"/>
      <c r="B604" s="498"/>
      <c r="C604" s="498"/>
      <c r="D604" s="498"/>
      <c r="E604" s="498"/>
      <c r="F604" s="498"/>
      <c r="G604" s="499"/>
    </row>
    <row r="605" spans="1:7" ht="12.75">
      <c r="A605" s="498"/>
      <c r="B605" s="498"/>
      <c r="C605" s="498"/>
      <c r="D605" s="498"/>
      <c r="E605" s="498"/>
      <c r="F605" s="498"/>
      <c r="G605" s="499"/>
    </row>
    <row r="606" spans="1:7" ht="12.75">
      <c r="A606" s="498"/>
      <c r="B606" s="498"/>
      <c r="C606" s="498"/>
      <c r="D606" s="498"/>
      <c r="E606" s="498"/>
      <c r="F606" s="498"/>
      <c r="G606" s="499"/>
    </row>
    <row r="607" spans="1:7" ht="12.75">
      <c r="A607" s="498"/>
      <c r="B607" s="498"/>
      <c r="C607" s="498"/>
      <c r="D607" s="498"/>
      <c r="E607" s="498"/>
      <c r="F607" s="498"/>
      <c r="G607" s="499"/>
    </row>
    <row r="608" spans="1:7" ht="12.75">
      <c r="A608" s="498"/>
      <c r="B608" s="498"/>
      <c r="C608" s="498"/>
      <c r="D608" s="498"/>
      <c r="E608" s="498"/>
      <c r="F608" s="498"/>
      <c r="G608" s="499"/>
    </row>
    <row r="609" spans="1:7" ht="12.75">
      <c r="A609" s="498"/>
      <c r="B609" s="498"/>
      <c r="C609" s="498"/>
      <c r="D609" s="498"/>
      <c r="E609" s="498"/>
      <c r="F609" s="498"/>
      <c r="G609" s="499"/>
    </row>
    <row r="610" spans="1:7" ht="12.75">
      <c r="A610" s="498"/>
      <c r="B610" s="498"/>
      <c r="C610" s="498"/>
      <c r="D610" s="498"/>
      <c r="E610" s="498"/>
      <c r="F610" s="498"/>
      <c r="G610" s="499"/>
    </row>
    <row r="611" spans="1:7" ht="12.75">
      <c r="A611" s="498"/>
      <c r="B611" s="498"/>
      <c r="C611" s="498"/>
      <c r="D611" s="498"/>
      <c r="E611" s="498"/>
      <c r="F611" s="498"/>
      <c r="G611" s="499"/>
    </row>
    <row r="612" spans="1:7" ht="12.75">
      <c r="A612" s="498"/>
      <c r="B612" s="498"/>
      <c r="C612" s="498"/>
      <c r="D612" s="498"/>
      <c r="E612" s="498"/>
      <c r="F612" s="498"/>
      <c r="G612" s="499"/>
    </row>
    <row r="613" spans="1:7" ht="12.75">
      <c r="A613" s="498"/>
      <c r="B613" s="498"/>
      <c r="C613" s="498"/>
      <c r="D613" s="498"/>
      <c r="E613" s="498"/>
      <c r="F613" s="498"/>
      <c r="G613" s="499"/>
    </row>
    <row r="614" spans="1:7" ht="12.75">
      <c r="A614" s="498"/>
      <c r="B614" s="498"/>
      <c r="C614" s="498"/>
      <c r="D614" s="498"/>
      <c r="E614" s="498"/>
      <c r="F614" s="498"/>
      <c r="G614" s="499"/>
    </row>
    <row r="615" spans="1:7" ht="12.75">
      <c r="A615" s="498"/>
      <c r="B615" s="498"/>
      <c r="C615" s="498"/>
      <c r="D615" s="498"/>
      <c r="E615" s="498"/>
      <c r="F615" s="498"/>
      <c r="G615" s="499"/>
    </row>
    <row r="616" spans="1:7" ht="12.75">
      <c r="A616" s="498"/>
      <c r="B616" s="498"/>
      <c r="C616" s="498"/>
      <c r="D616" s="498"/>
      <c r="E616" s="498"/>
      <c r="F616" s="498"/>
      <c r="G616" s="499"/>
    </row>
    <row r="617" spans="1:7" ht="12.75">
      <c r="A617" s="498"/>
      <c r="B617" s="498"/>
      <c r="C617" s="498"/>
      <c r="D617" s="498"/>
      <c r="E617" s="498"/>
      <c r="F617" s="498"/>
      <c r="G617" s="499"/>
    </row>
    <row r="618" spans="1:7" ht="12.75">
      <c r="A618" s="498"/>
      <c r="B618" s="498"/>
      <c r="C618" s="498"/>
      <c r="D618" s="498"/>
      <c r="E618" s="498"/>
      <c r="F618" s="498"/>
      <c r="G618" s="499"/>
    </row>
    <row r="619" spans="1:7" ht="12.75">
      <c r="A619" s="498"/>
      <c r="B619" s="498"/>
      <c r="C619" s="498"/>
      <c r="D619" s="498"/>
      <c r="E619" s="498"/>
      <c r="F619" s="498"/>
      <c r="G619" s="499"/>
    </row>
    <row r="620" spans="1:7" ht="12.75">
      <c r="A620" s="498"/>
      <c r="B620" s="498"/>
      <c r="C620" s="498"/>
      <c r="D620" s="498"/>
      <c r="E620" s="498"/>
      <c r="F620" s="498"/>
      <c r="G620" s="499"/>
    </row>
    <row r="621" spans="1:7" ht="12.75">
      <c r="A621" s="498"/>
      <c r="B621" s="498"/>
      <c r="C621" s="498"/>
      <c r="D621" s="498"/>
      <c r="E621" s="498"/>
      <c r="F621" s="498"/>
      <c r="G621" s="499"/>
    </row>
    <row r="622" spans="1:7" ht="12.75">
      <c r="A622" s="498"/>
      <c r="B622" s="498"/>
      <c r="C622" s="498"/>
      <c r="D622" s="498"/>
      <c r="E622" s="498"/>
      <c r="F622" s="498"/>
      <c r="G622" s="499"/>
    </row>
    <row r="623" spans="1:7" ht="12.75">
      <c r="A623" s="498"/>
      <c r="B623" s="498"/>
      <c r="C623" s="498"/>
      <c r="D623" s="498"/>
      <c r="E623" s="498"/>
      <c r="F623" s="498"/>
      <c r="G623" s="499"/>
    </row>
    <row r="624" spans="1:7" ht="12.75">
      <c r="A624" s="498"/>
      <c r="B624" s="498"/>
      <c r="C624" s="498"/>
      <c r="D624" s="498"/>
      <c r="E624" s="498"/>
      <c r="F624" s="498"/>
      <c r="G624" s="499"/>
    </row>
    <row r="625" spans="1:7" ht="12.75">
      <c r="A625" s="498"/>
      <c r="B625" s="498"/>
      <c r="C625" s="498"/>
      <c r="D625" s="498"/>
      <c r="E625" s="498"/>
      <c r="F625" s="498"/>
      <c r="G625" s="499"/>
    </row>
    <row r="626" spans="1:7" ht="12.75">
      <c r="A626" s="498"/>
      <c r="B626" s="498"/>
      <c r="C626" s="498"/>
      <c r="D626" s="498"/>
      <c r="E626" s="498"/>
      <c r="F626" s="498"/>
      <c r="G626" s="499"/>
    </row>
    <row r="627" spans="1:7" ht="12.75">
      <c r="A627" s="498"/>
      <c r="B627" s="498"/>
      <c r="C627" s="498"/>
      <c r="D627" s="498"/>
      <c r="E627" s="498"/>
      <c r="F627" s="498"/>
      <c r="G627" s="499"/>
    </row>
    <row r="628" spans="1:7" ht="12.75">
      <c r="A628" s="498"/>
      <c r="B628" s="498"/>
      <c r="C628" s="498"/>
      <c r="D628" s="498"/>
      <c r="E628" s="498"/>
      <c r="F628" s="498"/>
      <c r="G628" s="499"/>
    </row>
    <row r="629" spans="1:7" ht="12.75">
      <c r="A629" s="498"/>
      <c r="B629" s="498"/>
      <c r="C629" s="498"/>
      <c r="D629" s="498"/>
      <c r="E629" s="498"/>
      <c r="F629" s="498"/>
      <c r="G629" s="499"/>
    </row>
    <row r="630" spans="1:7" ht="12.75">
      <c r="A630" s="498"/>
      <c r="B630" s="498"/>
      <c r="C630" s="498"/>
      <c r="D630" s="498"/>
      <c r="E630" s="498"/>
      <c r="F630" s="498"/>
      <c r="G630" s="499"/>
    </row>
    <row r="631" spans="1:7" ht="12.75">
      <c r="A631" s="498"/>
      <c r="B631" s="498"/>
      <c r="C631" s="498"/>
      <c r="D631" s="498"/>
      <c r="E631" s="498"/>
      <c r="F631" s="498"/>
      <c r="G631" s="499"/>
    </row>
    <row r="632" spans="1:7" ht="12.75">
      <c r="A632" s="498"/>
      <c r="B632" s="498"/>
      <c r="C632" s="498"/>
      <c r="D632" s="498"/>
      <c r="E632" s="498"/>
      <c r="F632" s="498"/>
      <c r="G632" s="499"/>
    </row>
    <row r="633" spans="1:7" ht="12.75">
      <c r="A633" s="498"/>
      <c r="B633" s="498"/>
      <c r="C633" s="498"/>
      <c r="D633" s="498"/>
      <c r="E633" s="498"/>
      <c r="F633" s="498"/>
      <c r="G633" s="499"/>
    </row>
    <row r="634" spans="1:7" ht="12.75">
      <c r="A634" s="498"/>
      <c r="B634" s="498"/>
      <c r="C634" s="498"/>
      <c r="D634" s="498"/>
      <c r="E634" s="498"/>
      <c r="F634" s="498"/>
      <c r="G634" s="499"/>
    </row>
    <row r="635" spans="1:7" ht="12.75">
      <c r="A635" s="498"/>
      <c r="B635" s="498"/>
      <c r="C635" s="498"/>
      <c r="D635" s="498"/>
      <c r="E635" s="498"/>
      <c r="F635" s="498"/>
      <c r="G635" s="499"/>
    </row>
    <row r="636" spans="1:7" ht="12.75">
      <c r="A636" s="498"/>
      <c r="B636" s="498"/>
      <c r="C636" s="498"/>
      <c r="D636" s="498"/>
      <c r="E636" s="498"/>
      <c r="F636" s="498"/>
      <c r="G636" s="499"/>
    </row>
    <row r="637" spans="1:7" ht="12.75">
      <c r="A637" s="498"/>
      <c r="B637" s="498"/>
      <c r="C637" s="498"/>
      <c r="D637" s="498"/>
      <c r="E637" s="498"/>
      <c r="F637" s="498"/>
      <c r="G637" s="499"/>
    </row>
    <row r="638" spans="1:7" ht="12.75">
      <c r="A638" s="498"/>
      <c r="B638" s="498"/>
      <c r="C638" s="498"/>
      <c r="D638" s="498"/>
      <c r="E638" s="498"/>
      <c r="F638" s="498"/>
      <c r="G638" s="499"/>
    </row>
    <row r="639" spans="1:7" ht="12.75">
      <c r="A639" s="498"/>
      <c r="B639" s="498"/>
      <c r="C639" s="498"/>
      <c r="D639" s="498"/>
      <c r="E639" s="498"/>
      <c r="F639" s="498"/>
      <c r="G639" s="499"/>
    </row>
    <row r="640" spans="1:7" ht="12.75">
      <c r="A640" s="498"/>
      <c r="B640" s="498"/>
      <c r="C640" s="498"/>
      <c r="D640" s="498"/>
      <c r="E640" s="498"/>
      <c r="F640" s="498"/>
      <c r="G640" s="499"/>
    </row>
    <row r="641" spans="1:7" ht="12.75">
      <c r="A641" s="498"/>
      <c r="B641" s="498"/>
      <c r="C641" s="498"/>
      <c r="D641" s="498"/>
      <c r="E641" s="498"/>
      <c r="F641" s="498"/>
      <c r="G641" s="499"/>
    </row>
    <row r="642" spans="1:7" ht="12.75">
      <c r="A642" s="498"/>
      <c r="B642" s="498"/>
      <c r="C642" s="498"/>
      <c r="D642" s="498"/>
      <c r="E642" s="498"/>
      <c r="F642" s="498"/>
      <c r="G642" s="499"/>
    </row>
    <row r="643" spans="1:7" ht="12.75">
      <c r="A643" s="498"/>
      <c r="B643" s="498"/>
      <c r="C643" s="498"/>
      <c r="D643" s="498"/>
      <c r="E643" s="498"/>
      <c r="F643" s="498"/>
      <c r="G643" s="499"/>
    </row>
    <row r="644" spans="1:7" ht="12.75">
      <c r="A644" s="498"/>
      <c r="B644" s="498"/>
      <c r="C644" s="498"/>
      <c r="D644" s="498"/>
      <c r="E644" s="498"/>
      <c r="F644" s="498"/>
      <c r="G644" s="499"/>
    </row>
    <row r="645" spans="1:7" ht="12.75">
      <c r="A645" s="498"/>
      <c r="B645" s="498"/>
      <c r="C645" s="498"/>
      <c r="D645" s="498"/>
      <c r="E645" s="498"/>
      <c r="F645" s="498"/>
      <c r="G645" s="499"/>
    </row>
    <row r="646" spans="1:7" ht="12.75">
      <c r="A646" s="498"/>
      <c r="B646" s="498"/>
      <c r="C646" s="498"/>
      <c r="D646" s="498"/>
      <c r="E646" s="498"/>
      <c r="F646" s="498"/>
      <c r="G646" s="499"/>
    </row>
    <row r="647" spans="1:7" ht="12.75">
      <c r="A647" s="498"/>
      <c r="B647" s="498"/>
      <c r="C647" s="498"/>
      <c r="D647" s="498"/>
      <c r="E647" s="498"/>
      <c r="F647" s="498"/>
      <c r="G647" s="499"/>
    </row>
    <row r="648" spans="1:7" ht="12.75">
      <c r="A648" s="498"/>
      <c r="B648" s="498"/>
      <c r="C648" s="498"/>
      <c r="D648" s="498"/>
      <c r="E648" s="498"/>
      <c r="F648" s="498"/>
      <c r="G648" s="499"/>
    </row>
    <row r="649" spans="1:7" ht="12.75">
      <c r="A649" s="498"/>
      <c r="B649" s="498"/>
      <c r="C649" s="498"/>
      <c r="D649" s="498"/>
      <c r="E649" s="498"/>
      <c r="F649" s="498"/>
      <c r="G649" s="499"/>
    </row>
    <row r="650" spans="1:7" ht="12.75">
      <c r="A650" s="498"/>
      <c r="B650" s="498"/>
      <c r="C650" s="498"/>
      <c r="D650" s="498"/>
      <c r="E650" s="498"/>
      <c r="F650" s="498"/>
      <c r="G650" s="499"/>
    </row>
    <row r="651" spans="1:7" ht="12.75">
      <c r="A651" s="498"/>
      <c r="B651" s="498"/>
      <c r="C651" s="498"/>
      <c r="D651" s="498"/>
      <c r="E651" s="498"/>
      <c r="F651" s="498"/>
      <c r="G651" s="499"/>
    </row>
    <row r="652" spans="1:7" ht="12.75">
      <c r="A652" s="498"/>
      <c r="B652" s="498"/>
      <c r="C652" s="498"/>
      <c r="D652" s="498"/>
      <c r="E652" s="498"/>
      <c r="F652" s="498"/>
      <c r="G652" s="499"/>
    </row>
    <row r="653" spans="1:7" ht="12.75">
      <c r="A653" s="498"/>
      <c r="B653" s="498"/>
      <c r="C653" s="498"/>
      <c r="D653" s="498"/>
      <c r="E653" s="498"/>
      <c r="F653" s="498"/>
      <c r="G653" s="499"/>
    </row>
    <row r="654" spans="1:7" ht="12.75">
      <c r="A654" s="498"/>
      <c r="B654" s="498"/>
      <c r="C654" s="498"/>
      <c r="D654" s="498"/>
      <c r="E654" s="498"/>
      <c r="F654" s="498"/>
      <c r="G654" s="499"/>
    </row>
    <row r="655" spans="1:7" ht="12.75">
      <c r="A655" s="498"/>
      <c r="B655" s="498"/>
      <c r="C655" s="498"/>
      <c r="D655" s="498"/>
      <c r="E655" s="498"/>
      <c r="F655" s="498"/>
      <c r="G655" s="499"/>
    </row>
    <row r="656" spans="1:7" ht="12.75">
      <c r="A656" s="498"/>
      <c r="B656" s="498"/>
      <c r="C656" s="498"/>
      <c r="D656" s="498"/>
      <c r="E656" s="498"/>
      <c r="F656" s="498"/>
      <c r="G656" s="499"/>
    </row>
    <row r="657" spans="1:7" ht="12.75">
      <c r="A657" s="498"/>
      <c r="B657" s="498"/>
      <c r="C657" s="498"/>
      <c r="D657" s="498"/>
      <c r="E657" s="498"/>
      <c r="F657" s="498"/>
      <c r="G657" s="499"/>
    </row>
    <row r="658" spans="1:7" ht="12.75">
      <c r="A658" s="498"/>
      <c r="B658" s="498"/>
      <c r="C658" s="498"/>
      <c r="D658" s="498"/>
      <c r="E658" s="498"/>
      <c r="F658" s="498"/>
      <c r="G658" s="499"/>
    </row>
    <row r="659" spans="1:7" ht="12.75">
      <c r="A659" s="498"/>
      <c r="B659" s="498"/>
      <c r="C659" s="498"/>
      <c r="D659" s="498"/>
      <c r="E659" s="498"/>
      <c r="F659" s="498"/>
      <c r="G659" s="499"/>
    </row>
    <row r="660" spans="1:7" ht="12.75">
      <c r="A660" s="498"/>
      <c r="B660" s="498"/>
      <c r="C660" s="498"/>
      <c r="D660" s="498"/>
      <c r="E660" s="498"/>
      <c r="F660" s="498"/>
      <c r="G660" s="499"/>
    </row>
    <row r="661" spans="1:7" ht="12.75">
      <c r="A661" s="498"/>
      <c r="B661" s="498"/>
      <c r="C661" s="498"/>
      <c r="D661" s="498"/>
      <c r="E661" s="498"/>
      <c r="F661" s="498"/>
      <c r="G661" s="499"/>
    </row>
    <row r="662" spans="1:7" ht="12.75">
      <c r="A662" s="498"/>
      <c r="B662" s="498"/>
      <c r="C662" s="498"/>
      <c r="D662" s="498"/>
      <c r="E662" s="498"/>
      <c r="F662" s="498"/>
      <c r="G662" s="499"/>
    </row>
    <row r="663" spans="1:7" ht="12.75">
      <c r="A663" s="498"/>
      <c r="B663" s="498"/>
      <c r="C663" s="498"/>
      <c r="D663" s="498"/>
      <c r="E663" s="498"/>
      <c r="F663" s="498"/>
      <c r="G663" s="499"/>
    </row>
    <row r="664" spans="1:7" ht="12.75">
      <c r="A664" s="498"/>
      <c r="B664" s="498"/>
      <c r="C664" s="498"/>
      <c r="D664" s="498"/>
      <c r="E664" s="498"/>
      <c r="F664" s="498"/>
      <c r="G664" s="499"/>
    </row>
    <row r="665" spans="1:7" ht="12.75">
      <c r="A665" s="498"/>
      <c r="B665" s="498"/>
      <c r="C665" s="498"/>
      <c r="D665" s="498"/>
      <c r="E665" s="498"/>
      <c r="F665" s="498"/>
      <c r="G665" s="499"/>
    </row>
    <row r="666" spans="1:7" ht="12.75">
      <c r="A666" s="498"/>
      <c r="B666" s="498"/>
      <c r="C666" s="498"/>
      <c r="D666" s="498"/>
      <c r="E666" s="498"/>
      <c r="F666" s="498"/>
      <c r="G666" s="499"/>
    </row>
    <row r="667" spans="1:7" ht="12.75">
      <c r="A667" s="498"/>
      <c r="B667" s="498"/>
      <c r="C667" s="498"/>
      <c r="D667" s="498"/>
      <c r="E667" s="498"/>
      <c r="F667" s="498"/>
      <c r="G667" s="499"/>
    </row>
    <row r="668" spans="1:7" ht="12.75">
      <c r="A668" s="498"/>
      <c r="B668" s="498"/>
      <c r="C668" s="498"/>
      <c r="D668" s="498"/>
      <c r="E668" s="498"/>
      <c r="F668" s="498"/>
      <c r="G668" s="499"/>
    </row>
    <row r="669" spans="1:7" ht="12.75">
      <c r="A669" s="498"/>
      <c r="B669" s="498"/>
      <c r="C669" s="498"/>
      <c r="D669" s="498"/>
      <c r="E669" s="498"/>
      <c r="F669" s="498"/>
      <c r="G669" s="499"/>
    </row>
    <row r="670" spans="1:7" ht="12.75">
      <c r="A670" s="498"/>
      <c r="B670" s="498"/>
      <c r="C670" s="498"/>
      <c r="D670" s="498"/>
      <c r="E670" s="498"/>
      <c r="F670" s="498"/>
      <c r="G670" s="499"/>
    </row>
    <row r="671" spans="1:7" ht="12.75">
      <c r="A671" s="498"/>
      <c r="B671" s="498"/>
      <c r="C671" s="498"/>
      <c r="D671" s="498"/>
      <c r="E671" s="498"/>
      <c r="F671" s="498"/>
      <c r="G671" s="499"/>
    </row>
    <row r="672" spans="1:7" ht="12.75">
      <c r="A672" s="498"/>
      <c r="B672" s="498"/>
      <c r="C672" s="498"/>
      <c r="D672" s="498"/>
      <c r="E672" s="498"/>
      <c r="F672" s="498"/>
      <c r="G672" s="499"/>
    </row>
    <row r="673" spans="1:7" ht="12.75">
      <c r="A673" s="498"/>
      <c r="B673" s="498"/>
      <c r="C673" s="498"/>
      <c r="D673" s="498"/>
      <c r="E673" s="498"/>
      <c r="F673" s="498"/>
      <c r="G673" s="499"/>
    </row>
    <row r="674" spans="1:7" ht="12.75">
      <c r="A674" s="498"/>
      <c r="B674" s="498"/>
      <c r="C674" s="498"/>
      <c r="D674" s="498"/>
      <c r="E674" s="498"/>
      <c r="F674" s="498"/>
      <c r="G674" s="499"/>
    </row>
    <row r="675" spans="1:7" ht="12.75">
      <c r="A675" s="498"/>
      <c r="B675" s="498"/>
      <c r="C675" s="498"/>
      <c r="D675" s="498"/>
      <c r="E675" s="498"/>
      <c r="F675" s="498"/>
      <c r="G675" s="499"/>
    </row>
    <row r="676" spans="1:7" ht="12.75">
      <c r="A676" s="498"/>
      <c r="B676" s="498"/>
      <c r="C676" s="498"/>
      <c r="D676" s="498"/>
      <c r="E676" s="498"/>
      <c r="F676" s="498"/>
      <c r="G676" s="499"/>
    </row>
    <row r="677" spans="1:7" ht="12.75">
      <c r="A677" s="498"/>
      <c r="B677" s="498"/>
      <c r="C677" s="498"/>
      <c r="D677" s="498"/>
      <c r="E677" s="498"/>
      <c r="F677" s="498"/>
      <c r="G677" s="499"/>
    </row>
    <row r="678" spans="1:7" ht="12.75">
      <c r="A678" s="498"/>
      <c r="B678" s="498"/>
      <c r="C678" s="498"/>
      <c r="D678" s="498"/>
      <c r="E678" s="498"/>
      <c r="F678" s="498"/>
      <c r="G678" s="499"/>
    </row>
    <row r="679" spans="1:7" ht="12.75">
      <c r="A679" s="498"/>
      <c r="B679" s="498"/>
      <c r="C679" s="498"/>
      <c r="D679" s="498"/>
      <c r="E679" s="498"/>
      <c r="F679" s="498"/>
      <c r="G679" s="499"/>
    </row>
    <row r="680" spans="1:7" ht="12.75">
      <c r="A680" s="498"/>
      <c r="B680" s="498"/>
      <c r="C680" s="498"/>
      <c r="D680" s="498"/>
      <c r="E680" s="498"/>
      <c r="F680" s="498"/>
      <c r="G680" s="499"/>
    </row>
    <row r="681" spans="1:7" ht="12.75">
      <c r="A681" s="498"/>
      <c r="B681" s="498"/>
      <c r="C681" s="498"/>
      <c r="D681" s="498"/>
      <c r="E681" s="498"/>
      <c r="F681" s="498"/>
      <c r="G681" s="499"/>
    </row>
    <row r="682" spans="1:7" ht="12.75">
      <c r="A682" s="498"/>
      <c r="B682" s="498"/>
      <c r="C682" s="498"/>
      <c r="D682" s="498"/>
      <c r="E682" s="498"/>
      <c r="F682" s="498"/>
      <c r="G682" s="499"/>
    </row>
    <row r="683" spans="1:7" ht="12.75">
      <c r="A683" s="498"/>
      <c r="B683" s="498"/>
      <c r="C683" s="498"/>
      <c r="D683" s="498"/>
      <c r="E683" s="498"/>
      <c r="F683" s="498"/>
      <c r="G683" s="499"/>
    </row>
    <row r="684" spans="1:7" ht="12.75">
      <c r="A684" s="498"/>
      <c r="B684" s="498"/>
      <c r="C684" s="498"/>
      <c r="D684" s="498"/>
      <c r="E684" s="498"/>
      <c r="F684" s="498"/>
      <c r="G684" s="499"/>
    </row>
    <row r="685" spans="1:7" ht="12.75">
      <c r="A685" s="498"/>
      <c r="B685" s="498"/>
      <c r="C685" s="498"/>
      <c r="D685" s="498"/>
      <c r="E685" s="498"/>
      <c r="F685" s="498"/>
      <c r="G685" s="499"/>
    </row>
    <row r="686" spans="1:7" ht="12.75">
      <c r="A686" s="498"/>
      <c r="B686" s="498"/>
      <c r="C686" s="498"/>
      <c r="D686" s="498"/>
      <c r="E686" s="498"/>
      <c r="F686" s="498"/>
      <c r="G686" s="499"/>
    </row>
    <row r="687" spans="1:7" ht="12.75">
      <c r="A687" s="498"/>
      <c r="B687" s="498"/>
      <c r="C687" s="498"/>
      <c r="D687" s="498"/>
      <c r="E687" s="498"/>
      <c r="F687" s="498"/>
      <c r="G687" s="499"/>
    </row>
    <row r="688" spans="1:7" ht="12.75">
      <c r="A688" s="498"/>
      <c r="B688" s="498"/>
      <c r="C688" s="498"/>
      <c r="D688" s="498"/>
      <c r="E688" s="498"/>
      <c r="F688" s="498"/>
      <c r="G688" s="499"/>
    </row>
    <row r="689" spans="1:7" ht="12.75">
      <c r="A689" s="498"/>
      <c r="B689" s="498"/>
      <c r="C689" s="498"/>
      <c r="D689" s="498"/>
      <c r="E689" s="498"/>
      <c r="F689" s="498"/>
      <c r="G689" s="499"/>
    </row>
    <row r="690" spans="1:7" ht="12.75">
      <c r="A690" s="498"/>
      <c r="B690" s="498"/>
      <c r="C690" s="498"/>
      <c r="D690" s="498"/>
      <c r="E690" s="498"/>
      <c r="F690" s="498"/>
      <c r="G690" s="499"/>
    </row>
    <row r="691" spans="1:7" ht="12.75">
      <c r="A691" s="498"/>
      <c r="B691" s="498"/>
      <c r="C691" s="498"/>
      <c r="D691" s="498"/>
      <c r="E691" s="498"/>
      <c r="F691" s="498"/>
      <c r="G691" s="499"/>
    </row>
    <row r="692" spans="1:7" ht="12.75">
      <c r="A692" s="498"/>
      <c r="B692" s="498"/>
      <c r="C692" s="498"/>
      <c r="D692" s="498"/>
      <c r="E692" s="498"/>
      <c r="F692" s="498"/>
      <c r="G692" s="499"/>
    </row>
    <row r="693" spans="1:7" ht="12.75">
      <c r="A693" s="498"/>
      <c r="B693" s="498"/>
      <c r="C693" s="498"/>
      <c r="D693" s="498"/>
      <c r="E693" s="498"/>
      <c r="F693" s="498"/>
      <c r="G693" s="499"/>
    </row>
    <row r="694" spans="1:7" ht="12.75">
      <c r="A694" s="498"/>
      <c r="B694" s="498"/>
      <c r="C694" s="498"/>
      <c r="D694" s="498"/>
      <c r="E694" s="498"/>
      <c r="F694" s="498"/>
      <c r="G694" s="499"/>
    </row>
    <row r="695" spans="1:7" ht="12.75">
      <c r="A695" s="498"/>
      <c r="B695" s="498"/>
      <c r="C695" s="498"/>
      <c r="D695" s="498"/>
      <c r="E695" s="498"/>
      <c r="F695" s="498"/>
      <c r="G695" s="499"/>
    </row>
    <row r="696" spans="1:7" ht="12.75">
      <c r="A696" s="498"/>
      <c r="B696" s="498"/>
      <c r="C696" s="498"/>
      <c r="D696" s="498"/>
      <c r="E696" s="498"/>
      <c r="F696" s="498"/>
      <c r="G696" s="499"/>
    </row>
    <row r="697" spans="1:7" ht="12.75">
      <c r="A697" s="498"/>
      <c r="B697" s="498"/>
      <c r="C697" s="498"/>
      <c r="D697" s="498"/>
      <c r="E697" s="498"/>
      <c r="F697" s="498"/>
      <c r="G697" s="499"/>
    </row>
    <row r="698" spans="1:7" ht="12.75">
      <c r="A698" s="498"/>
      <c r="B698" s="498"/>
      <c r="C698" s="498"/>
      <c r="D698" s="498"/>
      <c r="E698" s="498"/>
      <c r="F698" s="498"/>
      <c r="G698" s="499"/>
    </row>
    <row r="699" spans="1:7" ht="12.75">
      <c r="A699" s="498"/>
      <c r="B699" s="498"/>
      <c r="C699" s="498"/>
      <c r="D699" s="498"/>
      <c r="E699" s="498"/>
      <c r="F699" s="498"/>
      <c r="G699" s="499"/>
    </row>
    <row r="700" spans="1:7" ht="12.75">
      <c r="A700" s="498"/>
      <c r="B700" s="498"/>
      <c r="C700" s="498"/>
      <c r="D700" s="498"/>
      <c r="E700" s="498"/>
      <c r="F700" s="498"/>
      <c r="G700" s="499"/>
    </row>
    <row r="701" spans="1:7" ht="12.75">
      <c r="A701" s="498"/>
      <c r="B701" s="498"/>
      <c r="C701" s="498"/>
      <c r="D701" s="498"/>
      <c r="E701" s="498"/>
      <c r="F701" s="498"/>
      <c r="G701" s="499"/>
    </row>
    <row r="702" spans="1:7" ht="12.75">
      <c r="A702" s="498"/>
      <c r="B702" s="498"/>
      <c r="C702" s="498"/>
      <c r="D702" s="498"/>
      <c r="E702" s="498"/>
      <c r="F702" s="498"/>
      <c r="G702" s="499"/>
    </row>
    <row r="703" spans="1:7" ht="12.75">
      <c r="A703" s="498"/>
      <c r="B703" s="498"/>
      <c r="C703" s="498"/>
      <c r="D703" s="498"/>
      <c r="E703" s="498"/>
      <c r="F703" s="498"/>
      <c r="G703" s="499"/>
    </row>
    <row r="704" spans="1:7" ht="12.75">
      <c r="A704" s="498"/>
      <c r="B704" s="498"/>
      <c r="C704" s="498"/>
      <c r="D704" s="498"/>
      <c r="E704" s="498"/>
      <c r="F704" s="498"/>
      <c r="G704" s="499"/>
    </row>
    <row r="705" spans="1:7" ht="12.75">
      <c r="A705" s="498"/>
      <c r="B705" s="498"/>
      <c r="C705" s="498"/>
      <c r="D705" s="498"/>
      <c r="E705" s="498"/>
      <c r="F705" s="498"/>
      <c r="G705" s="499"/>
    </row>
    <row r="706" spans="1:7" ht="12.75">
      <c r="A706" s="498"/>
      <c r="B706" s="498"/>
      <c r="C706" s="498"/>
      <c r="D706" s="498"/>
      <c r="E706" s="498"/>
      <c r="F706" s="498"/>
      <c r="G706" s="499"/>
    </row>
    <row r="707" spans="1:7" ht="12.75">
      <c r="A707" s="498"/>
      <c r="B707" s="498"/>
      <c r="C707" s="498"/>
      <c r="D707" s="498"/>
      <c r="E707" s="498"/>
      <c r="F707" s="498"/>
      <c r="G707" s="499"/>
    </row>
    <row r="708" spans="1:7" ht="12.75">
      <c r="A708" s="498"/>
      <c r="B708" s="498"/>
      <c r="C708" s="498"/>
      <c r="D708" s="498"/>
      <c r="E708" s="498"/>
      <c r="F708" s="498"/>
      <c r="G708" s="499"/>
    </row>
    <row r="709" spans="1:7" ht="12.75">
      <c r="A709" s="498"/>
      <c r="B709" s="498"/>
      <c r="C709" s="498"/>
      <c r="D709" s="498"/>
      <c r="E709" s="498"/>
      <c r="F709" s="498"/>
      <c r="G709" s="499"/>
    </row>
    <row r="710" spans="1:7" ht="12.75">
      <c r="A710" s="498"/>
      <c r="B710" s="498"/>
      <c r="C710" s="498"/>
      <c r="D710" s="498"/>
      <c r="E710" s="498"/>
      <c r="F710" s="498"/>
      <c r="G710" s="499"/>
    </row>
    <row r="711" spans="1:7" ht="12.75">
      <c r="A711" s="498"/>
      <c r="B711" s="498"/>
      <c r="C711" s="498"/>
      <c r="D711" s="498"/>
      <c r="E711" s="498"/>
      <c r="F711" s="498"/>
      <c r="G711" s="499"/>
    </row>
    <row r="712" spans="1:7" ht="12.75">
      <c r="A712" s="498"/>
      <c r="B712" s="498"/>
      <c r="C712" s="498"/>
      <c r="D712" s="498"/>
      <c r="E712" s="498"/>
      <c r="F712" s="498"/>
      <c r="G712" s="499"/>
    </row>
    <row r="713" spans="1:7" ht="12.75">
      <c r="A713" s="498"/>
      <c r="B713" s="498"/>
      <c r="C713" s="498"/>
      <c r="D713" s="498"/>
      <c r="E713" s="498"/>
      <c r="F713" s="498"/>
      <c r="G713" s="499"/>
    </row>
    <row r="714" spans="1:7" ht="12.75">
      <c r="A714" s="498"/>
      <c r="B714" s="498"/>
      <c r="C714" s="498"/>
      <c r="D714" s="498"/>
      <c r="E714" s="498"/>
      <c r="F714" s="498"/>
      <c r="G714" s="499"/>
    </row>
    <row r="715" spans="1:7" ht="12.75">
      <c r="A715" s="498"/>
      <c r="B715" s="498"/>
      <c r="C715" s="498"/>
      <c r="D715" s="498"/>
      <c r="E715" s="498"/>
      <c r="F715" s="498"/>
      <c r="G715" s="499"/>
    </row>
    <row r="716" spans="1:7" ht="12.75">
      <c r="A716" s="498"/>
      <c r="B716" s="498"/>
      <c r="C716" s="498"/>
      <c r="D716" s="498"/>
      <c r="E716" s="498"/>
      <c r="F716" s="498"/>
      <c r="G716" s="499"/>
    </row>
    <row r="717" spans="1:7" ht="12.75">
      <c r="A717" s="498"/>
      <c r="B717" s="498"/>
      <c r="C717" s="498"/>
      <c r="D717" s="498"/>
      <c r="E717" s="498"/>
      <c r="F717" s="498"/>
      <c r="G717" s="499"/>
    </row>
    <row r="718" spans="1:7" ht="12.75">
      <c r="A718" s="498"/>
      <c r="B718" s="498"/>
      <c r="C718" s="498"/>
      <c r="D718" s="498"/>
      <c r="E718" s="498"/>
      <c r="F718" s="498"/>
      <c r="G718" s="499"/>
    </row>
    <row r="719" spans="1:7" ht="12.75">
      <c r="A719" s="498"/>
      <c r="B719" s="498"/>
      <c r="C719" s="498"/>
      <c r="D719" s="498"/>
      <c r="E719" s="498"/>
      <c r="F719" s="498"/>
      <c r="G719" s="499"/>
    </row>
    <row r="720" spans="1:7" ht="12.75">
      <c r="A720" s="498"/>
      <c r="B720" s="498"/>
      <c r="C720" s="498"/>
      <c r="D720" s="498"/>
      <c r="E720" s="498"/>
      <c r="F720" s="498"/>
      <c r="G720" s="499"/>
    </row>
    <row r="721" spans="1:7" ht="12.75">
      <c r="A721" s="498"/>
      <c r="B721" s="498"/>
      <c r="C721" s="498"/>
      <c r="D721" s="498"/>
      <c r="E721" s="498"/>
      <c r="F721" s="498"/>
      <c r="G721" s="499"/>
    </row>
    <row r="722" spans="1:7" ht="12.75">
      <c r="A722" s="498"/>
      <c r="B722" s="498"/>
      <c r="C722" s="498"/>
      <c r="D722" s="498"/>
      <c r="E722" s="498"/>
      <c r="F722" s="498"/>
      <c r="G722" s="499"/>
    </row>
    <row r="723" spans="1:7" ht="12.75">
      <c r="A723" s="498"/>
      <c r="B723" s="498"/>
      <c r="C723" s="498"/>
      <c r="D723" s="498"/>
      <c r="E723" s="498"/>
      <c r="F723" s="498"/>
      <c r="G723" s="499"/>
    </row>
    <row r="724" spans="1:7" ht="12.75">
      <c r="A724" s="498"/>
      <c r="B724" s="498"/>
      <c r="C724" s="498"/>
      <c r="D724" s="498"/>
      <c r="E724" s="498"/>
      <c r="F724" s="498"/>
      <c r="G724" s="499"/>
    </row>
    <row r="725" spans="1:7" ht="12.75">
      <c r="A725" s="498"/>
      <c r="B725" s="498"/>
      <c r="C725" s="498"/>
      <c r="D725" s="498"/>
      <c r="E725" s="498"/>
      <c r="F725" s="498"/>
      <c r="G725" s="499"/>
    </row>
    <row r="726" spans="1:7" ht="12.75">
      <c r="A726" s="498"/>
      <c r="B726" s="498"/>
      <c r="C726" s="498"/>
      <c r="D726" s="498"/>
      <c r="E726" s="498"/>
      <c r="F726" s="498"/>
      <c r="G726" s="499"/>
    </row>
    <row r="727" spans="1:7" ht="12.75">
      <c r="A727" s="498"/>
      <c r="B727" s="498"/>
      <c r="C727" s="498"/>
      <c r="D727" s="498"/>
      <c r="E727" s="498"/>
      <c r="F727" s="498"/>
      <c r="G727" s="499"/>
    </row>
    <row r="728" spans="1:7" ht="12.75">
      <c r="A728" s="498"/>
      <c r="B728" s="498"/>
      <c r="C728" s="498"/>
      <c r="D728" s="498"/>
      <c r="E728" s="498"/>
      <c r="F728" s="498"/>
      <c r="G728" s="499"/>
    </row>
    <row r="729" spans="1:7" ht="12.75">
      <c r="A729" s="498"/>
      <c r="B729" s="498"/>
      <c r="C729" s="498"/>
      <c r="D729" s="498"/>
      <c r="E729" s="498"/>
      <c r="F729" s="498"/>
      <c r="G729" s="499"/>
    </row>
    <row r="730" spans="1:7" ht="12.75">
      <c r="A730" s="498"/>
      <c r="B730" s="498"/>
      <c r="C730" s="498"/>
      <c r="D730" s="498"/>
      <c r="E730" s="498"/>
      <c r="F730" s="498"/>
      <c r="G730" s="499"/>
    </row>
    <row r="731" spans="1:7" ht="12.75">
      <c r="A731" s="498"/>
      <c r="B731" s="498"/>
      <c r="C731" s="498"/>
      <c r="D731" s="498"/>
      <c r="E731" s="498"/>
      <c r="F731" s="498"/>
      <c r="G731" s="499"/>
    </row>
    <row r="732" spans="1:7" ht="12.75">
      <c r="A732" s="498"/>
      <c r="B732" s="498"/>
      <c r="C732" s="498"/>
      <c r="D732" s="498"/>
      <c r="E732" s="498"/>
      <c r="F732" s="498"/>
      <c r="G732" s="499"/>
    </row>
    <row r="733" spans="1:7" ht="12.75">
      <c r="A733" s="498"/>
      <c r="B733" s="498"/>
      <c r="C733" s="498"/>
      <c r="D733" s="498"/>
      <c r="E733" s="498"/>
      <c r="F733" s="498"/>
      <c r="G733" s="499"/>
    </row>
    <row r="734" spans="1:7" ht="12.75">
      <c r="A734" s="498"/>
      <c r="B734" s="498"/>
      <c r="C734" s="498"/>
      <c r="D734" s="498"/>
      <c r="E734" s="498"/>
      <c r="F734" s="498"/>
      <c r="G734" s="499"/>
    </row>
    <row r="735" spans="1:7" ht="12.75">
      <c r="A735" s="498"/>
      <c r="B735" s="498"/>
      <c r="C735" s="498"/>
      <c r="D735" s="498"/>
      <c r="E735" s="498"/>
      <c r="F735" s="498"/>
      <c r="G735" s="499"/>
    </row>
    <row r="736" spans="1:7" ht="12.75">
      <c r="A736" s="498"/>
      <c r="B736" s="498"/>
      <c r="C736" s="498"/>
      <c r="D736" s="498"/>
      <c r="E736" s="498"/>
      <c r="F736" s="498"/>
      <c r="G736" s="499"/>
    </row>
    <row r="737" spans="1:7" ht="12.75">
      <c r="A737" s="498"/>
      <c r="B737" s="498"/>
      <c r="C737" s="498"/>
      <c r="D737" s="498"/>
      <c r="E737" s="498"/>
      <c r="F737" s="498"/>
      <c r="G737" s="499"/>
    </row>
    <row r="738" spans="1:7" ht="12.75">
      <c r="A738" s="498"/>
      <c r="B738" s="498"/>
      <c r="C738" s="498"/>
      <c r="D738" s="498"/>
      <c r="E738" s="498"/>
      <c r="F738" s="498"/>
      <c r="G738" s="499"/>
    </row>
    <row r="739" spans="1:7" ht="12.75">
      <c r="A739" s="498"/>
      <c r="B739" s="498"/>
      <c r="C739" s="498"/>
      <c r="D739" s="498"/>
      <c r="E739" s="498"/>
      <c r="F739" s="498"/>
      <c r="G739" s="499"/>
    </row>
    <row r="740" spans="1:7" ht="12.75">
      <c r="A740" s="498"/>
      <c r="B740" s="498"/>
      <c r="C740" s="498"/>
      <c r="D740" s="498"/>
      <c r="E740" s="498"/>
      <c r="F740" s="498"/>
      <c r="G740" s="499"/>
    </row>
    <row r="741" spans="1:7" ht="12.75">
      <c r="A741" s="498"/>
      <c r="B741" s="498"/>
      <c r="C741" s="498"/>
      <c r="D741" s="498"/>
      <c r="E741" s="498"/>
      <c r="F741" s="498"/>
      <c r="G741" s="499"/>
    </row>
    <row r="742" spans="1:7" ht="12.75">
      <c r="A742" s="498"/>
      <c r="B742" s="498"/>
      <c r="C742" s="498"/>
      <c r="D742" s="498"/>
      <c r="E742" s="498"/>
      <c r="F742" s="498"/>
      <c r="G742" s="499"/>
    </row>
    <row r="743" spans="1:7" ht="12.75">
      <c r="A743" s="498"/>
      <c r="B743" s="498"/>
      <c r="C743" s="498"/>
      <c r="D743" s="498"/>
      <c r="E743" s="498"/>
      <c r="F743" s="498"/>
      <c r="G743" s="499"/>
    </row>
    <row r="744" spans="1:7" ht="12.75">
      <c r="A744" s="498"/>
      <c r="B744" s="498"/>
      <c r="C744" s="498"/>
      <c r="D744" s="498"/>
      <c r="E744" s="498"/>
      <c r="F744" s="498"/>
      <c r="G744" s="499"/>
    </row>
    <row r="745" spans="1:7" ht="12.75">
      <c r="A745" s="498"/>
      <c r="B745" s="498"/>
      <c r="C745" s="498"/>
      <c r="D745" s="498"/>
      <c r="E745" s="498"/>
      <c r="F745" s="498"/>
      <c r="G745" s="499"/>
    </row>
    <row r="746" spans="1:7" ht="12.75">
      <c r="A746" s="498"/>
      <c r="B746" s="498"/>
      <c r="C746" s="498"/>
      <c r="D746" s="498"/>
      <c r="E746" s="498"/>
      <c r="F746" s="498"/>
      <c r="G746" s="499"/>
    </row>
    <row r="747" spans="1:7" ht="12.75">
      <c r="A747" s="498"/>
      <c r="B747" s="498"/>
      <c r="C747" s="498"/>
      <c r="D747" s="498"/>
      <c r="E747" s="498"/>
      <c r="F747" s="498"/>
      <c r="G747" s="499"/>
    </row>
    <row r="748" spans="1:7" ht="12.75">
      <c r="A748" s="498"/>
      <c r="B748" s="498"/>
      <c r="C748" s="498"/>
      <c r="D748" s="498"/>
      <c r="E748" s="498"/>
      <c r="F748" s="498"/>
      <c r="G748" s="499"/>
    </row>
    <row r="749" spans="1:7" ht="12.75">
      <c r="A749" s="498"/>
      <c r="B749" s="498"/>
      <c r="C749" s="498"/>
      <c r="D749" s="498"/>
      <c r="E749" s="498"/>
      <c r="F749" s="498"/>
      <c r="G749" s="499"/>
    </row>
    <row r="750" spans="1:7" ht="12.75">
      <c r="A750" s="498"/>
      <c r="B750" s="498"/>
      <c r="C750" s="498"/>
      <c r="D750" s="498"/>
      <c r="E750" s="498"/>
      <c r="F750" s="498"/>
      <c r="G750" s="499"/>
    </row>
    <row r="751" spans="1:7" ht="12.75">
      <c r="A751" s="498"/>
      <c r="B751" s="498"/>
      <c r="C751" s="498"/>
      <c r="D751" s="498"/>
      <c r="E751" s="498"/>
      <c r="F751" s="498"/>
      <c r="G751" s="499"/>
    </row>
    <row r="752" spans="1:7" ht="12.75">
      <c r="A752" s="498"/>
      <c r="B752" s="498"/>
      <c r="C752" s="498"/>
      <c r="D752" s="498"/>
      <c r="E752" s="498"/>
      <c r="F752" s="498"/>
      <c r="G752" s="499"/>
    </row>
    <row r="753" spans="1:7" ht="12.75">
      <c r="A753" s="498"/>
      <c r="B753" s="498"/>
      <c r="C753" s="498"/>
      <c r="D753" s="498"/>
      <c r="E753" s="498"/>
      <c r="F753" s="498"/>
      <c r="G753" s="499"/>
    </row>
    <row r="754" spans="1:7" ht="12.75">
      <c r="A754" s="498"/>
      <c r="B754" s="498"/>
      <c r="C754" s="498"/>
      <c r="D754" s="498"/>
      <c r="E754" s="498"/>
      <c r="F754" s="498"/>
      <c r="G754" s="499"/>
    </row>
    <row r="755" spans="1:7" ht="12.75">
      <c r="A755" s="498"/>
      <c r="B755" s="498"/>
      <c r="C755" s="498"/>
      <c r="D755" s="498"/>
      <c r="E755" s="498"/>
      <c r="F755" s="498"/>
      <c r="G755" s="499"/>
    </row>
    <row r="756" spans="1:7" ht="12.75">
      <c r="A756" s="498"/>
      <c r="B756" s="498"/>
      <c r="C756" s="498"/>
      <c r="D756" s="498"/>
      <c r="E756" s="498"/>
      <c r="F756" s="498"/>
      <c r="G756" s="499"/>
    </row>
    <row r="757" spans="1:7" ht="12.75">
      <c r="A757" s="498"/>
      <c r="B757" s="498"/>
      <c r="C757" s="498"/>
      <c r="D757" s="498"/>
      <c r="E757" s="498"/>
      <c r="F757" s="498"/>
      <c r="G757" s="499"/>
    </row>
    <row r="758" spans="1:7" ht="12.75">
      <c r="A758" s="498"/>
      <c r="B758" s="498"/>
      <c r="C758" s="498"/>
      <c r="D758" s="498"/>
      <c r="E758" s="498"/>
      <c r="F758" s="498"/>
      <c r="G758" s="499"/>
    </row>
    <row r="759" spans="1:7" ht="12.75">
      <c r="A759" s="498"/>
      <c r="B759" s="498"/>
      <c r="C759" s="498"/>
      <c r="D759" s="498"/>
      <c r="E759" s="498"/>
      <c r="F759" s="498"/>
      <c r="G759" s="499"/>
    </row>
    <row r="760" spans="1:7" ht="12.75">
      <c r="A760" s="498"/>
      <c r="B760" s="498"/>
      <c r="C760" s="498"/>
      <c r="D760" s="498"/>
      <c r="E760" s="498"/>
      <c r="F760" s="498"/>
      <c r="G760" s="499"/>
    </row>
    <row r="761" spans="1:7" ht="12.75">
      <c r="A761" s="498"/>
      <c r="B761" s="498"/>
      <c r="C761" s="498"/>
      <c r="D761" s="498"/>
      <c r="E761" s="498"/>
      <c r="F761" s="498"/>
      <c r="G761" s="499"/>
    </row>
    <row r="762" spans="1:7" ht="12.75">
      <c r="A762" s="498"/>
      <c r="B762" s="498"/>
      <c r="C762" s="498"/>
      <c r="D762" s="498"/>
      <c r="E762" s="498"/>
      <c r="F762" s="498"/>
      <c r="G762" s="499"/>
    </row>
    <row r="763" spans="1:7" ht="12.75">
      <c r="A763" s="498"/>
      <c r="B763" s="498"/>
      <c r="C763" s="498"/>
      <c r="D763" s="498"/>
      <c r="E763" s="498"/>
      <c r="F763" s="498"/>
      <c r="G763" s="499"/>
    </row>
    <row r="764" spans="1:7" ht="12.75">
      <c r="A764" s="498"/>
      <c r="B764" s="498"/>
      <c r="C764" s="498"/>
      <c r="D764" s="498"/>
      <c r="E764" s="498"/>
      <c r="F764" s="498"/>
      <c r="G764" s="499"/>
    </row>
    <row r="765" spans="1:7" ht="12.75">
      <c r="A765" s="498"/>
      <c r="B765" s="498"/>
      <c r="C765" s="498"/>
      <c r="D765" s="498"/>
      <c r="E765" s="498"/>
      <c r="F765" s="498"/>
      <c r="G765" s="499"/>
    </row>
    <row r="766" spans="1:7" ht="12.75">
      <c r="A766" s="498"/>
      <c r="B766" s="498"/>
      <c r="C766" s="498"/>
      <c r="D766" s="498"/>
      <c r="E766" s="498"/>
      <c r="F766" s="498"/>
      <c r="G766" s="499"/>
    </row>
    <row r="767" spans="1:7" ht="12.75">
      <c r="A767" s="498"/>
      <c r="B767" s="498"/>
      <c r="C767" s="498"/>
      <c r="D767" s="498"/>
      <c r="E767" s="498"/>
      <c r="F767" s="498"/>
      <c r="G767" s="499"/>
    </row>
    <row r="768" spans="1:7" ht="12.75">
      <c r="A768" s="498"/>
      <c r="B768" s="498"/>
      <c r="C768" s="498"/>
      <c r="D768" s="498"/>
      <c r="E768" s="498"/>
      <c r="F768" s="498"/>
      <c r="G768" s="499"/>
    </row>
    <row r="769" spans="1:7" ht="12.75">
      <c r="A769" s="498"/>
      <c r="B769" s="498"/>
      <c r="C769" s="498"/>
      <c r="D769" s="498"/>
      <c r="E769" s="498"/>
      <c r="F769" s="498"/>
      <c r="G769" s="499"/>
    </row>
    <row r="770" spans="1:7" ht="12.75">
      <c r="A770" s="498"/>
      <c r="B770" s="498"/>
      <c r="C770" s="498"/>
      <c r="D770" s="498"/>
      <c r="E770" s="498"/>
      <c r="F770" s="498"/>
      <c r="G770" s="499"/>
    </row>
    <row r="771" spans="1:7" ht="12.75">
      <c r="A771" s="498"/>
      <c r="B771" s="498"/>
      <c r="C771" s="498"/>
      <c r="D771" s="498"/>
      <c r="E771" s="498"/>
      <c r="F771" s="498"/>
      <c r="G771" s="499"/>
    </row>
    <row r="772" spans="1:7" ht="12.75">
      <c r="A772" s="498"/>
      <c r="B772" s="498"/>
      <c r="C772" s="498"/>
      <c r="D772" s="498"/>
      <c r="E772" s="498"/>
      <c r="F772" s="498"/>
      <c r="G772" s="499"/>
    </row>
    <row r="773" spans="1:7" ht="12.75">
      <c r="A773" s="498"/>
      <c r="B773" s="498"/>
      <c r="C773" s="498"/>
      <c r="D773" s="498"/>
      <c r="E773" s="498"/>
      <c r="F773" s="498"/>
      <c r="G773" s="499"/>
    </row>
    <row r="774" spans="1:7" ht="12.75">
      <c r="A774" s="498"/>
      <c r="B774" s="498"/>
      <c r="C774" s="498"/>
      <c r="D774" s="498"/>
      <c r="E774" s="498"/>
      <c r="F774" s="498"/>
      <c r="G774" s="499"/>
    </row>
    <row r="775" spans="1:7" ht="12.75">
      <c r="A775" s="498"/>
      <c r="B775" s="498"/>
      <c r="C775" s="498"/>
      <c r="D775" s="498"/>
      <c r="E775" s="498"/>
      <c r="F775" s="498"/>
      <c r="G775" s="499"/>
    </row>
    <row r="776" spans="1:7" ht="12.75">
      <c r="A776" s="498"/>
      <c r="B776" s="498"/>
      <c r="C776" s="498"/>
      <c r="D776" s="498"/>
      <c r="E776" s="498"/>
      <c r="F776" s="498"/>
      <c r="G776" s="499"/>
    </row>
    <row r="777" spans="1:7" ht="12.75">
      <c r="A777" s="498"/>
      <c r="B777" s="498"/>
      <c r="C777" s="498"/>
      <c r="D777" s="498"/>
      <c r="E777" s="498"/>
      <c r="F777" s="498"/>
      <c r="G777" s="499"/>
    </row>
    <row r="778" spans="1:7" ht="12.75">
      <c r="A778" s="498"/>
      <c r="B778" s="498"/>
      <c r="C778" s="498"/>
      <c r="D778" s="498"/>
      <c r="E778" s="498"/>
      <c r="F778" s="498"/>
      <c r="G778" s="499"/>
    </row>
    <row r="779" spans="1:7" ht="12.75">
      <c r="A779" s="498"/>
      <c r="B779" s="498"/>
      <c r="C779" s="498"/>
      <c r="D779" s="498"/>
      <c r="E779" s="498"/>
      <c r="F779" s="498"/>
      <c r="G779" s="499"/>
    </row>
    <row r="780" spans="1:7" ht="12.75">
      <c r="A780" s="498"/>
      <c r="B780" s="498"/>
      <c r="C780" s="498"/>
      <c r="D780" s="498"/>
      <c r="E780" s="498"/>
      <c r="F780" s="498"/>
      <c r="G780" s="499"/>
    </row>
    <row r="781" spans="1:7" ht="12.75">
      <c r="A781" s="498"/>
      <c r="B781" s="498"/>
      <c r="C781" s="498"/>
      <c r="D781" s="498"/>
      <c r="E781" s="498"/>
      <c r="F781" s="498"/>
      <c r="G781" s="499"/>
    </row>
    <row r="782" spans="1:7" ht="12.75">
      <c r="A782" s="498"/>
      <c r="B782" s="498"/>
      <c r="C782" s="498"/>
      <c r="D782" s="498"/>
      <c r="E782" s="498"/>
      <c r="F782" s="498"/>
      <c r="G782" s="499"/>
    </row>
    <row r="783" spans="1:7" ht="12.75">
      <c r="A783" s="498"/>
      <c r="B783" s="498"/>
      <c r="C783" s="498"/>
      <c r="D783" s="498"/>
      <c r="E783" s="498"/>
      <c r="F783" s="498"/>
      <c r="G783" s="499"/>
    </row>
    <row r="784" spans="1:7" ht="12.75">
      <c r="A784" s="498"/>
      <c r="B784" s="498"/>
      <c r="C784" s="498"/>
      <c r="D784" s="498"/>
      <c r="E784" s="498"/>
      <c r="F784" s="498"/>
      <c r="G784" s="499"/>
    </row>
    <row r="785" spans="1:7" ht="12.75">
      <c r="A785" s="498"/>
      <c r="B785" s="498"/>
      <c r="C785" s="498"/>
      <c r="D785" s="498"/>
      <c r="E785" s="498"/>
      <c r="F785" s="498"/>
      <c r="G785" s="499"/>
    </row>
    <row r="786" spans="1:7" ht="12.75">
      <c r="A786" s="498"/>
      <c r="B786" s="498"/>
      <c r="C786" s="498"/>
      <c r="D786" s="498"/>
      <c r="E786" s="498"/>
      <c r="F786" s="498"/>
      <c r="G786" s="499"/>
    </row>
    <row r="787" spans="1:7" ht="12.75">
      <c r="A787" s="498"/>
      <c r="B787" s="498"/>
      <c r="C787" s="498"/>
      <c r="D787" s="498"/>
      <c r="E787" s="498"/>
      <c r="F787" s="498"/>
      <c r="G787" s="499"/>
    </row>
    <row r="788" spans="1:7" ht="12.75">
      <c r="A788" s="498"/>
      <c r="B788" s="498"/>
      <c r="C788" s="498"/>
      <c r="D788" s="498"/>
      <c r="E788" s="498"/>
      <c r="F788" s="498"/>
      <c r="G788" s="499"/>
    </row>
    <row r="789" spans="1:7" ht="12.75">
      <c r="A789" s="498"/>
      <c r="B789" s="498"/>
      <c r="C789" s="498"/>
      <c r="D789" s="498"/>
      <c r="E789" s="498"/>
      <c r="F789" s="498"/>
      <c r="G789" s="499"/>
    </row>
    <row r="790" spans="1:7" ht="12.75">
      <c r="A790" s="498"/>
      <c r="B790" s="498"/>
      <c r="C790" s="498"/>
      <c r="D790" s="498"/>
      <c r="E790" s="498"/>
      <c r="F790" s="498"/>
      <c r="G790" s="499"/>
    </row>
    <row r="791" spans="1:7" ht="12.75">
      <c r="A791" s="498"/>
      <c r="B791" s="498"/>
      <c r="C791" s="498"/>
      <c r="D791" s="498"/>
      <c r="E791" s="498"/>
      <c r="F791" s="498"/>
      <c r="G791" s="499"/>
    </row>
    <row r="792" spans="1:7" ht="12.75">
      <c r="A792" s="498"/>
      <c r="B792" s="498"/>
      <c r="C792" s="498"/>
      <c r="D792" s="498"/>
      <c r="E792" s="498"/>
      <c r="F792" s="498"/>
      <c r="G792" s="499"/>
    </row>
    <row r="793" spans="1:7" ht="12.75">
      <c r="A793" s="498"/>
      <c r="B793" s="498"/>
      <c r="C793" s="498"/>
      <c r="D793" s="498"/>
      <c r="E793" s="498"/>
      <c r="F793" s="498"/>
      <c r="G793" s="499"/>
    </row>
    <row r="794" spans="1:7" ht="12.75">
      <c r="A794" s="498"/>
      <c r="B794" s="498"/>
      <c r="C794" s="498"/>
      <c r="D794" s="498"/>
      <c r="E794" s="498"/>
      <c r="F794" s="498"/>
      <c r="G794" s="499"/>
    </row>
    <row r="795" spans="1:7" ht="12.75">
      <c r="A795" s="498"/>
      <c r="B795" s="498"/>
      <c r="C795" s="498"/>
      <c r="D795" s="498"/>
      <c r="E795" s="498"/>
      <c r="F795" s="498"/>
      <c r="G795" s="499"/>
    </row>
    <row r="796" spans="1:7" ht="12.75">
      <c r="A796" s="498"/>
      <c r="B796" s="498"/>
      <c r="C796" s="498"/>
      <c r="D796" s="498"/>
      <c r="E796" s="498"/>
      <c r="F796" s="498"/>
      <c r="G796" s="499"/>
    </row>
    <row r="797" spans="1:7" ht="12.75">
      <c r="A797" s="498"/>
      <c r="B797" s="498"/>
      <c r="C797" s="498"/>
      <c r="D797" s="498"/>
      <c r="E797" s="498"/>
      <c r="F797" s="498"/>
      <c r="G797" s="499"/>
    </row>
    <row r="798" spans="1:7" ht="12.75">
      <c r="A798" s="498"/>
      <c r="B798" s="498"/>
      <c r="C798" s="498"/>
      <c r="D798" s="498"/>
      <c r="E798" s="498"/>
      <c r="F798" s="498"/>
      <c r="G798" s="499"/>
    </row>
    <row r="799" spans="1:7" ht="12.75">
      <c r="A799" s="498"/>
      <c r="B799" s="498"/>
      <c r="C799" s="498"/>
      <c r="D799" s="498"/>
      <c r="E799" s="498"/>
      <c r="F799" s="498"/>
      <c r="G799" s="499"/>
    </row>
    <row r="800" spans="1:7" ht="12.75">
      <c r="A800" s="498"/>
      <c r="B800" s="498"/>
      <c r="C800" s="498"/>
      <c r="D800" s="498"/>
      <c r="E800" s="498"/>
      <c r="F800" s="498"/>
      <c r="G800" s="499"/>
    </row>
    <row r="801" spans="1:7" ht="12.75">
      <c r="A801" s="498"/>
      <c r="B801" s="498"/>
      <c r="C801" s="498"/>
      <c r="D801" s="498"/>
      <c r="E801" s="498"/>
      <c r="F801" s="498"/>
      <c r="G801" s="499"/>
    </row>
    <row r="802" spans="1:7" ht="12.75">
      <c r="A802" s="498"/>
      <c r="B802" s="498"/>
      <c r="C802" s="498"/>
      <c r="D802" s="498"/>
      <c r="E802" s="498"/>
      <c r="F802" s="498"/>
      <c r="G802" s="499"/>
    </row>
    <row r="803" spans="1:7" ht="12.75">
      <c r="A803" s="498"/>
      <c r="B803" s="498"/>
      <c r="C803" s="498"/>
      <c r="D803" s="498"/>
      <c r="E803" s="498"/>
      <c r="F803" s="498"/>
      <c r="G803" s="499"/>
    </row>
    <row r="804" spans="1:7" ht="12.75">
      <c r="A804" s="498"/>
      <c r="B804" s="498"/>
      <c r="C804" s="498"/>
      <c r="D804" s="498"/>
      <c r="E804" s="498"/>
      <c r="F804" s="498"/>
      <c r="G804" s="499"/>
    </row>
    <row r="805" spans="1:7" ht="12.75">
      <c r="A805" s="498"/>
      <c r="B805" s="498"/>
      <c r="C805" s="498"/>
      <c r="D805" s="498"/>
      <c r="E805" s="498"/>
      <c r="F805" s="498"/>
      <c r="G805" s="499"/>
    </row>
    <row r="806" spans="1:7" ht="12.75">
      <c r="A806" s="498"/>
      <c r="B806" s="498"/>
      <c r="C806" s="498"/>
      <c r="D806" s="498"/>
      <c r="E806" s="498"/>
      <c r="F806" s="498"/>
      <c r="G806" s="499"/>
    </row>
    <row r="807" spans="1:7" ht="12.75">
      <c r="A807" s="498"/>
      <c r="B807" s="498"/>
      <c r="C807" s="498"/>
      <c r="D807" s="498"/>
      <c r="E807" s="498"/>
      <c r="F807" s="498"/>
      <c r="G807" s="499"/>
    </row>
    <row r="808" spans="1:7" ht="12.75">
      <c r="A808" s="498"/>
      <c r="B808" s="498"/>
      <c r="C808" s="498"/>
      <c r="D808" s="498"/>
      <c r="E808" s="498"/>
      <c r="F808" s="498"/>
      <c r="G808" s="499"/>
    </row>
    <row r="809" spans="1:7" ht="12.75">
      <c r="A809" s="498"/>
      <c r="B809" s="498"/>
      <c r="C809" s="498"/>
      <c r="D809" s="498"/>
      <c r="E809" s="498"/>
      <c r="F809" s="498"/>
      <c r="G809" s="499"/>
    </row>
    <row r="810" spans="1:7" ht="12.75">
      <c r="A810" s="498"/>
      <c r="B810" s="498"/>
      <c r="C810" s="498"/>
      <c r="D810" s="498"/>
      <c r="E810" s="498"/>
      <c r="F810" s="498"/>
      <c r="G810" s="499"/>
    </row>
    <row r="811" spans="1:7" ht="12.75">
      <c r="A811" s="498"/>
      <c r="B811" s="498"/>
      <c r="C811" s="498"/>
      <c r="D811" s="498"/>
      <c r="E811" s="498"/>
      <c r="F811" s="498"/>
      <c r="G811" s="499"/>
    </row>
    <row r="812" spans="1:7" ht="12.75">
      <c r="A812" s="498"/>
      <c r="B812" s="498"/>
      <c r="C812" s="498"/>
      <c r="D812" s="498"/>
      <c r="E812" s="498"/>
      <c r="F812" s="498"/>
      <c r="G812" s="499"/>
    </row>
    <row r="813" spans="1:7" ht="12.75">
      <c r="A813" s="498"/>
      <c r="B813" s="498"/>
      <c r="C813" s="498"/>
      <c r="D813" s="498"/>
      <c r="E813" s="498"/>
      <c r="F813" s="498"/>
      <c r="G813" s="499"/>
    </row>
    <row r="814" spans="1:7" ht="12.75">
      <c r="A814" s="498"/>
      <c r="B814" s="498"/>
      <c r="C814" s="498"/>
      <c r="D814" s="498"/>
      <c r="E814" s="498"/>
      <c r="F814" s="498"/>
      <c r="G814" s="499"/>
    </row>
    <row r="815" spans="1:7" ht="12.75">
      <c r="A815" s="498"/>
      <c r="B815" s="498"/>
      <c r="C815" s="498"/>
      <c r="D815" s="498"/>
      <c r="E815" s="498"/>
      <c r="F815" s="498"/>
      <c r="G815" s="499"/>
    </row>
    <row r="816" spans="1:7" ht="12.75">
      <c r="A816" s="498"/>
      <c r="B816" s="498"/>
      <c r="C816" s="498"/>
      <c r="D816" s="498"/>
      <c r="E816" s="498"/>
      <c r="F816" s="498"/>
      <c r="G816" s="499"/>
    </row>
    <row r="817" spans="1:7" ht="12.75">
      <c r="A817" s="498"/>
      <c r="B817" s="498"/>
      <c r="C817" s="498"/>
      <c r="D817" s="498"/>
      <c r="E817" s="498"/>
      <c r="F817" s="498"/>
      <c r="G817" s="499"/>
    </row>
    <row r="818" spans="1:7" ht="12.75">
      <c r="A818" s="498"/>
      <c r="B818" s="498"/>
      <c r="C818" s="498"/>
      <c r="D818" s="498"/>
      <c r="E818" s="498"/>
      <c r="F818" s="498"/>
      <c r="G818" s="499"/>
    </row>
    <row r="819" spans="1:7" ht="12.75">
      <c r="A819" s="498"/>
      <c r="B819" s="498"/>
      <c r="C819" s="498"/>
      <c r="D819" s="498"/>
      <c r="E819" s="498"/>
      <c r="F819" s="498"/>
      <c r="G819" s="499"/>
    </row>
    <row r="820" spans="1:7" ht="12.75">
      <c r="A820" s="498"/>
      <c r="B820" s="498"/>
      <c r="C820" s="498"/>
      <c r="D820" s="498"/>
      <c r="E820" s="498"/>
      <c r="F820" s="498"/>
      <c r="G820" s="499"/>
    </row>
    <row r="821" spans="1:7" ht="12.75">
      <c r="A821" s="498"/>
      <c r="B821" s="498"/>
      <c r="C821" s="498"/>
      <c r="D821" s="498"/>
      <c r="E821" s="498"/>
      <c r="F821" s="498"/>
      <c r="G821" s="499"/>
    </row>
    <row r="822" spans="1:7" ht="12.75">
      <c r="A822" s="498"/>
      <c r="B822" s="498"/>
      <c r="C822" s="498"/>
      <c r="D822" s="498"/>
      <c r="E822" s="498"/>
      <c r="F822" s="498"/>
      <c r="G822" s="499"/>
    </row>
    <row r="823" spans="1:7" ht="12.75">
      <c r="A823" s="498"/>
      <c r="B823" s="498"/>
      <c r="C823" s="498"/>
      <c r="D823" s="498"/>
      <c r="E823" s="498"/>
      <c r="F823" s="498"/>
      <c r="G823" s="499"/>
    </row>
    <row r="824" spans="1:7" ht="12.75">
      <c r="A824" s="498"/>
      <c r="B824" s="498"/>
      <c r="C824" s="498"/>
      <c r="D824" s="498"/>
      <c r="E824" s="498"/>
      <c r="F824" s="498"/>
      <c r="G824" s="499"/>
    </row>
    <row r="825" spans="1:7" ht="12.75">
      <c r="A825" s="498"/>
      <c r="B825" s="498"/>
      <c r="C825" s="498"/>
      <c r="D825" s="498"/>
      <c r="E825" s="498"/>
      <c r="F825" s="498"/>
      <c r="G825" s="499"/>
    </row>
    <row r="826" spans="1:7" ht="12.75">
      <c r="A826" s="498"/>
      <c r="B826" s="498"/>
      <c r="C826" s="498"/>
      <c r="D826" s="498"/>
      <c r="E826" s="498"/>
      <c r="F826" s="498"/>
      <c r="G826" s="499"/>
    </row>
    <row r="827" spans="1:7" ht="12.75">
      <c r="A827" s="498"/>
      <c r="B827" s="498"/>
      <c r="C827" s="498"/>
      <c r="D827" s="498"/>
      <c r="E827" s="498"/>
      <c r="F827" s="498"/>
      <c r="G827" s="499"/>
    </row>
    <row r="828" spans="1:7" ht="12.75">
      <c r="A828" s="498"/>
      <c r="B828" s="498"/>
      <c r="C828" s="498"/>
      <c r="D828" s="498"/>
      <c r="E828" s="498"/>
      <c r="F828" s="498"/>
      <c r="G828" s="499"/>
    </row>
    <row r="829" spans="1:7" ht="12.75">
      <c r="A829" s="498"/>
      <c r="B829" s="498"/>
      <c r="C829" s="498"/>
      <c r="D829" s="498"/>
      <c r="E829" s="498"/>
      <c r="F829" s="498"/>
      <c r="G829" s="499"/>
    </row>
    <row r="830" spans="1:7" ht="12.75">
      <c r="A830" s="498"/>
      <c r="B830" s="498"/>
      <c r="C830" s="498"/>
      <c r="D830" s="498"/>
      <c r="E830" s="498"/>
      <c r="F830" s="498"/>
      <c r="G830" s="499"/>
    </row>
    <row r="831" spans="1:7" ht="12.75">
      <c r="A831" s="498"/>
      <c r="B831" s="498"/>
      <c r="C831" s="498"/>
      <c r="D831" s="498"/>
      <c r="E831" s="498"/>
      <c r="F831" s="498"/>
      <c r="G831" s="499"/>
    </row>
    <row r="832" spans="1:7" ht="12.75">
      <c r="A832" s="498"/>
      <c r="B832" s="498"/>
      <c r="C832" s="498"/>
      <c r="D832" s="498"/>
      <c r="E832" s="498"/>
      <c r="F832" s="498"/>
      <c r="G832" s="499"/>
    </row>
    <row r="833" spans="1:7" ht="12.75">
      <c r="A833" s="498"/>
      <c r="B833" s="498"/>
      <c r="C833" s="498"/>
      <c r="D833" s="498"/>
      <c r="E833" s="498"/>
      <c r="F833" s="498"/>
      <c r="G833" s="499"/>
    </row>
    <row r="834" spans="1:7" ht="12.75">
      <c r="A834" s="498"/>
      <c r="B834" s="498"/>
      <c r="C834" s="498"/>
      <c r="D834" s="498"/>
      <c r="E834" s="498"/>
      <c r="F834" s="498"/>
      <c r="G834" s="499"/>
    </row>
    <row r="835" spans="1:7" ht="12.75">
      <c r="A835" s="498"/>
      <c r="B835" s="498"/>
      <c r="C835" s="498"/>
      <c r="D835" s="498"/>
      <c r="E835" s="498"/>
      <c r="F835" s="498"/>
      <c r="G835" s="499"/>
    </row>
    <row r="836" spans="1:7" ht="12.75">
      <c r="A836" s="498"/>
      <c r="B836" s="498"/>
      <c r="C836" s="498"/>
      <c r="D836" s="498"/>
      <c r="E836" s="498"/>
      <c r="F836" s="498"/>
      <c r="G836" s="499"/>
    </row>
    <row r="837" spans="1:7" ht="12.75">
      <c r="A837" s="498"/>
      <c r="B837" s="498"/>
      <c r="C837" s="498"/>
      <c r="D837" s="498"/>
      <c r="E837" s="498"/>
      <c r="F837" s="498"/>
      <c r="G837" s="499"/>
    </row>
    <row r="838" spans="1:7" ht="12.75">
      <c r="A838" s="498"/>
      <c r="B838" s="498"/>
      <c r="C838" s="498"/>
      <c r="D838" s="498"/>
      <c r="E838" s="498"/>
      <c r="F838" s="498"/>
      <c r="G838" s="499"/>
    </row>
    <row r="839" spans="1:7" ht="12.75">
      <c r="A839" s="498"/>
      <c r="B839" s="498"/>
      <c r="C839" s="498"/>
      <c r="D839" s="498"/>
      <c r="E839" s="498"/>
      <c r="F839" s="498"/>
      <c r="G839" s="499"/>
    </row>
    <row r="840" spans="1:7" ht="12.75">
      <c r="A840" s="498"/>
      <c r="B840" s="498"/>
      <c r="C840" s="498"/>
      <c r="D840" s="498"/>
      <c r="E840" s="498"/>
      <c r="F840" s="498"/>
      <c r="G840" s="499"/>
    </row>
    <row r="841" spans="1:7" ht="12.75">
      <c r="A841" s="498"/>
      <c r="B841" s="498"/>
      <c r="C841" s="498"/>
      <c r="D841" s="498"/>
      <c r="E841" s="498"/>
      <c r="F841" s="498"/>
      <c r="G841" s="499"/>
    </row>
    <row r="842" spans="1:7" ht="12.75">
      <c r="A842" s="498"/>
      <c r="B842" s="498"/>
      <c r="C842" s="498"/>
      <c r="D842" s="498"/>
      <c r="E842" s="498"/>
      <c r="F842" s="498"/>
      <c r="G842" s="499"/>
    </row>
    <row r="843" spans="1:7" ht="12.75">
      <c r="A843" s="498"/>
      <c r="B843" s="498"/>
      <c r="C843" s="498"/>
      <c r="D843" s="498"/>
      <c r="E843" s="498"/>
      <c r="F843" s="498"/>
      <c r="G843" s="499"/>
    </row>
    <row r="844" spans="1:7" ht="12.75">
      <c r="A844" s="498"/>
      <c r="B844" s="498"/>
      <c r="C844" s="498"/>
      <c r="D844" s="498"/>
      <c r="E844" s="498"/>
      <c r="F844" s="498"/>
      <c r="G844" s="499"/>
    </row>
    <row r="845" spans="1:7" ht="12.75">
      <c r="A845" s="498"/>
      <c r="B845" s="498"/>
      <c r="C845" s="498"/>
      <c r="D845" s="498"/>
      <c r="E845" s="498"/>
      <c r="F845" s="498"/>
      <c r="G845" s="499"/>
    </row>
    <row r="846" spans="1:7" ht="12.75">
      <c r="A846" s="498"/>
      <c r="B846" s="498"/>
      <c r="C846" s="498"/>
      <c r="D846" s="498"/>
      <c r="E846" s="498"/>
      <c r="F846" s="498"/>
      <c r="G846" s="499"/>
    </row>
    <row r="847" spans="1:7" ht="12.75">
      <c r="A847" s="498"/>
      <c r="B847" s="498"/>
      <c r="C847" s="498"/>
      <c r="D847" s="498"/>
      <c r="E847" s="498"/>
      <c r="F847" s="498"/>
      <c r="G847" s="499"/>
    </row>
    <row r="848" spans="1:7" ht="12.75">
      <c r="A848" s="498"/>
      <c r="B848" s="498"/>
      <c r="C848" s="498"/>
      <c r="D848" s="498"/>
      <c r="E848" s="498"/>
      <c r="F848" s="498"/>
      <c r="G848" s="499"/>
    </row>
    <row r="849" spans="1:7" ht="12.75">
      <c r="A849" s="498"/>
      <c r="B849" s="498"/>
      <c r="C849" s="498"/>
      <c r="D849" s="498"/>
      <c r="E849" s="498"/>
      <c r="F849" s="498"/>
      <c r="G849" s="499"/>
    </row>
    <row r="850" spans="1:7" ht="12.75">
      <c r="A850" s="498"/>
      <c r="B850" s="498"/>
      <c r="C850" s="498"/>
      <c r="D850" s="498"/>
      <c r="E850" s="498"/>
      <c r="F850" s="498"/>
      <c r="G850" s="499"/>
    </row>
    <row r="851" spans="1:7" ht="12.75">
      <c r="A851" s="498"/>
      <c r="B851" s="498"/>
      <c r="C851" s="498"/>
      <c r="D851" s="498"/>
      <c r="E851" s="498"/>
      <c r="F851" s="498"/>
      <c r="G851" s="499"/>
    </row>
    <row r="852" spans="1:7" ht="12.75">
      <c r="A852" s="498"/>
      <c r="B852" s="498"/>
      <c r="C852" s="498"/>
      <c r="D852" s="498"/>
      <c r="E852" s="498"/>
      <c r="F852" s="498"/>
      <c r="G852" s="499"/>
    </row>
    <row r="853" spans="1:7" ht="12.75">
      <c r="A853" s="498"/>
      <c r="B853" s="498"/>
      <c r="C853" s="498"/>
      <c r="D853" s="498"/>
      <c r="E853" s="498"/>
      <c r="F853" s="498"/>
      <c r="G853" s="499"/>
    </row>
    <row r="854" spans="1:7" ht="12.75">
      <c r="A854" s="498"/>
      <c r="B854" s="498"/>
      <c r="C854" s="498"/>
      <c r="D854" s="498"/>
      <c r="E854" s="498"/>
      <c r="F854" s="498"/>
      <c r="G854" s="499"/>
    </row>
    <row r="855" spans="1:7" ht="12.75">
      <c r="A855" s="498"/>
      <c r="B855" s="498"/>
      <c r="C855" s="498"/>
      <c r="D855" s="498"/>
      <c r="E855" s="498"/>
      <c r="F855" s="498"/>
      <c r="G855" s="499"/>
    </row>
    <row r="856" spans="1:7" ht="12.75">
      <c r="A856" s="498"/>
      <c r="B856" s="498"/>
      <c r="C856" s="498"/>
      <c r="D856" s="498"/>
      <c r="E856" s="498"/>
      <c r="F856" s="498"/>
      <c r="G856" s="499"/>
    </row>
    <row r="857" spans="1:7" ht="12.75">
      <c r="A857" s="498"/>
      <c r="B857" s="498"/>
      <c r="C857" s="498"/>
      <c r="D857" s="498"/>
      <c r="E857" s="498"/>
      <c r="F857" s="498"/>
      <c r="G857" s="499"/>
    </row>
    <row r="858" spans="1:7" ht="12.75">
      <c r="A858" s="498"/>
      <c r="B858" s="498"/>
      <c r="C858" s="498"/>
      <c r="D858" s="498"/>
      <c r="E858" s="498"/>
      <c r="F858" s="498"/>
      <c r="G858" s="499"/>
    </row>
    <row r="859" spans="1:7" ht="12.75">
      <c r="A859" s="498"/>
      <c r="B859" s="498"/>
      <c r="C859" s="498"/>
      <c r="D859" s="498"/>
      <c r="E859" s="498"/>
      <c r="F859" s="498"/>
      <c r="G859" s="499"/>
    </row>
    <row r="860" spans="1:7" ht="12.75">
      <c r="A860" s="498"/>
      <c r="B860" s="498"/>
      <c r="C860" s="498"/>
      <c r="D860" s="498"/>
      <c r="E860" s="498"/>
      <c r="F860" s="498"/>
      <c r="G860" s="499"/>
    </row>
    <row r="861" spans="1:7" ht="12.75">
      <c r="A861" s="498"/>
      <c r="B861" s="498"/>
      <c r="C861" s="498"/>
      <c r="D861" s="498"/>
      <c r="E861" s="498"/>
      <c r="F861" s="498"/>
      <c r="G861" s="499"/>
    </row>
    <row r="862" spans="1:7" ht="12.75">
      <c r="A862" s="498"/>
      <c r="B862" s="498"/>
      <c r="C862" s="498"/>
      <c r="D862" s="498"/>
      <c r="E862" s="498"/>
      <c r="F862" s="498"/>
      <c r="G862" s="499"/>
    </row>
    <row r="863" spans="1:7" ht="12.75">
      <c r="A863" s="498"/>
      <c r="B863" s="498"/>
      <c r="C863" s="498"/>
      <c r="D863" s="498"/>
      <c r="E863" s="498"/>
      <c r="F863" s="498"/>
      <c r="G863" s="499"/>
    </row>
    <row r="864" spans="1:7" ht="12.75">
      <c r="A864" s="498"/>
      <c r="B864" s="498"/>
      <c r="C864" s="498"/>
      <c r="D864" s="498"/>
      <c r="E864" s="498"/>
      <c r="F864" s="498"/>
      <c r="G864" s="499"/>
    </row>
    <row r="865" spans="1:7" ht="12.75">
      <c r="A865" s="498"/>
      <c r="B865" s="498"/>
      <c r="C865" s="498"/>
      <c r="D865" s="498"/>
      <c r="E865" s="498"/>
      <c r="F865" s="498"/>
      <c r="G865" s="499"/>
    </row>
    <row r="866" spans="1:7" ht="12.75">
      <c r="A866" s="498"/>
      <c r="B866" s="498"/>
      <c r="C866" s="498"/>
      <c r="D866" s="498"/>
      <c r="E866" s="498"/>
      <c r="F866" s="498"/>
      <c r="G866" s="499"/>
    </row>
    <row r="867" spans="1:7" ht="12.75">
      <c r="A867" s="498"/>
      <c r="B867" s="498"/>
      <c r="C867" s="498"/>
      <c r="D867" s="498"/>
      <c r="E867" s="498"/>
      <c r="F867" s="498"/>
      <c r="G867" s="499"/>
    </row>
    <row r="868" spans="1:7" ht="12.75">
      <c r="A868" s="498"/>
      <c r="B868" s="498"/>
      <c r="C868" s="498"/>
      <c r="D868" s="498"/>
      <c r="E868" s="498"/>
      <c r="F868" s="498"/>
      <c r="G868" s="499"/>
    </row>
    <row r="869" spans="1:7" ht="12.75">
      <c r="A869" s="498"/>
      <c r="B869" s="498"/>
      <c r="C869" s="498"/>
      <c r="D869" s="498"/>
      <c r="E869" s="498"/>
      <c r="F869" s="498"/>
      <c r="G869" s="499"/>
    </row>
    <row r="870" spans="1:7" ht="12.75">
      <c r="A870" s="498"/>
      <c r="B870" s="498"/>
      <c r="C870" s="498"/>
      <c r="D870" s="498"/>
      <c r="E870" s="498"/>
      <c r="F870" s="498"/>
      <c r="G870" s="499"/>
    </row>
    <row r="871" spans="1:7" ht="12.75">
      <c r="A871" s="498"/>
      <c r="B871" s="498"/>
      <c r="C871" s="498"/>
      <c r="D871" s="498"/>
      <c r="E871" s="498"/>
      <c r="F871" s="498"/>
      <c r="G871" s="499"/>
    </row>
    <row r="872" spans="1:7" ht="12.75">
      <c r="A872" s="498"/>
      <c r="B872" s="498"/>
      <c r="C872" s="498"/>
      <c r="D872" s="498"/>
      <c r="E872" s="498"/>
      <c r="F872" s="498"/>
      <c r="G872" s="499"/>
    </row>
    <row r="873" spans="1:7" ht="12.75">
      <c r="A873" s="498"/>
      <c r="B873" s="498"/>
      <c r="C873" s="498"/>
      <c r="D873" s="498"/>
      <c r="E873" s="498"/>
      <c r="F873" s="498"/>
      <c r="G873" s="499"/>
    </row>
    <row r="874" spans="1:7" ht="12.75">
      <c r="A874" s="498"/>
      <c r="B874" s="498"/>
      <c r="C874" s="498"/>
      <c r="D874" s="498"/>
      <c r="E874" s="498"/>
      <c r="F874" s="498"/>
      <c r="G874" s="499"/>
    </row>
    <row r="875" spans="1:7" ht="12.75">
      <c r="A875" s="498"/>
      <c r="B875" s="498"/>
      <c r="C875" s="498"/>
      <c r="D875" s="498"/>
      <c r="E875" s="498"/>
      <c r="F875" s="498"/>
      <c r="G875" s="499"/>
    </row>
    <row r="876" spans="1:7" ht="12.75">
      <c r="A876" s="498"/>
      <c r="B876" s="498"/>
      <c r="C876" s="498"/>
      <c r="D876" s="498"/>
      <c r="E876" s="498"/>
      <c r="F876" s="498"/>
      <c r="G876" s="499"/>
    </row>
    <row r="877" spans="1:7" ht="12.75">
      <c r="A877" s="498"/>
      <c r="B877" s="498"/>
      <c r="C877" s="498"/>
      <c r="D877" s="498"/>
      <c r="E877" s="498"/>
      <c r="F877" s="498"/>
      <c r="G877" s="499"/>
    </row>
    <row r="878" spans="1:7" ht="12.75">
      <c r="A878" s="498"/>
      <c r="B878" s="498"/>
      <c r="C878" s="498"/>
      <c r="D878" s="498"/>
      <c r="E878" s="498"/>
      <c r="F878" s="498"/>
      <c r="G878" s="499"/>
    </row>
    <row r="879" spans="1:7" ht="12.75">
      <c r="A879" s="498"/>
      <c r="B879" s="498"/>
      <c r="C879" s="498"/>
      <c r="D879" s="498"/>
      <c r="E879" s="498"/>
      <c r="F879" s="498"/>
      <c r="G879" s="499"/>
    </row>
    <row r="880" spans="1:7" ht="12.75">
      <c r="A880" s="498"/>
      <c r="B880" s="498"/>
      <c r="C880" s="498"/>
      <c r="D880" s="498"/>
      <c r="E880" s="498"/>
      <c r="F880" s="498"/>
      <c r="G880" s="499"/>
    </row>
    <row r="881" spans="1:7" ht="12.75">
      <c r="A881" s="498"/>
      <c r="B881" s="498"/>
      <c r="C881" s="498"/>
      <c r="D881" s="498"/>
      <c r="E881" s="498"/>
      <c r="F881" s="498"/>
      <c r="G881" s="499"/>
    </row>
    <row r="882" spans="1:7" ht="12.75">
      <c r="A882" s="498"/>
      <c r="B882" s="498"/>
      <c r="C882" s="498"/>
      <c r="D882" s="498"/>
      <c r="E882" s="498"/>
      <c r="F882" s="498"/>
      <c r="G882" s="499"/>
    </row>
    <row r="883" spans="1:7" ht="12.75">
      <c r="A883" s="498"/>
      <c r="B883" s="498"/>
      <c r="C883" s="498"/>
      <c r="D883" s="498"/>
      <c r="E883" s="498"/>
      <c r="F883" s="498"/>
      <c r="G883" s="499"/>
    </row>
    <row r="884" spans="1:7" ht="12.75">
      <c r="A884" s="498"/>
      <c r="B884" s="498"/>
      <c r="C884" s="498"/>
      <c r="D884" s="498"/>
      <c r="E884" s="498"/>
      <c r="F884" s="498"/>
      <c r="G884" s="499"/>
    </row>
    <row r="885" spans="1:7" ht="12.75">
      <c r="A885" s="498"/>
      <c r="B885" s="498"/>
      <c r="C885" s="498"/>
      <c r="D885" s="498"/>
      <c r="E885" s="498"/>
      <c r="F885" s="498"/>
      <c r="G885" s="499"/>
    </row>
    <row r="886" spans="1:7" ht="12.75">
      <c r="A886" s="498"/>
      <c r="B886" s="498"/>
      <c r="C886" s="498"/>
      <c r="D886" s="498"/>
      <c r="E886" s="498"/>
      <c r="F886" s="498"/>
      <c r="G886" s="499"/>
    </row>
    <row r="887" spans="1:7" ht="12.75">
      <c r="A887" s="498"/>
      <c r="B887" s="498"/>
      <c r="C887" s="498"/>
      <c r="D887" s="498"/>
      <c r="E887" s="498"/>
      <c r="F887" s="498"/>
      <c r="G887" s="499"/>
    </row>
    <row r="888" spans="1:7" ht="12.75">
      <c r="A888" s="498"/>
      <c r="B888" s="498"/>
      <c r="C888" s="498"/>
      <c r="D888" s="498"/>
      <c r="E888" s="498"/>
      <c r="F888" s="498"/>
      <c r="G888" s="499"/>
    </row>
    <row r="889" spans="1:7" ht="12.75">
      <c r="A889" s="498"/>
      <c r="B889" s="498"/>
      <c r="C889" s="498"/>
      <c r="D889" s="498"/>
      <c r="E889" s="498"/>
      <c r="F889" s="498"/>
      <c r="G889" s="499"/>
    </row>
    <row r="890" spans="1:7" ht="12.75">
      <c r="A890" s="498"/>
      <c r="B890" s="498"/>
      <c r="C890" s="498"/>
      <c r="D890" s="498"/>
      <c r="E890" s="498"/>
      <c r="F890" s="498"/>
      <c r="G890" s="499"/>
    </row>
    <row r="891" spans="1:7" ht="12.75">
      <c r="A891" s="498"/>
      <c r="B891" s="498"/>
      <c r="C891" s="498"/>
      <c r="D891" s="498"/>
      <c r="E891" s="498"/>
      <c r="F891" s="498"/>
      <c r="G891" s="499"/>
    </row>
    <row r="892" spans="1:7" ht="12.75">
      <c r="A892" s="498"/>
      <c r="B892" s="498"/>
      <c r="C892" s="498"/>
      <c r="D892" s="498"/>
      <c r="E892" s="498"/>
      <c r="F892" s="498"/>
      <c r="G892" s="499"/>
    </row>
    <row r="893" spans="1:7" ht="12.75">
      <c r="A893" s="498"/>
      <c r="B893" s="498"/>
      <c r="C893" s="498"/>
      <c r="D893" s="498"/>
      <c r="E893" s="498"/>
      <c r="F893" s="498"/>
      <c r="G893" s="499"/>
    </row>
    <row r="894" spans="1:7" ht="12.75">
      <c r="A894" s="498"/>
      <c r="B894" s="498"/>
      <c r="C894" s="498"/>
      <c r="D894" s="498"/>
      <c r="E894" s="498"/>
      <c r="F894" s="498"/>
      <c r="G894" s="499"/>
    </row>
    <row r="895" spans="1:7" ht="12.75">
      <c r="A895" s="498"/>
      <c r="B895" s="498"/>
      <c r="C895" s="498"/>
      <c r="D895" s="498"/>
      <c r="E895" s="498"/>
      <c r="F895" s="498"/>
      <c r="G895" s="499"/>
    </row>
    <row r="896" spans="1:7" ht="12.75">
      <c r="A896" s="498"/>
      <c r="B896" s="498"/>
      <c r="C896" s="498"/>
      <c r="D896" s="498"/>
      <c r="E896" s="498"/>
      <c r="F896" s="498"/>
      <c r="G896" s="499"/>
    </row>
    <row r="897" spans="1:7" ht="12.75">
      <c r="A897" s="498"/>
      <c r="B897" s="498"/>
      <c r="C897" s="498"/>
      <c r="D897" s="498"/>
      <c r="E897" s="498"/>
      <c r="F897" s="498"/>
      <c r="G897" s="499"/>
    </row>
    <row r="898" spans="1:7" ht="12.75">
      <c r="A898" s="498"/>
      <c r="B898" s="498"/>
      <c r="C898" s="498"/>
      <c r="D898" s="498"/>
      <c r="E898" s="498"/>
      <c r="F898" s="498"/>
      <c r="G898" s="499"/>
    </row>
    <row r="899" spans="1:7" ht="12.75">
      <c r="A899" s="498"/>
      <c r="B899" s="498"/>
      <c r="C899" s="498"/>
      <c r="D899" s="498"/>
      <c r="E899" s="498"/>
      <c r="F899" s="498"/>
      <c r="G899" s="499"/>
    </row>
    <row r="900" spans="1:7" ht="12.75">
      <c r="A900" s="498"/>
      <c r="B900" s="498"/>
      <c r="C900" s="498"/>
      <c r="D900" s="498"/>
      <c r="E900" s="498"/>
      <c r="F900" s="498"/>
      <c r="G900" s="499"/>
    </row>
    <row r="901" spans="1:7" ht="12.75">
      <c r="A901" s="498"/>
      <c r="B901" s="498"/>
      <c r="C901" s="498"/>
      <c r="D901" s="498"/>
      <c r="E901" s="498"/>
      <c r="F901" s="498"/>
      <c r="G901" s="499"/>
    </row>
    <row r="902" spans="1:7" ht="12.75">
      <c r="A902" s="498"/>
      <c r="B902" s="498"/>
      <c r="C902" s="498"/>
      <c r="D902" s="498"/>
      <c r="E902" s="498"/>
      <c r="F902" s="498"/>
      <c r="G902" s="499"/>
    </row>
    <row r="903" spans="1:7" ht="12.75">
      <c r="A903" s="498"/>
      <c r="B903" s="498"/>
      <c r="C903" s="498"/>
      <c r="D903" s="498"/>
      <c r="E903" s="498"/>
      <c r="F903" s="498"/>
      <c r="G903" s="499"/>
    </row>
    <row r="904" spans="1:7" ht="12.75">
      <c r="A904" s="498"/>
      <c r="B904" s="498"/>
      <c r="C904" s="498"/>
      <c r="D904" s="498"/>
      <c r="E904" s="498"/>
      <c r="F904" s="498"/>
      <c r="G904" s="499"/>
    </row>
    <row r="905" spans="1:7" ht="12.75">
      <c r="A905" s="498"/>
      <c r="B905" s="498"/>
      <c r="C905" s="498"/>
      <c r="D905" s="498"/>
      <c r="E905" s="498"/>
      <c r="F905" s="498"/>
      <c r="G905" s="499"/>
    </row>
    <row r="906" spans="1:7" ht="12.75">
      <c r="A906" s="498"/>
      <c r="B906" s="498"/>
      <c r="C906" s="498"/>
      <c r="D906" s="498"/>
      <c r="E906" s="498"/>
      <c r="F906" s="498"/>
      <c r="G906" s="499"/>
    </row>
    <row r="907" spans="1:7" ht="12.75">
      <c r="A907" s="498"/>
      <c r="B907" s="498"/>
      <c r="C907" s="498"/>
      <c r="D907" s="498"/>
      <c r="E907" s="498"/>
      <c r="F907" s="498"/>
      <c r="G907" s="499"/>
    </row>
    <row r="908" spans="1:7" ht="12.75">
      <c r="A908" s="498"/>
      <c r="B908" s="498"/>
      <c r="C908" s="498"/>
      <c r="D908" s="498"/>
      <c r="E908" s="498"/>
      <c r="F908" s="498"/>
      <c r="G908" s="499"/>
    </row>
    <row r="909" spans="1:7" ht="12.75">
      <c r="A909" s="498"/>
      <c r="B909" s="498"/>
      <c r="C909" s="498"/>
      <c r="D909" s="498"/>
      <c r="E909" s="498"/>
      <c r="F909" s="498"/>
      <c r="G909" s="499"/>
    </row>
    <row r="910" spans="1:7" ht="12.75">
      <c r="A910" s="498"/>
      <c r="B910" s="498"/>
      <c r="C910" s="498"/>
      <c r="D910" s="498"/>
      <c r="E910" s="498"/>
      <c r="F910" s="498"/>
      <c r="G910" s="499"/>
    </row>
    <row r="911" spans="1:7" ht="12.75">
      <c r="A911" s="498"/>
      <c r="B911" s="498"/>
      <c r="C911" s="498"/>
      <c r="D911" s="498"/>
      <c r="E911" s="498"/>
      <c r="F911" s="498"/>
      <c r="G911" s="499"/>
    </row>
    <row r="912" spans="1:7" ht="12.75">
      <c r="A912" s="498"/>
      <c r="B912" s="498"/>
      <c r="C912" s="498"/>
      <c r="D912" s="498"/>
      <c r="E912" s="498"/>
      <c r="F912" s="498"/>
      <c r="G912" s="499"/>
    </row>
    <row r="913" spans="1:7" ht="12.75">
      <c r="A913" s="498"/>
      <c r="B913" s="498"/>
      <c r="C913" s="498"/>
      <c r="D913" s="498"/>
      <c r="E913" s="498"/>
      <c r="F913" s="498"/>
      <c r="G913" s="499"/>
    </row>
    <row r="914" spans="1:7" ht="12.75">
      <c r="A914" s="498"/>
      <c r="B914" s="498"/>
      <c r="C914" s="498"/>
      <c r="D914" s="498"/>
      <c r="E914" s="498"/>
      <c r="F914" s="498"/>
      <c r="G914" s="499"/>
    </row>
    <row r="915" spans="1:7" ht="12.75">
      <c r="A915" s="498"/>
      <c r="B915" s="498"/>
      <c r="C915" s="498"/>
      <c r="D915" s="498"/>
      <c r="E915" s="498"/>
      <c r="F915" s="498"/>
      <c r="G915" s="499"/>
    </row>
    <row r="916" spans="1:7" ht="12.75">
      <c r="A916" s="498"/>
      <c r="B916" s="498"/>
      <c r="C916" s="498"/>
      <c r="D916" s="498"/>
      <c r="E916" s="498"/>
      <c r="F916" s="498"/>
      <c r="G916" s="499"/>
    </row>
    <row r="917" spans="1:7" ht="12.75">
      <c r="A917" s="498"/>
      <c r="B917" s="498"/>
      <c r="C917" s="498"/>
      <c r="D917" s="498"/>
      <c r="E917" s="498"/>
      <c r="F917" s="498"/>
      <c r="G917" s="499"/>
    </row>
    <row r="918" spans="1:7" ht="12.75">
      <c r="A918" s="498"/>
      <c r="B918" s="498"/>
      <c r="C918" s="498"/>
      <c r="D918" s="498"/>
      <c r="E918" s="498"/>
      <c r="F918" s="498"/>
      <c r="G918" s="499"/>
    </row>
    <row r="919" spans="1:7" ht="12.75">
      <c r="A919" s="498"/>
      <c r="B919" s="498"/>
      <c r="C919" s="498"/>
      <c r="D919" s="498"/>
      <c r="E919" s="498"/>
      <c r="F919" s="498"/>
      <c r="G919" s="499"/>
    </row>
    <row r="920" spans="1:7" ht="12.75">
      <c r="A920" s="498"/>
      <c r="B920" s="498"/>
      <c r="C920" s="498"/>
      <c r="D920" s="498"/>
      <c r="E920" s="498"/>
      <c r="F920" s="498"/>
      <c r="G920" s="499"/>
    </row>
    <row r="921" spans="1:7" ht="12.75">
      <c r="A921" s="498"/>
      <c r="B921" s="498"/>
      <c r="C921" s="498"/>
      <c r="D921" s="498"/>
      <c r="E921" s="498"/>
      <c r="F921" s="498"/>
      <c r="G921" s="499"/>
    </row>
    <row r="922" spans="1:7" ht="12.75">
      <c r="A922" s="498"/>
      <c r="B922" s="498"/>
      <c r="C922" s="498"/>
      <c r="D922" s="498"/>
      <c r="E922" s="498"/>
      <c r="F922" s="498"/>
      <c r="G922" s="499"/>
    </row>
    <row r="923" spans="1:7" ht="12.75">
      <c r="A923" s="498"/>
      <c r="B923" s="498"/>
      <c r="C923" s="498"/>
      <c r="D923" s="498"/>
      <c r="E923" s="498"/>
      <c r="F923" s="498"/>
      <c r="G923" s="499"/>
    </row>
    <row r="924" spans="1:7" ht="12.75">
      <c r="A924" s="498"/>
      <c r="B924" s="498"/>
      <c r="C924" s="498"/>
      <c r="D924" s="498"/>
      <c r="E924" s="498"/>
      <c r="F924" s="498"/>
      <c r="G924" s="499"/>
    </row>
    <row r="925" spans="1:7" ht="12.75">
      <c r="A925" s="498"/>
      <c r="B925" s="498"/>
      <c r="C925" s="498"/>
      <c r="D925" s="498"/>
      <c r="E925" s="498"/>
      <c r="F925" s="498"/>
      <c r="G925" s="499"/>
    </row>
    <row r="926" spans="1:7" ht="12.75">
      <c r="A926" s="498"/>
      <c r="B926" s="498"/>
      <c r="C926" s="498"/>
      <c r="D926" s="498"/>
      <c r="E926" s="498"/>
      <c r="F926" s="498"/>
      <c r="G926" s="499"/>
    </row>
    <row r="927" spans="1:7" ht="12.75">
      <c r="A927" s="498"/>
      <c r="B927" s="498"/>
      <c r="C927" s="498"/>
      <c r="D927" s="498"/>
      <c r="E927" s="498"/>
      <c r="F927" s="498"/>
      <c r="G927" s="499"/>
    </row>
    <row r="928" spans="1:7" ht="12.75">
      <c r="A928" s="498"/>
      <c r="B928" s="498"/>
      <c r="C928" s="498"/>
      <c r="D928" s="498"/>
      <c r="E928" s="498"/>
      <c r="F928" s="498"/>
      <c r="G928" s="499"/>
    </row>
    <row r="929" spans="1:7" ht="12.75">
      <c r="A929" s="498"/>
      <c r="B929" s="498"/>
      <c r="C929" s="498"/>
      <c r="D929" s="498"/>
      <c r="E929" s="498"/>
      <c r="F929" s="498"/>
      <c r="G929" s="499"/>
    </row>
    <row r="930" spans="1:7" ht="12.75">
      <c r="A930" s="498"/>
      <c r="B930" s="498"/>
      <c r="C930" s="498"/>
      <c r="D930" s="498"/>
      <c r="E930" s="498"/>
      <c r="F930" s="498"/>
      <c r="G930" s="499"/>
    </row>
    <row r="931" spans="1:7" ht="12.75">
      <c r="A931" s="498"/>
      <c r="B931" s="498"/>
      <c r="C931" s="498"/>
      <c r="D931" s="498"/>
      <c r="E931" s="498"/>
      <c r="F931" s="498"/>
      <c r="G931" s="499"/>
    </row>
    <row r="932" spans="1:7" ht="12.75">
      <c r="A932" s="498"/>
      <c r="B932" s="498"/>
      <c r="C932" s="498"/>
      <c r="D932" s="498"/>
      <c r="E932" s="498"/>
      <c r="F932" s="498"/>
      <c r="G932" s="499"/>
    </row>
    <row r="933" spans="1:7" ht="12.75">
      <c r="A933" s="498"/>
      <c r="B933" s="498"/>
      <c r="C933" s="498"/>
      <c r="D933" s="498"/>
      <c r="E933" s="498"/>
      <c r="F933" s="498"/>
      <c r="G933" s="499"/>
    </row>
    <row r="934" spans="1:7" ht="12.75">
      <c r="A934" s="498"/>
      <c r="B934" s="498"/>
      <c r="C934" s="498"/>
      <c r="D934" s="498"/>
      <c r="E934" s="498"/>
      <c r="F934" s="498"/>
      <c r="G934" s="499"/>
    </row>
    <row r="935" spans="1:7" ht="12.75">
      <c r="A935" s="498"/>
      <c r="B935" s="498"/>
      <c r="C935" s="498"/>
      <c r="D935" s="498"/>
      <c r="E935" s="498"/>
      <c r="F935" s="498"/>
      <c r="G935" s="499"/>
    </row>
    <row r="936" spans="1:7" ht="12.75">
      <c r="A936" s="498"/>
      <c r="B936" s="498"/>
      <c r="C936" s="498"/>
      <c r="D936" s="498"/>
      <c r="E936" s="498"/>
      <c r="F936" s="498"/>
      <c r="G936" s="499"/>
    </row>
    <row r="937" spans="1:7" ht="12.75">
      <c r="A937" s="498"/>
      <c r="B937" s="498"/>
      <c r="C937" s="498"/>
      <c r="D937" s="498"/>
      <c r="E937" s="498"/>
      <c r="F937" s="498"/>
      <c r="G937" s="499"/>
    </row>
    <row r="938" spans="1:7" ht="12.75">
      <c r="A938" s="498"/>
      <c r="B938" s="498"/>
      <c r="C938" s="498"/>
      <c r="D938" s="498"/>
      <c r="E938" s="498"/>
      <c r="F938" s="498"/>
      <c r="G938" s="499"/>
    </row>
    <row r="939" spans="1:7" ht="12.75">
      <c r="A939" s="498"/>
      <c r="B939" s="498"/>
      <c r="C939" s="498"/>
      <c r="D939" s="498"/>
      <c r="E939" s="498"/>
      <c r="F939" s="498"/>
      <c r="G939" s="499"/>
    </row>
    <row r="940" spans="1:7" ht="12.75">
      <c r="A940" s="498"/>
      <c r="B940" s="498"/>
      <c r="C940" s="498"/>
      <c r="D940" s="498"/>
      <c r="E940" s="498"/>
      <c r="F940" s="498"/>
      <c r="G940" s="499"/>
    </row>
    <row r="941" spans="1:7" ht="12.75">
      <c r="A941" s="498"/>
      <c r="B941" s="498"/>
      <c r="C941" s="498"/>
      <c r="D941" s="498"/>
      <c r="E941" s="498"/>
      <c r="F941" s="498"/>
      <c r="G941" s="499"/>
    </row>
    <row r="942" spans="1:7" ht="12.75">
      <c r="A942" s="498"/>
      <c r="B942" s="498"/>
      <c r="C942" s="498"/>
      <c r="D942" s="498"/>
      <c r="E942" s="498"/>
      <c r="F942" s="498"/>
      <c r="G942" s="499"/>
    </row>
    <row r="943" spans="1:7" ht="12.75">
      <c r="A943" s="498"/>
      <c r="B943" s="498"/>
      <c r="C943" s="498"/>
      <c r="D943" s="498"/>
      <c r="E943" s="498"/>
      <c r="F943" s="498"/>
      <c r="G943" s="499"/>
    </row>
    <row r="944" spans="1:7" ht="12.75">
      <c r="A944" s="498"/>
      <c r="B944" s="498"/>
      <c r="C944" s="498"/>
      <c r="D944" s="498"/>
      <c r="E944" s="498"/>
      <c r="F944" s="498"/>
      <c r="G944" s="499"/>
    </row>
    <row r="945" spans="1:7" ht="12.75">
      <c r="A945" s="498"/>
      <c r="B945" s="498"/>
      <c r="C945" s="498"/>
      <c r="D945" s="498"/>
      <c r="E945" s="498"/>
      <c r="F945" s="498"/>
      <c r="G945" s="499"/>
    </row>
    <row r="946" spans="1:7" ht="12.75">
      <c r="A946" s="498"/>
      <c r="B946" s="498"/>
      <c r="C946" s="498"/>
      <c r="D946" s="498"/>
      <c r="E946" s="498"/>
      <c r="F946" s="498"/>
      <c r="G946" s="499"/>
    </row>
    <row r="947" spans="1:7" ht="12.75">
      <c r="A947" s="498"/>
      <c r="B947" s="498"/>
      <c r="C947" s="498"/>
      <c r="D947" s="498"/>
      <c r="E947" s="498"/>
      <c r="F947" s="498"/>
      <c r="G947" s="499"/>
    </row>
    <row r="948" spans="1:7" ht="12.75">
      <c r="A948" s="498"/>
      <c r="B948" s="498"/>
      <c r="C948" s="498"/>
      <c r="D948" s="498"/>
      <c r="E948" s="498"/>
      <c r="F948" s="498"/>
      <c r="G948" s="499"/>
    </row>
    <row r="949" spans="1:7" ht="12.75">
      <c r="A949" s="498"/>
      <c r="B949" s="498"/>
      <c r="C949" s="498"/>
      <c r="D949" s="498"/>
      <c r="E949" s="498"/>
      <c r="F949" s="498"/>
      <c r="G949" s="499"/>
    </row>
    <row r="950" spans="1:7" ht="12.75">
      <c r="A950" s="498"/>
      <c r="B950" s="498"/>
      <c r="C950" s="498"/>
      <c r="D950" s="498"/>
      <c r="E950" s="498"/>
      <c r="F950" s="498"/>
      <c r="G950" s="499"/>
    </row>
    <row r="951" spans="1:7" ht="12.75">
      <c r="A951" s="498"/>
      <c r="B951" s="498"/>
      <c r="C951" s="498"/>
      <c r="D951" s="498"/>
      <c r="E951" s="498"/>
      <c r="F951" s="498"/>
      <c r="G951" s="499"/>
    </row>
    <row r="952" spans="1:7" ht="12.75">
      <c r="A952" s="498"/>
      <c r="B952" s="498"/>
      <c r="C952" s="498"/>
      <c r="D952" s="498"/>
      <c r="E952" s="498"/>
      <c r="F952" s="498"/>
      <c r="G952" s="499"/>
    </row>
    <row r="953" spans="1:7" ht="12.75">
      <c r="A953" s="498"/>
      <c r="B953" s="498"/>
      <c r="C953" s="498"/>
      <c r="D953" s="498"/>
      <c r="E953" s="498"/>
      <c r="F953" s="498"/>
      <c r="G953" s="499"/>
    </row>
    <row r="954" spans="1:7" ht="12.75">
      <c r="A954" s="498"/>
      <c r="B954" s="498"/>
      <c r="C954" s="498"/>
      <c r="D954" s="498"/>
      <c r="E954" s="498"/>
      <c r="F954" s="498"/>
      <c r="G954" s="499"/>
    </row>
    <row r="955" spans="1:7" ht="12.75">
      <c r="A955" s="498"/>
      <c r="B955" s="498"/>
      <c r="C955" s="498"/>
      <c r="D955" s="498"/>
      <c r="E955" s="498"/>
      <c r="F955" s="498"/>
      <c r="G955" s="499"/>
    </row>
    <row r="956" spans="1:7" ht="12.75">
      <c r="A956" s="498"/>
      <c r="B956" s="498"/>
      <c r="C956" s="498"/>
      <c r="D956" s="498"/>
      <c r="E956" s="498"/>
      <c r="F956" s="498"/>
      <c r="G956" s="499"/>
    </row>
    <row r="957" spans="1:7" ht="12.75">
      <c r="A957" s="498"/>
      <c r="B957" s="498"/>
      <c r="C957" s="498"/>
      <c r="D957" s="498"/>
      <c r="E957" s="498"/>
      <c r="F957" s="498"/>
      <c r="G957" s="499"/>
    </row>
    <row r="958" spans="1:7" ht="12.75">
      <c r="A958" s="498"/>
      <c r="B958" s="498"/>
      <c r="C958" s="498"/>
      <c r="D958" s="498"/>
      <c r="E958" s="498"/>
      <c r="F958" s="498"/>
      <c r="G958" s="499"/>
    </row>
    <row r="959" spans="1:7" ht="12.75">
      <c r="A959" s="498"/>
      <c r="B959" s="498"/>
      <c r="C959" s="498"/>
      <c r="D959" s="498"/>
      <c r="E959" s="498"/>
      <c r="F959" s="498"/>
      <c r="G959" s="499"/>
    </row>
    <row r="960" spans="1:7" ht="12.75">
      <c r="A960" s="498"/>
      <c r="B960" s="498"/>
      <c r="C960" s="498"/>
      <c r="D960" s="498"/>
      <c r="E960" s="498"/>
      <c r="F960" s="498"/>
      <c r="G960" s="499"/>
    </row>
    <row r="961" spans="1:7" ht="12.75">
      <c r="A961" s="498"/>
      <c r="B961" s="498"/>
      <c r="C961" s="498"/>
      <c r="D961" s="498"/>
      <c r="E961" s="498"/>
      <c r="F961" s="498"/>
      <c r="G961" s="499"/>
    </row>
    <row r="962" spans="1:7" ht="12.75">
      <c r="A962" s="498"/>
      <c r="B962" s="498"/>
      <c r="C962" s="498"/>
      <c r="D962" s="498"/>
      <c r="E962" s="498"/>
      <c r="F962" s="498"/>
      <c r="G962" s="499"/>
    </row>
    <row r="963" spans="1:7" ht="12.75">
      <c r="A963" s="498"/>
      <c r="B963" s="498"/>
      <c r="C963" s="498"/>
      <c r="D963" s="498"/>
      <c r="E963" s="498"/>
      <c r="F963" s="498"/>
      <c r="G963" s="499"/>
    </row>
    <row r="964" spans="1:7" ht="12.75">
      <c r="A964" s="498"/>
      <c r="B964" s="498"/>
      <c r="C964" s="498"/>
      <c r="D964" s="498"/>
      <c r="E964" s="498"/>
      <c r="F964" s="498"/>
      <c r="G964" s="499"/>
    </row>
    <row r="965" spans="1:7" ht="12.75">
      <c r="A965" s="498"/>
      <c r="B965" s="498"/>
      <c r="C965" s="498"/>
      <c r="D965" s="498"/>
      <c r="E965" s="498"/>
      <c r="F965" s="498"/>
      <c r="G965" s="499"/>
    </row>
    <row r="966" spans="1:7" ht="12.75">
      <c r="A966" s="498"/>
      <c r="B966" s="498"/>
      <c r="C966" s="498"/>
      <c r="D966" s="498"/>
      <c r="E966" s="498"/>
      <c r="F966" s="498"/>
      <c r="G966" s="499"/>
    </row>
    <row r="967" spans="1:7" ht="12.75">
      <c r="A967" s="498"/>
      <c r="B967" s="498"/>
      <c r="C967" s="498"/>
      <c r="D967" s="498"/>
      <c r="E967" s="498"/>
      <c r="F967" s="498"/>
      <c r="G967" s="499"/>
    </row>
    <row r="968" spans="1:7" ht="12.75">
      <c r="A968" s="498"/>
      <c r="B968" s="498"/>
      <c r="C968" s="498"/>
      <c r="D968" s="498"/>
      <c r="E968" s="498"/>
      <c r="F968" s="498"/>
      <c r="G968" s="499"/>
    </row>
    <row r="969" spans="1:7" ht="12.75">
      <c r="A969" s="498"/>
      <c r="B969" s="498"/>
      <c r="C969" s="498"/>
      <c r="D969" s="498"/>
      <c r="E969" s="498"/>
      <c r="F969" s="498"/>
      <c r="G969" s="499"/>
    </row>
    <row r="970" spans="1:7" ht="12.75">
      <c r="A970" s="498"/>
      <c r="B970" s="498"/>
      <c r="C970" s="498"/>
      <c r="D970" s="498"/>
      <c r="E970" s="498"/>
      <c r="F970" s="498"/>
      <c r="G970" s="499"/>
    </row>
    <row r="971" spans="1:7" ht="12.75">
      <c r="A971" s="498"/>
      <c r="B971" s="498"/>
      <c r="C971" s="498"/>
      <c r="D971" s="498"/>
      <c r="E971" s="498"/>
      <c r="F971" s="498"/>
      <c r="G971" s="499"/>
    </row>
    <row r="972" spans="1:7" ht="12.75">
      <c r="A972" s="498"/>
      <c r="B972" s="498"/>
      <c r="C972" s="498"/>
      <c r="D972" s="498"/>
      <c r="E972" s="498"/>
      <c r="F972" s="498"/>
      <c r="G972" s="499"/>
    </row>
    <row r="973" spans="1:7" ht="12.75">
      <c r="A973" s="498"/>
      <c r="B973" s="498"/>
      <c r="C973" s="498"/>
      <c r="D973" s="498"/>
      <c r="E973" s="498"/>
      <c r="F973" s="498"/>
      <c r="G973" s="499"/>
    </row>
    <row r="974" spans="1:7" ht="12.75">
      <c r="A974" s="498"/>
      <c r="B974" s="498"/>
      <c r="C974" s="498"/>
      <c r="D974" s="498"/>
      <c r="E974" s="498"/>
      <c r="F974" s="498"/>
      <c r="G974" s="499"/>
    </row>
    <row r="975" spans="1:7" ht="12.75">
      <c r="A975" s="498"/>
      <c r="B975" s="498"/>
      <c r="C975" s="498"/>
      <c r="D975" s="498"/>
      <c r="E975" s="498"/>
      <c r="F975" s="498"/>
      <c r="G975" s="499"/>
    </row>
    <row r="976" spans="1:7" ht="12.75">
      <c r="A976" s="498"/>
      <c r="B976" s="498"/>
      <c r="C976" s="498"/>
      <c r="D976" s="498"/>
      <c r="E976" s="498"/>
      <c r="F976" s="498"/>
      <c r="G976" s="499"/>
    </row>
    <row r="977" spans="1:7" ht="12.75">
      <c r="A977" s="498"/>
      <c r="B977" s="498"/>
      <c r="C977" s="498"/>
      <c r="D977" s="498"/>
      <c r="E977" s="498"/>
      <c r="F977" s="498"/>
      <c r="G977" s="499"/>
    </row>
    <row r="978" spans="1:7" ht="12.75">
      <c r="A978" s="498"/>
      <c r="B978" s="498"/>
      <c r="C978" s="498"/>
      <c r="D978" s="498"/>
      <c r="E978" s="498"/>
      <c r="F978" s="498"/>
      <c r="G978" s="499"/>
    </row>
    <row r="979" spans="1:7" ht="12.75">
      <c r="A979" s="498"/>
      <c r="B979" s="498"/>
      <c r="C979" s="498"/>
      <c r="D979" s="498"/>
      <c r="E979" s="498"/>
      <c r="F979" s="498"/>
      <c r="G979" s="499"/>
    </row>
    <row r="980" spans="1:7" ht="12.75">
      <c r="A980" s="498"/>
      <c r="B980" s="498"/>
      <c r="C980" s="498"/>
      <c r="D980" s="498"/>
      <c r="E980" s="498"/>
      <c r="F980" s="498"/>
      <c r="G980" s="499"/>
    </row>
    <row r="981" spans="1:7" ht="12.75">
      <c r="A981" s="498"/>
      <c r="B981" s="498"/>
      <c r="C981" s="498"/>
      <c r="D981" s="498"/>
      <c r="E981" s="498"/>
      <c r="F981" s="498"/>
      <c r="G981" s="499"/>
    </row>
    <row r="982" spans="1:7" ht="12.75">
      <c r="A982" s="498"/>
      <c r="B982" s="498"/>
      <c r="C982" s="498"/>
      <c r="D982" s="498"/>
      <c r="E982" s="498"/>
      <c r="F982" s="498"/>
      <c r="G982" s="499"/>
    </row>
    <row r="983" spans="1:7" ht="12.75">
      <c r="A983" s="498"/>
      <c r="B983" s="498"/>
      <c r="C983" s="498"/>
      <c r="D983" s="498"/>
      <c r="E983" s="498"/>
      <c r="F983" s="498"/>
      <c r="G983" s="499"/>
    </row>
    <row r="984" spans="1:7" ht="12.75">
      <c r="A984" s="498"/>
      <c r="B984" s="498"/>
      <c r="C984" s="498"/>
      <c r="D984" s="498"/>
      <c r="E984" s="498"/>
      <c r="F984" s="498"/>
      <c r="G984" s="499"/>
    </row>
    <row r="985" spans="1:7" ht="12.75">
      <c r="A985" s="498"/>
      <c r="B985" s="498"/>
      <c r="C985" s="498"/>
      <c r="D985" s="498"/>
      <c r="E985" s="498"/>
      <c r="F985" s="498"/>
      <c r="G985" s="499"/>
    </row>
    <row r="986" spans="1:7" ht="12.75">
      <c r="A986" s="498"/>
      <c r="B986" s="498"/>
      <c r="C986" s="498"/>
      <c r="D986" s="498"/>
      <c r="E986" s="498"/>
      <c r="F986" s="498"/>
      <c r="G986" s="499"/>
    </row>
    <row r="987" spans="1:7" ht="12.75">
      <c r="A987" s="498"/>
      <c r="B987" s="498"/>
      <c r="C987" s="498"/>
      <c r="D987" s="498"/>
      <c r="E987" s="498"/>
      <c r="F987" s="498"/>
      <c r="G987" s="499"/>
    </row>
    <row r="988" spans="1:7" ht="12.75">
      <c r="A988" s="498"/>
      <c r="B988" s="498"/>
      <c r="C988" s="498"/>
      <c r="D988" s="498"/>
      <c r="E988" s="498"/>
      <c r="F988" s="498"/>
      <c r="G988" s="499"/>
    </row>
    <row r="989" spans="1:7" ht="12.75">
      <c r="A989" s="498"/>
      <c r="B989" s="498"/>
      <c r="C989" s="498"/>
      <c r="D989" s="498"/>
      <c r="E989" s="498"/>
      <c r="F989" s="498"/>
      <c r="G989" s="499"/>
    </row>
    <row r="990" spans="1:7" ht="12.75">
      <c r="A990" s="498"/>
      <c r="B990" s="498"/>
      <c r="C990" s="498"/>
      <c r="D990" s="498"/>
      <c r="E990" s="498"/>
      <c r="F990" s="498"/>
      <c r="G990" s="499"/>
    </row>
    <row r="991" spans="1:7" ht="12.75">
      <c r="A991" s="498"/>
      <c r="B991" s="498"/>
      <c r="C991" s="498"/>
      <c r="D991" s="498"/>
      <c r="E991" s="498"/>
      <c r="F991" s="498"/>
      <c r="G991" s="499"/>
    </row>
    <row r="992" spans="1:7" ht="12.75">
      <c r="A992" s="498"/>
      <c r="B992" s="498"/>
      <c r="C992" s="498"/>
      <c r="D992" s="498"/>
      <c r="E992" s="498"/>
      <c r="F992" s="498"/>
      <c r="G992" s="499"/>
    </row>
    <row r="993" spans="1:7" ht="12.75">
      <c r="A993" s="498"/>
      <c r="B993" s="498"/>
      <c r="C993" s="498"/>
      <c r="D993" s="498"/>
      <c r="E993" s="498"/>
      <c r="F993" s="498"/>
      <c r="G993" s="499"/>
    </row>
    <row r="994" spans="1:7" ht="12.75">
      <c r="A994" s="498"/>
      <c r="B994" s="498"/>
      <c r="C994" s="498"/>
      <c r="D994" s="498"/>
      <c r="E994" s="498"/>
      <c r="F994" s="498"/>
      <c r="G994" s="499"/>
    </row>
    <row r="995" spans="1:7" ht="12.75">
      <c r="A995" s="498"/>
      <c r="B995" s="498"/>
      <c r="C995" s="498"/>
      <c r="D995" s="498"/>
      <c r="E995" s="498"/>
      <c r="F995" s="498"/>
      <c r="G995" s="499"/>
    </row>
    <row r="996" spans="1:7" ht="12.75">
      <c r="A996" s="498"/>
      <c r="B996" s="498"/>
      <c r="C996" s="498"/>
      <c r="D996" s="498"/>
      <c r="E996" s="498"/>
      <c r="F996" s="498"/>
      <c r="G996" s="499"/>
    </row>
    <row r="997" spans="1:7" ht="12.75">
      <c r="A997" s="498"/>
      <c r="B997" s="498"/>
      <c r="C997" s="498"/>
      <c r="D997" s="498"/>
      <c r="E997" s="498"/>
      <c r="F997" s="498"/>
      <c r="G997" s="499"/>
    </row>
    <row r="998" spans="1:7" ht="12.75">
      <c r="A998" s="498"/>
      <c r="B998" s="498"/>
      <c r="C998" s="498"/>
      <c r="D998" s="498"/>
      <c r="E998" s="498"/>
      <c r="F998" s="498"/>
      <c r="G998" s="499"/>
    </row>
    <row r="999" spans="1:7" ht="12.75">
      <c r="A999" s="498"/>
      <c r="B999" s="498"/>
      <c r="C999" s="498"/>
      <c r="D999" s="498"/>
      <c r="E999" s="498"/>
      <c r="F999" s="498"/>
      <c r="G999" s="499"/>
    </row>
    <row r="1000" spans="1:7" ht="12.75">
      <c r="A1000" s="498"/>
      <c r="B1000" s="498"/>
      <c r="C1000" s="498"/>
      <c r="D1000" s="498"/>
      <c r="E1000" s="498"/>
      <c r="F1000" s="498"/>
      <c r="G1000" s="499"/>
    </row>
    <row r="1001" spans="1:7" ht="12.75">
      <c r="A1001" s="498"/>
      <c r="B1001" s="498"/>
      <c r="C1001" s="498"/>
      <c r="D1001" s="498"/>
      <c r="E1001" s="498"/>
      <c r="F1001" s="498"/>
      <c r="G1001" s="499"/>
    </row>
    <row r="1002" spans="1:7" ht="12.75">
      <c r="A1002" s="498"/>
      <c r="B1002" s="498"/>
      <c r="C1002" s="498"/>
      <c r="D1002" s="498"/>
      <c r="E1002" s="498"/>
      <c r="F1002" s="498"/>
      <c r="G1002" s="499"/>
    </row>
    <row r="1003" spans="1:7" ht="12.75">
      <c r="A1003" s="498"/>
      <c r="B1003" s="498"/>
      <c r="C1003" s="498"/>
      <c r="D1003" s="498"/>
      <c r="E1003" s="498"/>
      <c r="F1003" s="498"/>
      <c r="G1003" s="499"/>
    </row>
    <row r="1004" spans="1:7" ht="12.75">
      <c r="A1004" s="498"/>
      <c r="B1004" s="498"/>
      <c r="C1004" s="498"/>
      <c r="D1004" s="498"/>
      <c r="E1004" s="498"/>
      <c r="F1004" s="498"/>
      <c r="G1004" s="499"/>
    </row>
    <row r="1005" spans="1:7" ht="12.75">
      <c r="A1005" s="498"/>
      <c r="B1005" s="498"/>
      <c r="C1005" s="498"/>
      <c r="D1005" s="498"/>
      <c r="E1005" s="498"/>
      <c r="F1005" s="498"/>
      <c r="G1005" s="499"/>
    </row>
    <row r="1006" spans="1:7" ht="12.75">
      <c r="A1006" s="498"/>
      <c r="B1006" s="498"/>
      <c r="C1006" s="498"/>
      <c r="D1006" s="498"/>
      <c r="E1006" s="498"/>
      <c r="F1006" s="498"/>
      <c r="G1006" s="499"/>
    </row>
    <row r="1007" spans="1:7" ht="12.75">
      <c r="A1007" s="498"/>
      <c r="B1007" s="498"/>
      <c r="C1007" s="498"/>
      <c r="D1007" s="498"/>
      <c r="E1007" s="498"/>
      <c r="F1007" s="498"/>
      <c r="G1007" s="4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C. Printer</vt:lpstr>
      <vt:lpstr>H. TVMonitor</vt:lpstr>
      <vt:lpstr>7. SIM Card</vt:lpstr>
      <vt:lpstr>8. SIM Card (new)</vt:lpstr>
      <vt:lpstr>I. SIM CARD HALO</vt:lpstr>
      <vt:lpstr>Sheet19</vt:lpstr>
      <vt:lpstr>IP CCTV</vt:lpstr>
      <vt:lpstr>Unknown</vt:lpstr>
      <vt:lpstr>OCC</vt:lpstr>
      <vt:lpstr>PR list</vt:lpstr>
      <vt:lpstr>Repairing List</vt:lpstr>
      <vt:lpstr>TRAINING</vt:lpstr>
      <vt:lpstr>HO - (LT3)</vt:lpstr>
      <vt:lpstr>HO - (LT2)</vt:lpstr>
      <vt:lpstr>HRD</vt:lpstr>
      <vt:lpstr>BASE</vt:lpstr>
      <vt:lpstr>MEDIA</vt:lpstr>
      <vt:lpstr>IT</vt:lpstr>
      <vt:lpstr>CALL CENTER</vt:lpstr>
      <vt:lpstr>GA</vt:lpstr>
      <vt:lpstr>DATA ANALYST</vt:lpstr>
      <vt:lpstr>SAFETY</vt:lpstr>
      <vt:lpstr>Asset Entry</vt:lpstr>
      <vt:lpstr>Entry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syidiq fahrul</dc:creator>
  <cp:lastModifiedBy>syidiq fahrul</cp:lastModifiedBy>
  <dcterms:created xsi:type="dcterms:W3CDTF">2026-09-19T17:12:48Z</dcterms:created>
  <dcterms:modified xsi:type="dcterms:W3CDTF">2026-09-19T17:12:48Z</dcterms:modified>
</cp:coreProperties>
</file>